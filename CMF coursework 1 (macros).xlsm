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universityofwestminster-my.sharepoint.com/personal/w1887215_westminster_ac_uk/Documents/Second year/Computational Methods for Finance/"/>
    </mc:Choice>
  </mc:AlternateContent>
  <xr:revisionPtr revIDLastSave="852" documentId="8_{DD73EDBF-0E89-DB4C-AA43-3E37E7C69FDE}" xr6:coauthVersionLast="47" xr6:coauthVersionMax="47" xr10:uidLastSave="{B5BA97AB-D8D2-3B45-83AD-8A1526B88AD7}"/>
  <bookViews>
    <workbookView xWindow="8220" yWindow="500" windowWidth="20580" windowHeight="16460" activeTab="3" xr2:uid="{84E6FBE0-775C-4F4F-A337-0E8C61BEF472}"/>
  </bookViews>
  <sheets>
    <sheet name="NVDA" sheetId="1" r:id="rId1"/>
    <sheet name="TSLA" sheetId="2" r:id="rId2"/>
    <sheet name="JPM" sheetId="3" r:id="rId3"/>
    <sheet name="Q1" sheetId="4" r:id="rId4"/>
  </sheets>
  <functionGroups builtInGroupCount="19"/>
  <definedNames>
    <definedName name="solver_adj" localSheetId="3" hidden="1">'Q1'!$I$37:$K$37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'Q1'!$I$37</definedName>
    <definedName name="solver_lhs2" localSheetId="3" hidden="1">'Q1'!$I$37</definedName>
    <definedName name="solver_lhs3" localSheetId="3" hidden="1">'Q1'!$J$37</definedName>
    <definedName name="solver_lhs4" localSheetId="3" hidden="1">'Q1'!$J$37</definedName>
    <definedName name="solver_lhs5" localSheetId="3" hidden="1">'Q1'!$K$37</definedName>
    <definedName name="solver_lhs6" localSheetId="3" hidden="1">'Q1'!$K$37</definedName>
    <definedName name="solver_lhs7" localSheetId="3" hidden="1">'Q1'!$L$37</definedName>
    <definedName name="solver_lin" localSheetId="3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7</definedName>
    <definedName name="solver_nwt" localSheetId="3" hidden="1">1</definedName>
    <definedName name="solver_opt" localSheetId="3" hidden="1">'Q1'!$I$41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2</definedName>
    <definedName name="solver_rhs1" localSheetId="3" hidden="1">1</definedName>
    <definedName name="solver_rhs2" localSheetId="3" hidden="1">0</definedName>
    <definedName name="solver_rhs3" localSheetId="3" hidden="1">1</definedName>
    <definedName name="solver_rhs4" localSheetId="3" hidden="1">0</definedName>
    <definedName name="solver_rhs5" localSheetId="3" hidden="1">1</definedName>
    <definedName name="solver_rhs6" localSheetId="3" hidden="1">0</definedName>
    <definedName name="solver_rhs7" localSheetId="3" hidden="1">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4" i="4" l="1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K47" i="4"/>
  <c r="J53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K48" i="4"/>
  <c r="J54" i="4"/>
  <c r="L30" i="4"/>
  <c r="L47" i="4"/>
  <c r="J50" i="4"/>
  <c r="J59" i="4"/>
  <c r="M59" i="4"/>
  <c r="J62" i="4"/>
  <c r="J71" i="4"/>
  <c r="J47" i="4"/>
  <c r="J65" i="4"/>
  <c r="J68" i="4"/>
  <c r="M71" i="4"/>
  <c r="N59" i="4"/>
  <c r="K62" i="4"/>
  <c r="K71" i="4"/>
  <c r="J48" i="4"/>
  <c r="J66" i="4"/>
  <c r="J69" i="4"/>
  <c r="M72" i="4"/>
  <c r="J75" i="4"/>
  <c r="M60" i="4"/>
  <c r="J63" i="4"/>
  <c r="J72" i="4"/>
  <c r="N60" i="4"/>
  <c r="K63" i="4"/>
  <c r="K72" i="4"/>
  <c r="J76" i="4"/>
  <c r="J78" i="4"/>
  <c r="K78" i="4"/>
  <c r="J80" i="4"/>
  <c r="K80" i="4"/>
  <c r="J85" i="4"/>
  <c r="J86" i="4"/>
  <c r="J84" i="4"/>
  <c r="J94" i="4"/>
  <c r="J105" i="4"/>
  <c r="J96" i="4"/>
  <c r="J103" i="4"/>
  <c r="K100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J6" i="4"/>
  <c r="J7" i="4"/>
  <c r="J8" i="4"/>
  <c r="L40" i="4"/>
  <c r="K29" i="4"/>
  <c r="L29" i="4"/>
  <c r="K105" i="4"/>
  <c r="K99" i="4"/>
  <c r="K103" i="4"/>
  <c r="K86" i="4"/>
  <c r="K84" i="4"/>
  <c r="K101" i="4"/>
  <c r="K91" i="4"/>
  <c r="K82" i="4"/>
  <c r="K57" i="4"/>
  <c r="K56" i="4"/>
  <c r="J57" i="4"/>
  <c r="J56" i="4"/>
  <c r="K30" i="4"/>
  <c r="L31" i="4"/>
  <c r="L37" i="4"/>
  <c r="K6" i="4"/>
  <c r="J11" i="4"/>
  <c r="K31" i="4"/>
  <c r="J31" i="4"/>
  <c r="J13" i="4"/>
  <c r="K8" i="4"/>
  <c r="J12" i="4"/>
  <c r="K7" i="4"/>
  <c r="J30" i="4"/>
  <c r="M40" i="4"/>
  <c r="K12" i="4"/>
  <c r="K13" i="4"/>
  <c r="K11" i="4"/>
  <c r="J29" i="4"/>
  <c r="I41" i="4"/>
  <c r="N41" i="4"/>
  <c r="L41" i="4"/>
  <c r="M41" i="4"/>
  <c r="J18" i="4" a="1"/>
  <c r="J17" i="4" a="1"/>
  <c r="J16" i="4" a="1"/>
  <c r="J22" i="4" a="1"/>
  <c r="J21" i="4" a="1"/>
  <c r="J23" i="4" a="1"/>
  <c r="J23" i="4" l="1"/>
  <c r="K23" i="4" s="1"/>
  <c r="J21" i="4"/>
  <c r="K21" i="4" s="1"/>
  <c r="J22" i="4"/>
  <c r="K22" i="4" s="1"/>
  <c r="J16" i="4"/>
  <c r="K16" i="4" s="1"/>
  <c r="J17" i="4"/>
  <c r="K17" i="4" s="1"/>
  <c r="J18" i="4"/>
  <c r="K1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<sst xmlns="http://schemas.openxmlformats.org/spreadsheetml/2006/main" count="100" uniqueCount="62">
  <si>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Date</t>
  </si>
  <si>
    <t>Last Price</t>
  </si>
  <si>
    <t>Volume</t>
  </si>
  <si>
    <t>SMAVG (15)</t>
  </si>
  <si>
    <t>PX_OFFICIAL_CLOSE</t>
  </si>
  <si>
    <t>PX_BID</t>
  </si>
  <si>
    <t>NVDA</t>
  </si>
  <si>
    <t>TSLA</t>
  </si>
  <si>
    <t>JPM</t>
  </si>
  <si>
    <t>RTNVDA</t>
  </si>
  <si>
    <t>RTTSLA</t>
  </si>
  <si>
    <t>RTJPM</t>
  </si>
  <si>
    <t>Return_Daily</t>
  </si>
  <si>
    <t>Volatility_Daily</t>
  </si>
  <si>
    <t>Question 1</t>
  </si>
  <si>
    <t>Question 2</t>
  </si>
  <si>
    <t>Question 3</t>
  </si>
  <si>
    <t>Covariance matrix</t>
  </si>
  <si>
    <t>Question 4</t>
  </si>
  <si>
    <t>SUM</t>
  </si>
  <si>
    <t>Variance</t>
  </si>
  <si>
    <t>Expected return</t>
  </si>
  <si>
    <t>VOL_P</t>
  </si>
  <si>
    <t>CAGR</t>
  </si>
  <si>
    <t>Volatility_Annualised</t>
  </si>
  <si>
    <t>Portfolio volatility</t>
  </si>
  <si>
    <t>NVIDIA</t>
  </si>
  <si>
    <t>Tesla</t>
  </si>
  <si>
    <t>JPMorgan</t>
  </si>
  <si>
    <t>Daily</t>
  </si>
  <si>
    <t>Yearly</t>
  </si>
  <si>
    <t>Question 6</t>
  </si>
  <si>
    <t xml:space="preserve">Tesla </t>
  </si>
  <si>
    <t>Correlation</t>
  </si>
  <si>
    <t>Cov(Tesla,JPMorgan)</t>
  </si>
  <si>
    <t>Variance for each asset</t>
  </si>
  <si>
    <t>Determinant</t>
  </si>
  <si>
    <t>Matrix</t>
  </si>
  <si>
    <t>Inverse Matrix</t>
  </si>
  <si>
    <t>=</t>
  </si>
  <si>
    <t>Excess return</t>
  </si>
  <si>
    <t>Multiply by inversematrix</t>
  </si>
  <si>
    <t>-</t>
  </si>
  <si>
    <t>Tesla's weight</t>
  </si>
  <si>
    <t>*</t>
  </si>
  <si>
    <t>JPMorgan's weight</t>
  </si>
  <si>
    <t>Question 7</t>
  </si>
  <si>
    <t xml:space="preserve">Risk free rate </t>
  </si>
  <si>
    <t>Risk aversion coefficient</t>
  </si>
  <si>
    <t>Standard deviation (annualised)</t>
  </si>
  <si>
    <t>Optimal Complete Portfolio</t>
  </si>
  <si>
    <t>Weight of risk free asset</t>
  </si>
  <si>
    <t xml:space="preserve">Final portfolio allocation </t>
  </si>
  <si>
    <t>Asset</t>
  </si>
  <si>
    <t>Allocation (%)</t>
  </si>
  <si>
    <t xml:space="preserve">Risk-Free Asset </t>
  </si>
  <si>
    <t>Expected return of OCP</t>
  </si>
  <si>
    <t>Standard deviation of OCP</t>
  </si>
  <si>
    <t>ORP expected return</t>
  </si>
  <si>
    <t>ORP variance</t>
  </si>
  <si>
    <t>ORP standard deviation</t>
  </si>
  <si>
    <t>Varianceof OCP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</si>
</sst>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000000000"/>
    <numFmt numFmtId="166" formatCode="0.000000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9" fontId="0" fillId="0" borderId="0" xfId="0" applyNumberFormat="1"/>
    <xf numFmtId="10" fontId="0" fillId="0" borderId="0" xfId="1" applyNumberFormat="1" applyFont="1"/>
    <xf numFmtId="10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164" fontId="0" fillId="0" borderId="2" xfId="1" applyNumberFormat="1" applyFont="1" applyBorder="1"/>
    <xf numFmtId="164" fontId="0" fillId="0" borderId="3" xfId="0" applyNumberFormat="1" applyBorder="1"/>
    <xf numFmtId="165" fontId="0" fillId="0" borderId="2" xfId="0" applyNumberFormat="1" applyBorder="1"/>
    <xf numFmtId="165" fontId="0" fillId="0" borderId="1" xfId="0" applyNumberFormat="1" applyBorder="1"/>
    <xf numFmtId="0" fontId="0" fillId="0" borderId="0" xfId="0" applyAlignment="1">
      <alignment vertical="center"/>
    </xf>
    <xf numFmtId="1" fontId="0" fillId="0" borderId="0" xfId="1" applyNumberFormat="1" applyFont="1"/>
    <xf numFmtId="166" fontId="0" fillId="0" borderId="0" xfId="0" applyNumberFormat="1"/>
    <xf numFmtId="0" fontId="0" fillId="0" borderId="0" xfId="0" applyAlignment="1">
      <alignment horizontal="center" vertical="center"/>
    </xf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981B-4837-48E3-8E85-2C503B0381AF}">
  <sheetPr codeName="Sheet1"/>
  <dimension ref="A2:H147"/>
  <sheetViews>
    <sheetView workbookViewId="0">
      <selection activeCell="B3" sqref="B3:B147"/>
    </sheetView>
  </sheetViews>
  <sheetFormatPr baseColWidth="10" defaultColWidth="8.83203125" defaultRowHeight="15" x14ac:dyDescent="0.2"/>
  <cols>
    <col min="1" max="1" width="10.5" bestFit="1" customWidth="1"/>
    <col min="6" max="6" width="10.5" bestFit="1" customWidth="1"/>
  </cols>
  <sheetData>
    <row r="2" spans="1:8" x14ac:dyDescent="0.2">
      <c r="A2" t="s">
        <v>0</v>
      </c>
      <c r="B2" t="s">
        <v>1</v>
      </c>
      <c r="C2" t="s">
        <v>2</v>
      </c>
      <c r="D2" t="s">
        <v>3</v>
      </c>
      <c r="F2" t="s">
        <v>0</v>
      </c>
      <c r="G2" t="s">
        <v>4</v>
      </c>
      <c r="H2" t="s">
        <v>5</v>
      </c>
    </row>
    <row r="3" spans="1:8" x14ac:dyDescent="0.2">
      <c r="A3" s="1">
        <v>45712</v>
      </c>
      <c r="B3">
        <v>130.28</v>
      </c>
      <c r="C3">
        <v>251381136</v>
      </c>
      <c r="D3">
        <v>221990720</v>
      </c>
      <c r="F3" s="1">
        <v>45712</v>
      </c>
      <c r="G3">
        <v>130.28</v>
      </c>
      <c r="H3">
        <v>130.08000000000001</v>
      </c>
    </row>
    <row r="4" spans="1:8" x14ac:dyDescent="0.2">
      <c r="A4" s="1">
        <v>45709</v>
      </c>
      <c r="B4">
        <v>134.43</v>
      </c>
      <c r="C4">
        <v>228217584</v>
      </c>
      <c r="D4">
        <v>231256832</v>
      </c>
      <c r="F4" s="1">
        <v>45709</v>
      </c>
      <c r="G4">
        <v>134.43</v>
      </c>
      <c r="H4">
        <v>134.26</v>
      </c>
    </row>
    <row r="5" spans="1:8" x14ac:dyDescent="0.2">
      <c r="A5" s="1">
        <v>45708</v>
      </c>
      <c r="B5">
        <v>140.11000000000001</v>
      </c>
      <c r="C5">
        <v>143903584</v>
      </c>
      <c r="D5">
        <v>242237360</v>
      </c>
      <c r="F5" s="1">
        <v>45708</v>
      </c>
      <c r="G5">
        <v>140.11000000000001</v>
      </c>
      <c r="H5">
        <v>140.12</v>
      </c>
    </row>
    <row r="6" spans="1:8" x14ac:dyDescent="0.2">
      <c r="A6" s="1">
        <v>45707</v>
      </c>
      <c r="B6">
        <v>139.22999999999999</v>
      </c>
      <c r="C6">
        <v>167536000</v>
      </c>
      <c r="D6">
        <v>263785168</v>
      </c>
      <c r="F6" s="1">
        <v>45707</v>
      </c>
      <c r="G6">
        <v>139.22999999999999</v>
      </c>
      <c r="H6">
        <v>139.24</v>
      </c>
    </row>
    <row r="7" spans="1:8" x14ac:dyDescent="0.2">
      <c r="A7" s="1">
        <v>45706</v>
      </c>
      <c r="B7">
        <v>139.4</v>
      </c>
      <c r="C7">
        <v>219176624</v>
      </c>
      <c r="D7">
        <v>291260512</v>
      </c>
      <c r="F7" s="1">
        <v>45706</v>
      </c>
      <c r="G7">
        <v>139.4</v>
      </c>
      <c r="H7">
        <v>139.4</v>
      </c>
    </row>
    <row r="8" spans="1:8" x14ac:dyDescent="0.2">
      <c r="A8" s="1">
        <v>45702</v>
      </c>
      <c r="B8">
        <v>138.85</v>
      </c>
      <c r="C8">
        <v>195479552</v>
      </c>
      <c r="D8">
        <v>331237472</v>
      </c>
      <c r="F8" s="1">
        <v>45702</v>
      </c>
      <c r="G8">
        <v>138.85</v>
      </c>
      <c r="H8">
        <v>138.46</v>
      </c>
    </row>
    <row r="9" spans="1:8" x14ac:dyDescent="0.2">
      <c r="A9" s="1">
        <v>45701</v>
      </c>
      <c r="B9">
        <v>135.29</v>
      </c>
      <c r="C9">
        <v>197429968</v>
      </c>
      <c r="D9">
        <v>333849344</v>
      </c>
      <c r="F9" s="1">
        <v>45701</v>
      </c>
      <c r="G9">
        <v>135.29</v>
      </c>
      <c r="H9">
        <v>135</v>
      </c>
    </row>
    <row r="10" spans="1:8" x14ac:dyDescent="0.2">
      <c r="A10" s="1">
        <v>45700</v>
      </c>
      <c r="B10">
        <v>131.13999999999999</v>
      </c>
      <c r="C10">
        <v>160278560</v>
      </c>
      <c r="D10">
        <v>331081728</v>
      </c>
      <c r="F10" s="1">
        <v>45700</v>
      </c>
      <c r="G10">
        <v>131.13999999999999</v>
      </c>
      <c r="H10">
        <v>131.07</v>
      </c>
    </row>
    <row r="11" spans="1:8" x14ac:dyDescent="0.2">
      <c r="A11" s="1">
        <v>45699</v>
      </c>
      <c r="B11">
        <v>132.80000000000001</v>
      </c>
      <c r="C11">
        <v>178902384</v>
      </c>
      <c r="D11">
        <v>336239904</v>
      </c>
      <c r="F11" s="1">
        <v>45699</v>
      </c>
      <c r="G11">
        <v>132.80000000000001</v>
      </c>
      <c r="H11">
        <v>132.86000000000001</v>
      </c>
    </row>
    <row r="12" spans="1:8" x14ac:dyDescent="0.2">
      <c r="A12" s="1">
        <v>45698</v>
      </c>
      <c r="B12">
        <v>133.57</v>
      </c>
      <c r="C12">
        <v>216989088</v>
      </c>
      <c r="D12">
        <v>337496352</v>
      </c>
      <c r="F12" s="1">
        <v>45698</v>
      </c>
      <c r="G12">
        <v>133.57</v>
      </c>
      <c r="H12">
        <v>133.51</v>
      </c>
    </row>
    <row r="13" spans="1:8" x14ac:dyDescent="0.2">
      <c r="A13" s="1">
        <v>45695</v>
      </c>
      <c r="B13">
        <v>129.84</v>
      </c>
      <c r="C13">
        <v>228186304</v>
      </c>
      <c r="D13">
        <v>336442976</v>
      </c>
      <c r="F13" s="1">
        <v>45695</v>
      </c>
      <c r="G13">
        <v>129.84</v>
      </c>
      <c r="H13">
        <v>129.85</v>
      </c>
    </row>
    <row r="14" spans="1:8" x14ac:dyDescent="0.2">
      <c r="A14" s="1">
        <v>45694</v>
      </c>
      <c r="B14">
        <v>128.68</v>
      </c>
      <c r="C14">
        <v>251483568</v>
      </c>
      <c r="D14">
        <v>335179616</v>
      </c>
      <c r="F14" s="1">
        <v>45694</v>
      </c>
      <c r="G14">
        <v>128.68</v>
      </c>
      <c r="H14">
        <v>128.68</v>
      </c>
    </row>
    <row r="15" spans="1:8" x14ac:dyDescent="0.2">
      <c r="A15" s="1">
        <v>45693</v>
      </c>
      <c r="B15">
        <v>124.83</v>
      </c>
      <c r="C15">
        <v>263110624</v>
      </c>
      <c r="D15">
        <v>330761856</v>
      </c>
      <c r="F15" s="1">
        <v>45693</v>
      </c>
      <c r="G15">
        <v>124.83</v>
      </c>
      <c r="H15">
        <v>124.95</v>
      </c>
    </row>
    <row r="16" spans="1:8" x14ac:dyDescent="0.2">
      <c r="A16" s="1">
        <v>45692</v>
      </c>
      <c r="B16">
        <v>118.65</v>
      </c>
      <c r="C16">
        <v>256550048</v>
      </c>
      <c r="D16">
        <v>326260512</v>
      </c>
      <c r="F16" s="1">
        <v>45692</v>
      </c>
      <c r="G16">
        <v>118.65</v>
      </c>
      <c r="H16">
        <v>118.68</v>
      </c>
    </row>
    <row r="17" spans="1:8" x14ac:dyDescent="0.2">
      <c r="A17" s="1">
        <v>45691</v>
      </c>
      <c r="B17">
        <v>116.66</v>
      </c>
      <c r="C17">
        <v>371235680</v>
      </c>
      <c r="D17">
        <v>322811104</v>
      </c>
      <c r="F17" s="1">
        <v>45691</v>
      </c>
      <c r="G17">
        <v>116.66</v>
      </c>
      <c r="H17">
        <v>116.64</v>
      </c>
    </row>
    <row r="18" spans="1:8" x14ac:dyDescent="0.2">
      <c r="A18" s="1">
        <v>45688</v>
      </c>
      <c r="B18">
        <v>120.07</v>
      </c>
      <c r="C18">
        <v>390372896</v>
      </c>
      <c r="D18">
        <v>311902240</v>
      </c>
      <c r="F18" s="1">
        <v>45688</v>
      </c>
      <c r="G18">
        <v>120.07</v>
      </c>
      <c r="H18">
        <v>119.99</v>
      </c>
    </row>
    <row r="19" spans="1:8" x14ac:dyDescent="0.2">
      <c r="A19" s="1">
        <v>45687</v>
      </c>
      <c r="B19">
        <v>124.65</v>
      </c>
      <c r="C19">
        <v>392925472</v>
      </c>
      <c r="D19">
        <v>301034048</v>
      </c>
      <c r="F19" s="1">
        <v>45687</v>
      </c>
      <c r="G19">
        <v>124.65</v>
      </c>
      <c r="H19">
        <v>124.91</v>
      </c>
    </row>
    <row r="20" spans="1:8" x14ac:dyDescent="0.2">
      <c r="A20" s="1">
        <v>45686</v>
      </c>
      <c r="B20">
        <v>123.7</v>
      </c>
      <c r="C20">
        <v>467120640</v>
      </c>
      <c r="D20">
        <v>298291136</v>
      </c>
      <c r="F20" s="1">
        <v>45686</v>
      </c>
      <c r="G20">
        <v>123.7</v>
      </c>
      <c r="H20">
        <v>123.8</v>
      </c>
    </row>
    <row r="21" spans="1:8" x14ac:dyDescent="0.2">
      <c r="A21" s="1">
        <v>45685</v>
      </c>
      <c r="B21">
        <v>128.99</v>
      </c>
      <c r="C21">
        <v>579666368</v>
      </c>
      <c r="D21">
        <v>284841600</v>
      </c>
      <c r="F21" s="1">
        <v>45685</v>
      </c>
      <c r="G21">
        <v>128.99</v>
      </c>
      <c r="H21">
        <v>127.6</v>
      </c>
    </row>
    <row r="22" spans="1:8" x14ac:dyDescent="0.2">
      <c r="A22" s="1">
        <v>45684</v>
      </c>
      <c r="B22">
        <v>118.42</v>
      </c>
      <c r="C22">
        <v>818830912</v>
      </c>
      <c r="D22">
        <v>261485344</v>
      </c>
      <c r="F22" s="1">
        <v>45684</v>
      </c>
      <c r="G22">
        <v>118.42</v>
      </c>
      <c r="H22">
        <v>120.18</v>
      </c>
    </row>
    <row r="23" spans="1:8" x14ac:dyDescent="0.2">
      <c r="A23" s="1">
        <v>45681</v>
      </c>
      <c r="B23">
        <v>142.62</v>
      </c>
      <c r="C23">
        <v>234657632</v>
      </c>
      <c r="D23">
        <v>220113088</v>
      </c>
      <c r="F23" s="1">
        <v>45681</v>
      </c>
      <c r="G23">
        <v>142.62</v>
      </c>
      <c r="H23">
        <v>142.59</v>
      </c>
    </row>
    <row r="24" spans="1:8" x14ac:dyDescent="0.2">
      <c r="A24" s="1">
        <v>45680</v>
      </c>
      <c r="B24">
        <v>147.22</v>
      </c>
      <c r="C24">
        <v>155915552</v>
      </c>
      <c r="D24">
        <v>214846528</v>
      </c>
      <c r="F24" s="1">
        <v>45680</v>
      </c>
      <c r="G24">
        <v>147.22</v>
      </c>
      <c r="H24">
        <v>147.19999999999999</v>
      </c>
    </row>
    <row r="25" spans="1:8" x14ac:dyDescent="0.2">
      <c r="A25" s="1">
        <v>45679</v>
      </c>
      <c r="B25">
        <v>147.07</v>
      </c>
      <c r="C25">
        <v>237651392</v>
      </c>
      <c r="D25">
        <v>215634464</v>
      </c>
      <c r="F25" s="1">
        <v>45679</v>
      </c>
      <c r="G25">
        <v>147.07</v>
      </c>
      <c r="H25">
        <v>147.03</v>
      </c>
    </row>
    <row r="26" spans="1:8" x14ac:dyDescent="0.2">
      <c r="A26" s="1">
        <v>45678</v>
      </c>
      <c r="B26">
        <v>140.83000000000001</v>
      </c>
      <c r="C26">
        <v>197748992</v>
      </c>
      <c r="D26">
        <v>211163216</v>
      </c>
      <c r="F26" s="1">
        <v>45678</v>
      </c>
      <c r="G26">
        <v>140.83000000000001</v>
      </c>
      <c r="H26">
        <v>140.82</v>
      </c>
    </row>
    <row r="27" spans="1:8" x14ac:dyDescent="0.2">
      <c r="A27" s="1">
        <v>45674</v>
      </c>
      <c r="B27">
        <v>137.71</v>
      </c>
      <c r="C27">
        <v>201188768</v>
      </c>
      <c r="D27">
        <v>205747888</v>
      </c>
      <c r="F27" s="1">
        <v>45674</v>
      </c>
      <c r="G27">
        <v>137.71</v>
      </c>
      <c r="H27">
        <v>137.74</v>
      </c>
    </row>
    <row r="28" spans="1:8" x14ac:dyDescent="0.2">
      <c r="A28" s="1">
        <v>45673</v>
      </c>
      <c r="B28">
        <v>133.57</v>
      </c>
      <c r="C28">
        <v>209235584</v>
      </c>
      <c r="D28">
        <v>199345776</v>
      </c>
      <c r="F28" s="1">
        <v>45673</v>
      </c>
      <c r="G28">
        <v>133.57</v>
      </c>
      <c r="H28">
        <v>133.55000000000001</v>
      </c>
    </row>
    <row r="29" spans="1:8" x14ac:dyDescent="0.2">
      <c r="A29" s="1">
        <v>45672</v>
      </c>
      <c r="B29">
        <v>136.24</v>
      </c>
      <c r="C29">
        <v>185217344</v>
      </c>
      <c r="D29">
        <v>197133632</v>
      </c>
      <c r="F29" s="1">
        <v>45672</v>
      </c>
      <c r="G29">
        <v>136.24</v>
      </c>
      <c r="H29">
        <v>136.19</v>
      </c>
    </row>
    <row r="30" spans="1:8" x14ac:dyDescent="0.2">
      <c r="A30" s="1">
        <v>45671</v>
      </c>
      <c r="B30">
        <v>131.76</v>
      </c>
      <c r="C30">
        <v>195590480</v>
      </c>
      <c r="D30">
        <v>205221040</v>
      </c>
      <c r="F30" s="1">
        <v>45671</v>
      </c>
      <c r="G30">
        <v>131.76</v>
      </c>
      <c r="H30">
        <v>131.84</v>
      </c>
    </row>
    <row r="31" spans="1:8" x14ac:dyDescent="0.2">
      <c r="A31" s="1">
        <v>45670</v>
      </c>
      <c r="B31">
        <v>133.22999999999999</v>
      </c>
      <c r="C31">
        <v>204808912</v>
      </c>
      <c r="D31">
        <v>206162960</v>
      </c>
      <c r="F31" s="1">
        <v>45670</v>
      </c>
      <c r="G31">
        <v>133.22999999999999</v>
      </c>
      <c r="H31">
        <v>133.22999999999999</v>
      </c>
    </row>
    <row r="32" spans="1:8" x14ac:dyDescent="0.2">
      <c r="A32" s="1">
        <v>45667</v>
      </c>
      <c r="B32">
        <v>135.91</v>
      </c>
      <c r="C32">
        <v>207602512</v>
      </c>
      <c r="D32">
        <v>211005344</v>
      </c>
      <c r="F32" s="1">
        <v>45667</v>
      </c>
      <c r="G32">
        <v>135.91</v>
      </c>
      <c r="H32">
        <v>135.86000000000001</v>
      </c>
    </row>
    <row r="33" spans="1:8" x14ac:dyDescent="0.2">
      <c r="A33" s="1">
        <v>45665</v>
      </c>
      <c r="B33">
        <v>140.11000000000001</v>
      </c>
      <c r="C33">
        <v>227349952</v>
      </c>
      <c r="D33">
        <v>214459184</v>
      </c>
      <c r="F33" s="1">
        <v>45665</v>
      </c>
      <c r="G33">
        <v>140.11000000000001</v>
      </c>
      <c r="H33">
        <v>140.03</v>
      </c>
    </row>
    <row r="34" spans="1:8" x14ac:dyDescent="0.2">
      <c r="A34" s="1">
        <v>45664</v>
      </c>
      <c r="B34">
        <v>140.13999999999999</v>
      </c>
      <c r="C34">
        <v>351782176</v>
      </c>
      <c r="D34">
        <v>215165936</v>
      </c>
      <c r="F34" s="1">
        <v>45664</v>
      </c>
      <c r="G34">
        <v>140.13999999999999</v>
      </c>
      <c r="H34">
        <v>140.11000000000001</v>
      </c>
    </row>
    <row r="35" spans="1:8" x14ac:dyDescent="0.2">
      <c r="A35" s="1">
        <v>45663</v>
      </c>
      <c r="B35">
        <v>149.43</v>
      </c>
      <c r="C35">
        <v>265377360</v>
      </c>
      <c r="D35">
        <v>207148112</v>
      </c>
      <c r="F35" s="1">
        <v>45663</v>
      </c>
      <c r="G35">
        <v>149.43</v>
      </c>
      <c r="H35">
        <v>149.51</v>
      </c>
    </row>
    <row r="36" spans="1:8" x14ac:dyDescent="0.2">
      <c r="A36" s="1">
        <v>45660</v>
      </c>
      <c r="B36">
        <v>144.47</v>
      </c>
      <c r="C36">
        <v>229322480</v>
      </c>
      <c r="D36">
        <v>200070384</v>
      </c>
      <c r="F36" s="1">
        <v>45660</v>
      </c>
      <c r="G36">
        <v>144.47</v>
      </c>
      <c r="H36">
        <v>144.58000000000001</v>
      </c>
    </row>
    <row r="37" spans="1:8" x14ac:dyDescent="0.2">
      <c r="A37" s="1">
        <v>45659</v>
      </c>
      <c r="B37">
        <v>138.31</v>
      </c>
      <c r="C37">
        <v>198247168</v>
      </c>
      <c r="D37">
        <v>197109232</v>
      </c>
      <c r="F37" s="1">
        <v>45659</v>
      </c>
      <c r="G37">
        <v>138.31</v>
      </c>
      <c r="H37">
        <v>138.27000000000001</v>
      </c>
    </row>
    <row r="38" spans="1:8" x14ac:dyDescent="0.2">
      <c r="A38" s="1">
        <v>45657</v>
      </c>
      <c r="B38">
        <v>134.29</v>
      </c>
      <c r="C38">
        <v>155659216</v>
      </c>
      <c r="D38">
        <v>197894144</v>
      </c>
      <c r="F38" s="1">
        <v>45657</v>
      </c>
      <c r="G38">
        <v>134.29</v>
      </c>
      <c r="H38">
        <v>134.19999999999999</v>
      </c>
    </row>
    <row r="39" spans="1:8" x14ac:dyDescent="0.2">
      <c r="A39" s="1">
        <v>45656</v>
      </c>
      <c r="B39">
        <v>137.49</v>
      </c>
      <c r="C39">
        <v>167734704</v>
      </c>
      <c r="D39">
        <v>200137440</v>
      </c>
      <c r="F39" s="1">
        <v>45656</v>
      </c>
      <c r="G39">
        <v>137.49</v>
      </c>
      <c r="H39">
        <v>137.38</v>
      </c>
    </row>
    <row r="40" spans="1:8" x14ac:dyDescent="0.2">
      <c r="A40" s="1">
        <v>45653</v>
      </c>
      <c r="B40">
        <v>137.01</v>
      </c>
      <c r="C40">
        <v>170582608</v>
      </c>
      <c r="D40">
        <v>201522160</v>
      </c>
      <c r="F40" s="1">
        <v>45653</v>
      </c>
      <c r="G40">
        <v>137.01</v>
      </c>
      <c r="H40">
        <v>137.11000000000001</v>
      </c>
    </row>
    <row r="41" spans="1:8" x14ac:dyDescent="0.2">
      <c r="A41" s="1">
        <v>45652</v>
      </c>
      <c r="B41">
        <v>139.93</v>
      </c>
      <c r="C41">
        <v>116519088</v>
      </c>
      <c r="D41">
        <v>201658064</v>
      </c>
      <c r="F41" s="1">
        <v>45652</v>
      </c>
      <c r="G41">
        <v>139.93</v>
      </c>
      <c r="H41">
        <v>139.9</v>
      </c>
    </row>
    <row r="42" spans="1:8" x14ac:dyDescent="0.2">
      <c r="A42" s="1">
        <v>45650</v>
      </c>
      <c r="B42">
        <v>140.22</v>
      </c>
      <c r="C42">
        <v>105156992</v>
      </c>
      <c r="D42">
        <v>209305088</v>
      </c>
      <c r="F42" s="1">
        <v>45650</v>
      </c>
      <c r="G42">
        <v>140.22</v>
      </c>
      <c r="H42">
        <v>140.35</v>
      </c>
    </row>
    <row r="43" spans="1:8" x14ac:dyDescent="0.2">
      <c r="A43" s="1">
        <v>45649</v>
      </c>
      <c r="B43">
        <v>139.66999999999999</v>
      </c>
      <c r="C43">
        <v>176053504</v>
      </c>
      <c r="D43">
        <v>213255552</v>
      </c>
      <c r="F43" s="1">
        <v>45649</v>
      </c>
      <c r="G43">
        <v>139.66999999999999</v>
      </c>
      <c r="H43">
        <v>139.66</v>
      </c>
    </row>
    <row r="44" spans="1:8" x14ac:dyDescent="0.2">
      <c r="A44" s="1">
        <v>45646</v>
      </c>
      <c r="B44">
        <v>134.69999999999999</v>
      </c>
      <c r="C44">
        <v>306528544</v>
      </c>
      <c r="D44">
        <v>212964160</v>
      </c>
      <c r="F44" s="1">
        <v>45646</v>
      </c>
      <c r="G44">
        <v>134.69999999999999</v>
      </c>
      <c r="H44">
        <v>134.96</v>
      </c>
    </row>
    <row r="45" spans="1:8" x14ac:dyDescent="0.2">
      <c r="A45" s="1">
        <v>45645</v>
      </c>
      <c r="B45">
        <v>130.68</v>
      </c>
      <c r="C45">
        <v>209719216</v>
      </c>
      <c r="D45">
        <v>201986464</v>
      </c>
      <c r="F45" s="1">
        <v>45645</v>
      </c>
      <c r="G45">
        <v>130.68</v>
      </c>
      <c r="H45">
        <v>130.65</v>
      </c>
    </row>
    <row r="46" spans="1:8" x14ac:dyDescent="0.2">
      <c r="A46" s="1">
        <v>45644</v>
      </c>
      <c r="B46">
        <v>128.91</v>
      </c>
      <c r="C46">
        <v>277444544</v>
      </c>
      <c r="D46">
        <v>203096592</v>
      </c>
      <c r="F46" s="1">
        <v>45644</v>
      </c>
      <c r="G46">
        <v>128.91</v>
      </c>
      <c r="H46">
        <v>128.69999999999999</v>
      </c>
    </row>
    <row r="47" spans="1:8" x14ac:dyDescent="0.2">
      <c r="A47" s="1">
        <v>45643</v>
      </c>
      <c r="B47">
        <v>130.38999999999999</v>
      </c>
      <c r="C47">
        <v>259410256</v>
      </c>
      <c r="D47">
        <v>197286128</v>
      </c>
      <c r="F47" s="1">
        <v>45643</v>
      </c>
      <c r="G47">
        <v>130.38999999999999</v>
      </c>
      <c r="H47">
        <v>130.32</v>
      </c>
    </row>
    <row r="48" spans="1:8" x14ac:dyDescent="0.2">
      <c r="A48" s="1">
        <v>45642</v>
      </c>
      <c r="B48">
        <v>132</v>
      </c>
      <c r="C48">
        <v>237951136</v>
      </c>
      <c r="D48">
        <v>202988240</v>
      </c>
      <c r="F48" s="1">
        <v>45642</v>
      </c>
      <c r="G48">
        <v>132</v>
      </c>
      <c r="H48">
        <v>131.97</v>
      </c>
    </row>
    <row r="49" spans="1:8" x14ac:dyDescent="0.2">
      <c r="A49" s="1">
        <v>45639</v>
      </c>
      <c r="B49">
        <v>134.25</v>
      </c>
      <c r="C49">
        <v>231514880</v>
      </c>
      <c r="D49">
        <v>202885232</v>
      </c>
      <c r="F49" s="1">
        <v>45639</v>
      </c>
      <c r="G49">
        <v>134.25</v>
      </c>
      <c r="H49">
        <v>134.21</v>
      </c>
    </row>
    <row r="50" spans="1:8" x14ac:dyDescent="0.2">
      <c r="A50" s="1">
        <v>45638</v>
      </c>
      <c r="B50">
        <v>137.34</v>
      </c>
      <c r="C50">
        <v>159211392</v>
      </c>
      <c r="D50">
        <v>214180688</v>
      </c>
      <c r="F50" s="1">
        <v>45638</v>
      </c>
      <c r="G50">
        <v>137.34</v>
      </c>
      <c r="H50">
        <v>137.30000000000001</v>
      </c>
    </row>
    <row r="51" spans="1:8" x14ac:dyDescent="0.2">
      <c r="A51" s="1">
        <v>45637</v>
      </c>
      <c r="B51">
        <v>139.31</v>
      </c>
      <c r="C51">
        <v>184905184</v>
      </c>
      <c r="D51">
        <v>224224704</v>
      </c>
      <c r="F51" s="1">
        <v>45637</v>
      </c>
      <c r="G51">
        <v>139.31</v>
      </c>
      <c r="H51">
        <v>139.27000000000001</v>
      </c>
    </row>
    <row r="52" spans="1:8" x14ac:dyDescent="0.2">
      <c r="A52" s="1">
        <v>45636</v>
      </c>
      <c r="B52">
        <v>135.07</v>
      </c>
      <c r="C52">
        <v>210020896</v>
      </c>
      <c r="D52">
        <v>227086672</v>
      </c>
      <c r="F52" s="1">
        <v>45636</v>
      </c>
      <c r="G52">
        <v>135.07</v>
      </c>
      <c r="H52">
        <v>135.08000000000001</v>
      </c>
    </row>
    <row r="53" spans="1:8" x14ac:dyDescent="0.2">
      <c r="A53" s="1">
        <v>45635</v>
      </c>
      <c r="B53">
        <v>138.81</v>
      </c>
      <c r="C53">
        <v>189308624</v>
      </c>
      <c r="D53">
        <v>227876352</v>
      </c>
      <c r="F53" s="1">
        <v>45635</v>
      </c>
      <c r="G53">
        <v>138.81</v>
      </c>
      <c r="H53">
        <v>138.80000000000001</v>
      </c>
    </row>
    <row r="54" spans="1:8" x14ac:dyDescent="0.2">
      <c r="A54" s="1">
        <v>45632</v>
      </c>
      <c r="B54">
        <v>142.44</v>
      </c>
      <c r="C54">
        <v>188505568</v>
      </c>
      <c r="D54">
        <v>231931296</v>
      </c>
      <c r="F54" s="1">
        <v>45632</v>
      </c>
      <c r="G54">
        <v>142.44</v>
      </c>
      <c r="H54">
        <v>142.4</v>
      </c>
    </row>
    <row r="55" spans="1:8" x14ac:dyDescent="0.2">
      <c r="A55" s="1">
        <v>45631</v>
      </c>
      <c r="B55">
        <v>145.06</v>
      </c>
      <c r="C55">
        <v>172621184</v>
      </c>
      <c r="D55">
        <v>232328480</v>
      </c>
      <c r="F55" s="1">
        <v>45631</v>
      </c>
      <c r="G55">
        <v>145.06</v>
      </c>
      <c r="H55">
        <v>145</v>
      </c>
    </row>
    <row r="56" spans="1:8" x14ac:dyDescent="0.2">
      <c r="A56" s="1">
        <v>45630</v>
      </c>
      <c r="B56">
        <v>145.13999999999999</v>
      </c>
      <c r="C56">
        <v>231224288</v>
      </c>
      <c r="D56">
        <v>233613952</v>
      </c>
      <c r="F56" s="1">
        <v>45630</v>
      </c>
      <c r="G56">
        <v>145.13999999999999</v>
      </c>
      <c r="H56">
        <v>145.13</v>
      </c>
    </row>
    <row r="57" spans="1:8" x14ac:dyDescent="0.2">
      <c r="A57" s="1">
        <v>45629</v>
      </c>
      <c r="B57">
        <v>140.26</v>
      </c>
      <c r="C57">
        <v>164413968</v>
      </c>
      <c r="D57">
        <v>231441312</v>
      </c>
      <c r="F57" s="1">
        <v>45629</v>
      </c>
      <c r="G57">
        <v>140.26</v>
      </c>
      <c r="H57">
        <v>140.25</v>
      </c>
    </row>
    <row r="58" spans="1:8" x14ac:dyDescent="0.2">
      <c r="A58" s="1">
        <v>45628</v>
      </c>
      <c r="B58">
        <v>138.63</v>
      </c>
      <c r="C58">
        <v>171682784</v>
      </c>
      <c r="D58">
        <v>232635424</v>
      </c>
      <c r="F58" s="1">
        <v>45628</v>
      </c>
      <c r="G58">
        <v>138.63</v>
      </c>
      <c r="H58">
        <v>138.63</v>
      </c>
    </row>
    <row r="59" spans="1:8" x14ac:dyDescent="0.2">
      <c r="A59" s="1">
        <v>45625</v>
      </c>
      <c r="B59">
        <v>138.25</v>
      </c>
      <c r="C59">
        <v>141863152</v>
      </c>
      <c r="D59">
        <v>232900960</v>
      </c>
      <c r="F59" s="1">
        <v>45625</v>
      </c>
      <c r="G59">
        <v>138.25</v>
      </c>
      <c r="H59">
        <v>138.27000000000001</v>
      </c>
    </row>
    <row r="60" spans="1:8" x14ac:dyDescent="0.2">
      <c r="A60" s="1">
        <v>45623</v>
      </c>
      <c r="B60">
        <v>135.34</v>
      </c>
      <c r="C60">
        <v>226370912</v>
      </c>
      <c r="D60">
        <v>237264976</v>
      </c>
      <c r="F60" s="1">
        <v>45623</v>
      </c>
      <c r="G60">
        <v>135.34</v>
      </c>
      <c r="H60">
        <v>135.38999999999999</v>
      </c>
    </row>
    <row r="61" spans="1:8" x14ac:dyDescent="0.2">
      <c r="A61" s="1">
        <v>45622</v>
      </c>
      <c r="B61">
        <v>136.91999999999999</v>
      </c>
      <c r="C61">
        <v>190287648</v>
      </c>
      <c r="D61">
        <v>238309840</v>
      </c>
      <c r="F61" s="1">
        <v>45622</v>
      </c>
      <c r="G61">
        <v>136.91999999999999</v>
      </c>
      <c r="H61">
        <v>136.82</v>
      </c>
    </row>
    <row r="62" spans="1:8" x14ac:dyDescent="0.2">
      <c r="A62" s="1">
        <v>45621</v>
      </c>
      <c r="B62">
        <v>136.02000000000001</v>
      </c>
      <c r="C62">
        <v>344941888</v>
      </c>
      <c r="D62">
        <v>236326496</v>
      </c>
      <c r="F62" s="1">
        <v>45621</v>
      </c>
      <c r="G62">
        <v>136.02000000000001</v>
      </c>
      <c r="H62">
        <v>135.93</v>
      </c>
    </row>
    <row r="63" spans="1:8" x14ac:dyDescent="0.2">
      <c r="A63" s="1">
        <v>45618</v>
      </c>
      <c r="B63">
        <v>141.94999999999999</v>
      </c>
      <c r="C63">
        <v>236406160</v>
      </c>
      <c r="D63">
        <v>225832240</v>
      </c>
      <c r="F63" s="1">
        <v>45618</v>
      </c>
      <c r="G63">
        <v>141.94999999999999</v>
      </c>
      <c r="H63">
        <v>141.88</v>
      </c>
    </row>
    <row r="64" spans="1:8" x14ac:dyDescent="0.2">
      <c r="A64" s="1">
        <v>45617</v>
      </c>
      <c r="B64">
        <v>146.66999999999999</v>
      </c>
      <c r="C64">
        <v>400946560</v>
      </c>
      <c r="D64">
        <v>223880352</v>
      </c>
      <c r="F64" s="1">
        <v>45617</v>
      </c>
      <c r="G64">
        <v>146.66999999999999</v>
      </c>
      <c r="H64">
        <v>146.61000000000001</v>
      </c>
    </row>
    <row r="65" spans="1:8" x14ac:dyDescent="0.2">
      <c r="A65" s="1">
        <v>45616</v>
      </c>
      <c r="B65">
        <v>145.88999999999999</v>
      </c>
      <c r="C65">
        <v>309871648</v>
      </c>
      <c r="D65">
        <v>215153232</v>
      </c>
      <c r="F65" s="1">
        <v>45616</v>
      </c>
      <c r="G65">
        <v>145.88999999999999</v>
      </c>
      <c r="H65">
        <v>145.86000000000001</v>
      </c>
    </row>
    <row r="66" spans="1:8" x14ac:dyDescent="0.2">
      <c r="A66" s="1">
        <v>45615</v>
      </c>
      <c r="B66">
        <v>147.01</v>
      </c>
      <c r="C66">
        <v>227834912</v>
      </c>
      <c r="D66">
        <v>206456320</v>
      </c>
      <c r="F66" s="1">
        <v>45615</v>
      </c>
      <c r="G66">
        <v>147.01</v>
      </c>
      <c r="H66">
        <v>147</v>
      </c>
    </row>
    <row r="67" spans="1:8" x14ac:dyDescent="0.2">
      <c r="A67" s="1">
        <v>45614</v>
      </c>
      <c r="B67">
        <v>140.15</v>
      </c>
      <c r="C67">
        <v>221866000</v>
      </c>
      <c r="D67">
        <v>201773568</v>
      </c>
      <c r="F67" s="1">
        <v>45614</v>
      </c>
      <c r="G67">
        <v>140.15</v>
      </c>
      <c r="H67">
        <v>140.19</v>
      </c>
    </row>
    <row r="68" spans="1:8" x14ac:dyDescent="0.2">
      <c r="A68" s="1">
        <v>45611</v>
      </c>
      <c r="B68">
        <v>141.97999999999999</v>
      </c>
      <c r="C68">
        <v>250132864</v>
      </c>
      <c r="D68">
        <v>198554960</v>
      </c>
      <c r="F68" s="1">
        <v>45611</v>
      </c>
      <c r="G68">
        <v>141.97999999999999</v>
      </c>
      <c r="H68">
        <v>141.93</v>
      </c>
    </row>
    <row r="69" spans="1:8" x14ac:dyDescent="0.2">
      <c r="A69" s="1">
        <v>45610</v>
      </c>
      <c r="B69">
        <v>146.76</v>
      </c>
      <c r="C69">
        <v>194463296</v>
      </c>
      <c r="D69">
        <v>195554240</v>
      </c>
      <c r="F69" s="1">
        <v>45610</v>
      </c>
      <c r="G69">
        <v>146.76</v>
      </c>
      <c r="H69">
        <v>146.79</v>
      </c>
    </row>
    <row r="70" spans="1:8" x14ac:dyDescent="0.2">
      <c r="A70" s="1">
        <v>45609</v>
      </c>
      <c r="B70">
        <v>146.27000000000001</v>
      </c>
      <c r="C70">
        <v>191903264</v>
      </c>
      <c r="D70">
        <v>194080352</v>
      </c>
      <c r="F70" s="1">
        <v>45609</v>
      </c>
      <c r="G70">
        <v>146.27000000000001</v>
      </c>
      <c r="H70">
        <v>146.26</v>
      </c>
    </row>
    <row r="71" spans="1:8" x14ac:dyDescent="0.2">
      <c r="A71" s="1">
        <v>45608</v>
      </c>
      <c r="B71">
        <v>148.29</v>
      </c>
      <c r="C71">
        <v>198634736</v>
      </c>
      <c r="D71">
        <v>200348800</v>
      </c>
      <c r="F71" s="1">
        <v>45608</v>
      </c>
      <c r="G71">
        <v>148.29</v>
      </c>
      <c r="H71">
        <v>148.38999999999999</v>
      </c>
    </row>
    <row r="72" spans="1:8" x14ac:dyDescent="0.2">
      <c r="A72" s="1">
        <v>45607</v>
      </c>
      <c r="B72">
        <v>145.26</v>
      </c>
      <c r="C72">
        <v>182325616</v>
      </c>
      <c r="D72">
        <v>202193920</v>
      </c>
      <c r="F72" s="1">
        <v>45607</v>
      </c>
      <c r="G72">
        <v>145.26</v>
      </c>
      <c r="H72">
        <v>145.28</v>
      </c>
    </row>
    <row r="73" spans="1:8" x14ac:dyDescent="0.2">
      <c r="A73" s="1">
        <v>45604</v>
      </c>
      <c r="B73">
        <v>147.63</v>
      </c>
      <c r="C73">
        <v>175665824</v>
      </c>
      <c r="D73">
        <v>207675840</v>
      </c>
      <c r="F73" s="1">
        <v>45604</v>
      </c>
      <c r="G73">
        <v>147.63</v>
      </c>
      <c r="H73">
        <v>147.44</v>
      </c>
    </row>
    <row r="74" spans="1:8" x14ac:dyDescent="0.2">
      <c r="A74" s="1">
        <v>45603</v>
      </c>
      <c r="B74">
        <v>148.88</v>
      </c>
      <c r="C74">
        <v>207323296</v>
      </c>
      <c r="D74">
        <v>207704144</v>
      </c>
      <c r="F74" s="1">
        <v>45603</v>
      </c>
      <c r="G74">
        <v>148.88</v>
      </c>
      <c r="H74">
        <v>148.88</v>
      </c>
    </row>
    <row r="75" spans="1:8" x14ac:dyDescent="0.2">
      <c r="A75" s="1">
        <v>45602</v>
      </c>
      <c r="B75">
        <v>145.61000000000001</v>
      </c>
      <c r="C75">
        <v>242043952</v>
      </c>
      <c r="D75">
        <v>214311648</v>
      </c>
      <c r="F75" s="1">
        <v>45602</v>
      </c>
      <c r="G75">
        <v>145.61000000000001</v>
      </c>
      <c r="H75">
        <v>145.52000000000001</v>
      </c>
    </row>
    <row r="76" spans="1:8" x14ac:dyDescent="0.2">
      <c r="A76" s="1">
        <v>45601</v>
      </c>
      <c r="B76">
        <v>139.91</v>
      </c>
      <c r="C76">
        <v>160537376</v>
      </c>
      <c r="D76">
        <v>215834032</v>
      </c>
      <c r="F76" s="1">
        <v>45601</v>
      </c>
      <c r="G76">
        <v>139.91</v>
      </c>
      <c r="H76">
        <v>139.9</v>
      </c>
    </row>
    <row r="77" spans="1:8" x14ac:dyDescent="0.2">
      <c r="A77" s="1">
        <v>45600</v>
      </c>
      <c r="B77">
        <v>136.05000000000001</v>
      </c>
      <c r="C77">
        <v>187528176</v>
      </c>
      <c r="D77">
        <v>230320272</v>
      </c>
      <c r="F77" s="1">
        <v>45600</v>
      </c>
      <c r="G77">
        <v>136.05000000000001</v>
      </c>
      <c r="H77">
        <v>136.07</v>
      </c>
    </row>
    <row r="78" spans="1:8" x14ac:dyDescent="0.2">
      <c r="A78" s="1">
        <v>45597</v>
      </c>
      <c r="B78">
        <v>135.4</v>
      </c>
      <c r="C78">
        <v>207127840</v>
      </c>
      <c r="D78">
        <v>233308240</v>
      </c>
      <c r="F78" s="1">
        <v>45597</v>
      </c>
      <c r="G78">
        <v>135.4</v>
      </c>
      <c r="H78">
        <v>135.4</v>
      </c>
    </row>
    <row r="79" spans="1:8" x14ac:dyDescent="0.2">
      <c r="A79" s="1">
        <v>45596</v>
      </c>
      <c r="B79">
        <v>132.76</v>
      </c>
      <c r="C79">
        <v>270039648</v>
      </c>
      <c r="D79">
        <v>230847008</v>
      </c>
      <c r="F79" s="1">
        <v>45596</v>
      </c>
      <c r="G79">
        <v>132.76</v>
      </c>
      <c r="H79">
        <v>132.52000000000001</v>
      </c>
    </row>
    <row r="80" spans="1:8" x14ac:dyDescent="0.2">
      <c r="A80" s="1">
        <v>45595</v>
      </c>
      <c r="B80">
        <v>139.33500000000001</v>
      </c>
      <c r="C80">
        <v>179418080</v>
      </c>
      <c r="D80">
        <v>228998464</v>
      </c>
      <c r="F80" s="1">
        <v>45595</v>
      </c>
      <c r="G80">
        <v>139.33500000000001</v>
      </c>
      <c r="H80">
        <v>139.18</v>
      </c>
    </row>
    <row r="81" spans="1:8" x14ac:dyDescent="0.2">
      <c r="A81" s="1">
        <v>45594</v>
      </c>
      <c r="B81">
        <v>141.25</v>
      </c>
      <c r="C81">
        <v>157593632</v>
      </c>
      <c r="D81">
        <v>233450032</v>
      </c>
      <c r="F81" s="1">
        <v>45594</v>
      </c>
      <c r="G81">
        <v>141.25</v>
      </c>
      <c r="H81">
        <v>141.27000000000001</v>
      </c>
    </row>
    <row r="82" spans="1:8" x14ac:dyDescent="0.2">
      <c r="A82" s="1">
        <v>45593</v>
      </c>
      <c r="B82">
        <v>140.52000000000001</v>
      </c>
      <c r="C82">
        <v>173586752</v>
      </c>
      <c r="D82">
        <v>241991952</v>
      </c>
      <c r="F82" s="1">
        <v>45593</v>
      </c>
      <c r="G82">
        <v>140.52000000000001</v>
      </c>
      <c r="H82">
        <v>140.47</v>
      </c>
    </row>
    <row r="83" spans="1:8" x14ac:dyDescent="0.2">
      <c r="A83" s="1">
        <v>45590</v>
      </c>
      <c r="B83">
        <v>141.54</v>
      </c>
      <c r="C83">
        <v>205122112</v>
      </c>
      <c r="D83">
        <v>253502848</v>
      </c>
      <c r="F83" s="1">
        <v>45590</v>
      </c>
      <c r="G83">
        <v>141.54</v>
      </c>
      <c r="H83">
        <v>141.46</v>
      </c>
    </row>
    <row r="84" spans="1:8" x14ac:dyDescent="0.2">
      <c r="A84" s="1">
        <v>45589</v>
      </c>
      <c r="B84">
        <v>140.41</v>
      </c>
      <c r="C84">
        <v>172354880</v>
      </c>
      <c r="D84">
        <v>256125744</v>
      </c>
      <c r="F84" s="1">
        <v>45589</v>
      </c>
      <c r="G84">
        <v>140.41</v>
      </c>
      <c r="H84">
        <v>140.4</v>
      </c>
    </row>
    <row r="85" spans="1:8" x14ac:dyDescent="0.2">
      <c r="A85" s="1">
        <v>45588</v>
      </c>
      <c r="B85">
        <v>139.56</v>
      </c>
      <c r="C85">
        <v>285930048</v>
      </c>
      <c r="D85">
        <v>263109952</v>
      </c>
      <c r="F85" s="1">
        <v>45588</v>
      </c>
      <c r="G85">
        <v>139.56</v>
      </c>
      <c r="H85">
        <v>139.56</v>
      </c>
    </row>
    <row r="86" spans="1:8" x14ac:dyDescent="0.2">
      <c r="A86" s="1">
        <v>45587</v>
      </c>
      <c r="B86">
        <v>143.59</v>
      </c>
      <c r="C86">
        <v>226311584</v>
      </c>
      <c r="D86">
        <v>258837680</v>
      </c>
      <c r="F86" s="1">
        <v>45587</v>
      </c>
      <c r="G86">
        <v>143.59</v>
      </c>
      <c r="H86">
        <v>143.57</v>
      </c>
    </row>
    <row r="87" spans="1:8" x14ac:dyDescent="0.2">
      <c r="A87" s="1">
        <v>45586</v>
      </c>
      <c r="B87">
        <v>143.71</v>
      </c>
      <c r="C87">
        <v>264554512</v>
      </c>
      <c r="D87">
        <v>263889872</v>
      </c>
      <c r="F87" s="1">
        <v>45586</v>
      </c>
      <c r="G87">
        <v>143.71</v>
      </c>
      <c r="H87">
        <v>143.69999999999999</v>
      </c>
    </row>
    <row r="88" spans="1:8" x14ac:dyDescent="0.2">
      <c r="A88" s="1">
        <v>45583</v>
      </c>
      <c r="B88">
        <v>138</v>
      </c>
      <c r="C88">
        <v>176090176</v>
      </c>
      <c r="D88">
        <v>261389808</v>
      </c>
      <c r="F88" s="1">
        <v>45583</v>
      </c>
      <c r="G88">
        <v>138</v>
      </c>
      <c r="H88">
        <v>137.97999999999999</v>
      </c>
    </row>
    <row r="89" spans="1:8" x14ac:dyDescent="0.2">
      <c r="A89" s="1">
        <v>45582</v>
      </c>
      <c r="B89">
        <v>136.93</v>
      </c>
      <c r="C89">
        <v>306435936</v>
      </c>
      <c r="D89">
        <v>267717744</v>
      </c>
      <c r="F89" s="1">
        <v>45582</v>
      </c>
      <c r="G89">
        <v>136.93</v>
      </c>
      <c r="H89">
        <v>136.91999999999999</v>
      </c>
    </row>
    <row r="90" spans="1:8" x14ac:dyDescent="0.2">
      <c r="A90" s="1">
        <v>45581</v>
      </c>
      <c r="B90">
        <v>135.72</v>
      </c>
      <c r="C90">
        <v>264879712</v>
      </c>
      <c r="D90">
        <v>267460880</v>
      </c>
      <c r="F90" s="1">
        <v>45581</v>
      </c>
      <c r="G90">
        <v>135.72</v>
      </c>
      <c r="H90">
        <v>135.68</v>
      </c>
    </row>
    <row r="91" spans="1:8" x14ac:dyDescent="0.2">
      <c r="A91" s="1">
        <v>45580</v>
      </c>
      <c r="B91">
        <v>131.6</v>
      </c>
      <c r="C91">
        <v>377831008</v>
      </c>
      <c r="D91">
        <v>268781760</v>
      </c>
      <c r="F91" s="1">
        <v>45580</v>
      </c>
      <c r="G91">
        <v>131.6</v>
      </c>
      <c r="H91">
        <v>131.6</v>
      </c>
    </row>
    <row r="92" spans="1:8" x14ac:dyDescent="0.2">
      <c r="A92" s="1">
        <v>45579</v>
      </c>
      <c r="B92">
        <v>138.07</v>
      </c>
      <c r="C92">
        <v>232347664</v>
      </c>
      <c r="D92">
        <v>267257488</v>
      </c>
      <c r="F92" s="1">
        <v>45579</v>
      </c>
      <c r="G92">
        <v>138.07</v>
      </c>
      <c r="H92">
        <v>138.13999999999999</v>
      </c>
    </row>
    <row r="93" spans="1:8" x14ac:dyDescent="0.2">
      <c r="A93" s="1">
        <v>45576</v>
      </c>
      <c r="B93">
        <v>134.80000000000001</v>
      </c>
      <c r="C93">
        <v>170209472</v>
      </c>
      <c r="D93">
        <v>265516208</v>
      </c>
      <c r="F93" s="1">
        <v>45576</v>
      </c>
      <c r="G93">
        <v>134.80000000000001</v>
      </c>
      <c r="H93">
        <v>134.72999999999999</v>
      </c>
    </row>
    <row r="94" spans="1:8" x14ac:dyDescent="0.2">
      <c r="A94" s="1">
        <v>45575</v>
      </c>
      <c r="B94">
        <v>134.81</v>
      </c>
      <c r="C94">
        <v>242311344</v>
      </c>
      <c r="D94">
        <v>279666400</v>
      </c>
      <c r="F94" s="1">
        <v>45575</v>
      </c>
      <c r="G94">
        <v>134.81</v>
      </c>
      <c r="H94">
        <v>134.81</v>
      </c>
    </row>
    <row r="95" spans="1:8" x14ac:dyDescent="0.2">
      <c r="A95" s="1">
        <v>45574</v>
      </c>
      <c r="B95">
        <v>132.65</v>
      </c>
      <c r="C95">
        <v>246191616</v>
      </c>
      <c r="D95">
        <v>283079392</v>
      </c>
      <c r="F95" s="1">
        <v>45574</v>
      </c>
      <c r="G95">
        <v>132.65</v>
      </c>
      <c r="H95">
        <v>132.61000000000001</v>
      </c>
    </row>
    <row r="96" spans="1:8" x14ac:dyDescent="0.2">
      <c r="A96" s="1">
        <v>45573</v>
      </c>
      <c r="B96">
        <v>132.88999999999999</v>
      </c>
      <c r="C96">
        <v>285722496</v>
      </c>
      <c r="D96">
        <v>287354560</v>
      </c>
      <c r="F96" s="1">
        <v>45573</v>
      </c>
      <c r="G96">
        <v>132.88999999999999</v>
      </c>
      <c r="H96">
        <v>132.93</v>
      </c>
    </row>
    <row r="97" spans="1:8" x14ac:dyDescent="0.2">
      <c r="A97" s="1">
        <v>45572</v>
      </c>
      <c r="B97">
        <v>127.72</v>
      </c>
      <c r="C97">
        <v>346250240</v>
      </c>
      <c r="D97">
        <v>283768128</v>
      </c>
      <c r="F97" s="1">
        <v>45572</v>
      </c>
      <c r="G97">
        <v>127.72</v>
      </c>
      <c r="H97">
        <v>127.76</v>
      </c>
    </row>
    <row r="98" spans="1:8" x14ac:dyDescent="0.2">
      <c r="A98" s="1">
        <v>45569</v>
      </c>
      <c r="B98">
        <v>124.92</v>
      </c>
      <c r="C98">
        <v>244465552</v>
      </c>
      <c r="D98">
        <v>277269600</v>
      </c>
      <c r="F98" s="1">
        <v>45569</v>
      </c>
      <c r="G98">
        <v>124.92</v>
      </c>
      <c r="H98">
        <v>124.89</v>
      </c>
    </row>
    <row r="99" spans="1:8" x14ac:dyDescent="0.2">
      <c r="A99" s="1">
        <v>45568</v>
      </c>
      <c r="B99">
        <v>122.85</v>
      </c>
      <c r="C99">
        <v>277117984</v>
      </c>
      <c r="D99">
        <v>276862432</v>
      </c>
      <c r="F99" s="1">
        <v>45568</v>
      </c>
      <c r="G99">
        <v>122.85</v>
      </c>
      <c r="H99">
        <v>122.84</v>
      </c>
    </row>
    <row r="100" spans="1:8" x14ac:dyDescent="0.2">
      <c r="A100" s="1">
        <v>45567</v>
      </c>
      <c r="B100">
        <v>118.85</v>
      </c>
      <c r="C100">
        <v>221845888</v>
      </c>
      <c r="D100">
        <v>282861280</v>
      </c>
      <c r="F100" s="1">
        <v>45567</v>
      </c>
      <c r="G100">
        <v>118.85</v>
      </c>
      <c r="H100">
        <v>118.82</v>
      </c>
    </row>
    <row r="101" spans="1:8" x14ac:dyDescent="0.2">
      <c r="A101" s="1">
        <v>45566</v>
      </c>
      <c r="B101">
        <v>117</v>
      </c>
      <c r="C101">
        <v>302094496</v>
      </c>
      <c r="D101">
        <v>297499712</v>
      </c>
      <c r="F101" s="1">
        <v>45566</v>
      </c>
      <c r="G101">
        <v>117</v>
      </c>
      <c r="H101">
        <v>116.92</v>
      </c>
    </row>
    <row r="102" spans="1:8" x14ac:dyDescent="0.2">
      <c r="A102" s="1">
        <v>45565</v>
      </c>
      <c r="B102">
        <v>121.44</v>
      </c>
      <c r="C102">
        <v>227053648</v>
      </c>
      <c r="D102">
        <v>295245664</v>
      </c>
      <c r="F102" s="1">
        <v>45565</v>
      </c>
      <c r="G102">
        <v>121.44</v>
      </c>
      <c r="H102">
        <v>121.49</v>
      </c>
    </row>
    <row r="103" spans="1:8" x14ac:dyDescent="0.2">
      <c r="A103" s="1">
        <v>45562</v>
      </c>
      <c r="B103">
        <v>121.4</v>
      </c>
      <c r="C103">
        <v>271009184</v>
      </c>
      <c r="D103">
        <v>298369536</v>
      </c>
      <c r="F103" s="1">
        <v>45562</v>
      </c>
      <c r="G103">
        <v>121.4</v>
      </c>
      <c r="H103">
        <v>121.39</v>
      </c>
    </row>
    <row r="104" spans="1:8" x14ac:dyDescent="0.2">
      <c r="A104" s="1">
        <v>45561</v>
      </c>
      <c r="B104">
        <v>124.04</v>
      </c>
      <c r="C104">
        <v>302582880</v>
      </c>
      <c r="D104">
        <v>307878144</v>
      </c>
      <c r="F104" s="1">
        <v>45561</v>
      </c>
      <c r="G104">
        <v>124.04</v>
      </c>
      <c r="H104">
        <v>123.98</v>
      </c>
    </row>
    <row r="105" spans="1:8" x14ac:dyDescent="0.2">
      <c r="A105" s="1">
        <v>45560</v>
      </c>
      <c r="B105">
        <v>123.51</v>
      </c>
      <c r="C105">
        <v>284692960</v>
      </c>
      <c r="D105">
        <v>308162656</v>
      </c>
      <c r="F105" s="1">
        <v>45560</v>
      </c>
      <c r="G105">
        <v>123.51</v>
      </c>
      <c r="H105">
        <v>123.55</v>
      </c>
    </row>
    <row r="106" spans="1:8" x14ac:dyDescent="0.2">
      <c r="A106" s="1">
        <v>45559</v>
      </c>
      <c r="B106">
        <v>120.87</v>
      </c>
      <c r="C106">
        <v>354966784</v>
      </c>
      <c r="D106">
        <v>314014496</v>
      </c>
      <c r="F106" s="1">
        <v>45559</v>
      </c>
      <c r="G106">
        <v>120.87</v>
      </c>
      <c r="H106">
        <v>120.94</v>
      </c>
    </row>
    <row r="107" spans="1:8" x14ac:dyDescent="0.2">
      <c r="A107" s="1">
        <v>45558</v>
      </c>
      <c r="B107">
        <v>116.26</v>
      </c>
      <c r="C107">
        <v>206228496</v>
      </c>
      <c r="D107">
        <v>322160384</v>
      </c>
      <c r="F107" s="1">
        <v>45558</v>
      </c>
      <c r="G107">
        <v>116.26</v>
      </c>
      <c r="H107">
        <v>116.24</v>
      </c>
    </row>
    <row r="108" spans="1:8" x14ac:dyDescent="0.2">
      <c r="A108" s="1">
        <v>45555</v>
      </c>
      <c r="B108">
        <v>116</v>
      </c>
      <c r="C108">
        <v>382462432</v>
      </c>
      <c r="D108">
        <v>330661920</v>
      </c>
      <c r="F108" s="1">
        <v>45555</v>
      </c>
      <c r="G108">
        <v>116</v>
      </c>
      <c r="H108">
        <v>116.07</v>
      </c>
    </row>
    <row r="109" spans="1:8" x14ac:dyDescent="0.2">
      <c r="A109" s="1">
        <v>45554</v>
      </c>
      <c r="B109">
        <v>117.87</v>
      </c>
      <c r="C109">
        <v>293506432</v>
      </c>
      <c r="D109">
        <v>335365984</v>
      </c>
      <c r="F109" s="1">
        <v>45554</v>
      </c>
      <c r="G109">
        <v>117.87</v>
      </c>
      <c r="H109">
        <v>117.96</v>
      </c>
    </row>
    <row r="110" spans="1:8" x14ac:dyDescent="0.2">
      <c r="A110" s="1">
        <v>45553</v>
      </c>
      <c r="B110">
        <v>113.37</v>
      </c>
      <c r="C110">
        <v>310318944</v>
      </c>
      <c r="D110">
        <v>345672288</v>
      </c>
      <c r="F110" s="1">
        <v>45553</v>
      </c>
      <c r="G110">
        <v>113.37</v>
      </c>
      <c r="H110">
        <v>113.22</v>
      </c>
    </row>
    <row r="111" spans="1:8" x14ac:dyDescent="0.2">
      <c r="A111" s="1">
        <v>45552</v>
      </c>
      <c r="B111">
        <v>115.59</v>
      </c>
      <c r="C111">
        <v>231925872</v>
      </c>
      <c r="D111">
        <v>345193312</v>
      </c>
      <c r="F111" s="1">
        <v>45552</v>
      </c>
      <c r="G111">
        <v>115.59</v>
      </c>
      <c r="H111">
        <v>115.55</v>
      </c>
    </row>
    <row r="112" spans="1:8" x14ac:dyDescent="0.2">
      <c r="A112" s="1">
        <v>45551</v>
      </c>
      <c r="B112">
        <v>116.78</v>
      </c>
      <c r="C112">
        <v>248772304</v>
      </c>
      <c r="D112">
        <v>351862592</v>
      </c>
      <c r="F112" s="1">
        <v>45551</v>
      </c>
      <c r="G112">
        <v>116.78</v>
      </c>
      <c r="H112">
        <v>116.75</v>
      </c>
    </row>
    <row r="113" spans="1:8" x14ac:dyDescent="0.2">
      <c r="A113" s="1">
        <v>45548</v>
      </c>
      <c r="B113">
        <v>119.1</v>
      </c>
      <c r="C113">
        <v>238358336</v>
      </c>
      <c r="D113">
        <v>356826432</v>
      </c>
      <c r="F113" s="1">
        <v>45548</v>
      </c>
      <c r="G113">
        <v>119.1</v>
      </c>
      <c r="H113">
        <v>119.07</v>
      </c>
    </row>
    <row r="114" spans="1:8" x14ac:dyDescent="0.2">
      <c r="A114" s="1">
        <v>45547</v>
      </c>
      <c r="B114">
        <v>119.14</v>
      </c>
      <c r="C114">
        <v>367100480</v>
      </c>
      <c r="D114">
        <v>366015168</v>
      </c>
      <c r="F114" s="1">
        <v>45547</v>
      </c>
      <c r="G114">
        <v>119.14</v>
      </c>
      <c r="H114">
        <v>119.19</v>
      </c>
    </row>
    <row r="115" spans="1:8" x14ac:dyDescent="0.2">
      <c r="A115" s="1">
        <v>45546</v>
      </c>
      <c r="B115">
        <v>116.91</v>
      </c>
      <c r="C115">
        <v>441422368</v>
      </c>
      <c r="D115">
        <v>358734048</v>
      </c>
      <c r="F115" s="1">
        <v>45546</v>
      </c>
      <c r="G115">
        <v>116.91</v>
      </c>
      <c r="H115">
        <v>116.78</v>
      </c>
    </row>
    <row r="116" spans="1:8" x14ac:dyDescent="0.2">
      <c r="A116" s="1">
        <v>45545</v>
      </c>
      <c r="B116">
        <v>108.1</v>
      </c>
      <c r="C116">
        <v>268283744</v>
      </c>
      <c r="D116">
        <v>349311712</v>
      </c>
      <c r="F116" s="1">
        <v>45545</v>
      </c>
      <c r="G116">
        <v>108.1</v>
      </c>
      <c r="H116">
        <v>108.02</v>
      </c>
    </row>
    <row r="117" spans="1:8" x14ac:dyDescent="0.2">
      <c r="A117" s="1">
        <v>45544</v>
      </c>
      <c r="B117">
        <v>106.47</v>
      </c>
      <c r="C117">
        <v>273912000</v>
      </c>
      <c r="D117">
        <v>352648352</v>
      </c>
      <c r="F117" s="1">
        <v>45544</v>
      </c>
      <c r="G117">
        <v>106.47</v>
      </c>
      <c r="H117">
        <v>106.46</v>
      </c>
    </row>
    <row r="118" spans="1:8" x14ac:dyDescent="0.2">
      <c r="A118" s="1">
        <v>45541</v>
      </c>
      <c r="B118">
        <v>102.83</v>
      </c>
      <c r="C118">
        <v>413638112</v>
      </c>
      <c r="D118">
        <v>354560224</v>
      </c>
      <c r="F118" s="1">
        <v>45541</v>
      </c>
      <c r="G118">
        <v>102.83</v>
      </c>
      <c r="H118">
        <v>102.83</v>
      </c>
    </row>
    <row r="119" spans="1:8" x14ac:dyDescent="0.2">
      <c r="A119" s="1">
        <v>45540</v>
      </c>
      <c r="B119">
        <v>107.21</v>
      </c>
      <c r="C119">
        <v>306850688</v>
      </c>
      <c r="D119">
        <v>348190112</v>
      </c>
      <c r="F119" s="1">
        <v>45540</v>
      </c>
      <c r="G119">
        <v>107.21</v>
      </c>
      <c r="H119">
        <v>107.24</v>
      </c>
    </row>
    <row r="120" spans="1:8" x14ac:dyDescent="0.2">
      <c r="A120" s="1">
        <v>45539</v>
      </c>
      <c r="B120">
        <v>106.21</v>
      </c>
      <c r="C120">
        <v>372470304</v>
      </c>
      <c r="D120">
        <v>350349824</v>
      </c>
      <c r="F120" s="1">
        <v>45539</v>
      </c>
      <c r="G120">
        <v>106.21</v>
      </c>
      <c r="H120">
        <v>106.15</v>
      </c>
    </row>
    <row r="121" spans="1:8" x14ac:dyDescent="0.2">
      <c r="A121" s="1">
        <v>45538</v>
      </c>
      <c r="B121">
        <v>108</v>
      </c>
      <c r="C121">
        <v>477155104</v>
      </c>
      <c r="D121">
        <v>346361600</v>
      </c>
      <c r="F121" s="1">
        <v>45538</v>
      </c>
      <c r="G121">
        <v>108</v>
      </c>
      <c r="H121">
        <v>108.01</v>
      </c>
    </row>
    <row r="122" spans="1:8" x14ac:dyDescent="0.2">
      <c r="A122" s="1">
        <v>45534</v>
      </c>
      <c r="B122">
        <v>119.37</v>
      </c>
      <c r="C122">
        <v>333751584</v>
      </c>
      <c r="D122">
        <v>336255232</v>
      </c>
      <c r="F122" s="1">
        <v>45534</v>
      </c>
      <c r="G122">
        <v>119.37</v>
      </c>
      <c r="H122">
        <v>119.36</v>
      </c>
    </row>
    <row r="123" spans="1:8" x14ac:dyDescent="0.2">
      <c r="A123" s="1">
        <v>45533</v>
      </c>
      <c r="B123">
        <v>117.59</v>
      </c>
      <c r="C123">
        <v>453023296</v>
      </c>
      <c r="D123">
        <v>333394752</v>
      </c>
      <c r="F123" s="1">
        <v>45533</v>
      </c>
      <c r="G123">
        <v>117.59</v>
      </c>
      <c r="H123">
        <v>117.59</v>
      </c>
    </row>
    <row r="124" spans="1:8" x14ac:dyDescent="0.2">
      <c r="A124" s="1">
        <v>45532</v>
      </c>
      <c r="B124">
        <v>125.61</v>
      </c>
      <c r="C124">
        <v>448101120</v>
      </c>
      <c r="D124">
        <v>329320544</v>
      </c>
      <c r="F124" s="1">
        <v>45532</v>
      </c>
      <c r="G124">
        <v>125.61</v>
      </c>
      <c r="H124">
        <v>125.59</v>
      </c>
    </row>
    <row r="125" spans="1:8" x14ac:dyDescent="0.2">
      <c r="A125" s="1">
        <v>45531</v>
      </c>
      <c r="B125">
        <v>128.30000000000001</v>
      </c>
      <c r="C125">
        <v>303134560</v>
      </c>
      <c r="D125">
        <v>326876480</v>
      </c>
      <c r="F125" s="1">
        <v>45531</v>
      </c>
      <c r="G125">
        <v>128.30000000000001</v>
      </c>
      <c r="H125">
        <v>128.34</v>
      </c>
    </row>
    <row r="126" spans="1:8" x14ac:dyDescent="0.2">
      <c r="A126" s="1">
        <v>45530</v>
      </c>
      <c r="B126">
        <v>126.46</v>
      </c>
      <c r="C126">
        <v>331964672</v>
      </c>
      <c r="D126">
        <v>333934976</v>
      </c>
      <c r="F126" s="1">
        <v>45530</v>
      </c>
      <c r="G126">
        <v>126.46</v>
      </c>
      <c r="H126">
        <v>126.45</v>
      </c>
    </row>
    <row r="127" spans="1:8" x14ac:dyDescent="0.2">
      <c r="A127" s="1">
        <v>45527</v>
      </c>
      <c r="B127">
        <v>129.37</v>
      </c>
      <c r="C127">
        <v>323230336</v>
      </c>
      <c r="D127">
        <v>348660160</v>
      </c>
      <c r="F127" s="1">
        <v>45527</v>
      </c>
      <c r="G127">
        <v>129.37</v>
      </c>
      <c r="H127">
        <v>129.25</v>
      </c>
    </row>
    <row r="128" spans="1:8" x14ac:dyDescent="0.2">
      <c r="A128" s="1">
        <v>45526</v>
      </c>
      <c r="B128">
        <v>123.74</v>
      </c>
      <c r="C128">
        <v>376189088</v>
      </c>
      <c r="D128">
        <v>359246656</v>
      </c>
      <c r="F128" s="1">
        <v>45526</v>
      </c>
      <c r="G128">
        <v>123.74</v>
      </c>
      <c r="H128">
        <v>123.82</v>
      </c>
    </row>
    <row r="129" spans="1:8" x14ac:dyDescent="0.2">
      <c r="A129" s="1">
        <v>45525</v>
      </c>
      <c r="B129">
        <v>128.5</v>
      </c>
      <c r="C129">
        <v>257883568</v>
      </c>
      <c r="D129">
        <v>369064864</v>
      </c>
      <c r="F129" s="1">
        <v>45525</v>
      </c>
      <c r="G129">
        <v>128.5</v>
      </c>
      <c r="H129">
        <v>128.38999999999999</v>
      </c>
    </row>
    <row r="130" spans="1:8" x14ac:dyDescent="0.2">
      <c r="A130" s="1">
        <v>45524</v>
      </c>
      <c r="B130">
        <v>127.25</v>
      </c>
      <c r="C130">
        <v>300087424</v>
      </c>
      <c r="D130">
        <v>383417568</v>
      </c>
      <c r="F130" s="1">
        <v>45524</v>
      </c>
      <c r="G130">
        <v>127.25</v>
      </c>
      <c r="H130">
        <v>127.24</v>
      </c>
    </row>
    <row r="131" spans="1:8" x14ac:dyDescent="0.2">
      <c r="A131" s="1">
        <v>45523</v>
      </c>
      <c r="B131">
        <v>130</v>
      </c>
      <c r="C131">
        <v>318333568</v>
      </c>
      <c r="D131">
        <v>395867296</v>
      </c>
      <c r="F131" s="1">
        <v>45523</v>
      </c>
      <c r="G131">
        <v>130</v>
      </c>
      <c r="H131">
        <v>129.99</v>
      </c>
    </row>
    <row r="132" spans="1:8" x14ac:dyDescent="0.2">
      <c r="A132" s="1">
        <v>45520</v>
      </c>
      <c r="B132">
        <v>124.58</v>
      </c>
      <c r="C132">
        <v>302589888</v>
      </c>
      <c r="D132">
        <v>391188512</v>
      </c>
      <c r="F132" s="1">
        <v>45520</v>
      </c>
      <c r="G132">
        <v>124.58</v>
      </c>
      <c r="H132">
        <v>124.57</v>
      </c>
    </row>
    <row r="133" spans="1:8" x14ac:dyDescent="0.2">
      <c r="A133" s="1">
        <v>45519</v>
      </c>
      <c r="B133">
        <v>122.86</v>
      </c>
      <c r="C133">
        <v>318086688</v>
      </c>
      <c r="D133">
        <v>390575808</v>
      </c>
    </row>
    <row r="134" spans="1:8" x14ac:dyDescent="0.2">
      <c r="A134" s="1">
        <v>45518</v>
      </c>
      <c r="B134">
        <v>118.08</v>
      </c>
      <c r="C134">
        <v>339246400</v>
      </c>
    </row>
    <row r="135" spans="1:8" x14ac:dyDescent="0.2">
      <c r="A135" s="1">
        <v>45517</v>
      </c>
      <c r="B135">
        <v>116.14</v>
      </c>
      <c r="C135">
        <v>312646656</v>
      </c>
    </row>
    <row r="136" spans="1:8" x14ac:dyDescent="0.2">
      <c r="A136" s="1">
        <v>45516</v>
      </c>
      <c r="B136">
        <v>109.02</v>
      </c>
      <c r="C136">
        <v>325559872</v>
      </c>
    </row>
    <row r="137" spans="1:8" x14ac:dyDescent="0.2">
      <c r="A137" s="1">
        <v>45513</v>
      </c>
      <c r="B137">
        <v>104.75</v>
      </c>
      <c r="C137">
        <v>290844160</v>
      </c>
    </row>
    <row r="138" spans="1:8" x14ac:dyDescent="0.2">
      <c r="A138" s="1">
        <v>45512</v>
      </c>
      <c r="B138">
        <v>104.97</v>
      </c>
      <c r="C138">
        <v>391910016</v>
      </c>
    </row>
    <row r="139" spans="1:8" x14ac:dyDescent="0.2">
      <c r="A139" s="1">
        <v>45511</v>
      </c>
      <c r="B139">
        <v>98.91</v>
      </c>
      <c r="C139">
        <v>411440416</v>
      </c>
    </row>
    <row r="140" spans="1:8" x14ac:dyDescent="0.2">
      <c r="A140" s="1">
        <v>45510</v>
      </c>
      <c r="B140">
        <v>104.25</v>
      </c>
      <c r="C140">
        <v>409012096</v>
      </c>
    </row>
    <row r="141" spans="1:8" x14ac:dyDescent="0.2">
      <c r="A141" s="1">
        <v>45509</v>
      </c>
      <c r="B141">
        <v>100.45</v>
      </c>
      <c r="C141">
        <v>552842368</v>
      </c>
    </row>
    <row r="142" spans="1:8" x14ac:dyDescent="0.2">
      <c r="A142" s="1">
        <v>45506</v>
      </c>
      <c r="B142">
        <v>107.27</v>
      </c>
      <c r="C142">
        <v>482027456</v>
      </c>
    </row>
    <row r="143" spans="1:8" x14ac:dyDescent="0.2">
      <c r="A143" s="1">
        <v>45505</v>
      </c>
      <c r="B143">
        <v>109.21</v>
      </c>
      <c r="C143">
        <v>523462336</v>
      </c>
    </row>
    <row r="144" spans="1:8" x14ac:dyDescent="0.2">
      <c r="A144" s="1">
        <v>45504</v>
      </c>
      <c r="B144">
        <v>117.02</v>
      </c>
      <c r="C144">
        <v>473174176</v>
      </c>
    </row>
    <row r="145" spans="1:3" x14ac:dyDescent="0.2">
      <c r="A145" s="1">
        <v>45503</v>
      </c>
      <c r="B145">
        <v>103.73</v>
      </c>
      <c r="C145">
        <v>486833280</v>
      </c>
    </row>
    <row r="146" spans="1:3" x14ac:dyDescent="0.2">
      <c r="A146" s="1">
        <v>45502</v>
      </c>
      <c r="B146">
        <v>111.59</v>
      </c>
      <c r="C146">
        <v>248152064</v>
      </c>
    </row>
    <row r="147" spans="1:3" x14ac:dyDescent="0.2">
      <c r="A147" s="1">
        <v>45499</v>
      </c>
      <c r="B147">
        <v>113.06</v>
      </c>
      <c r="C147">
        <v>293399072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35F6D-385F-4E3C-9641-E8E1D64868B5}">
  <sheetPr codeName="Sheet2"/>
  <dimension ref="A2:D147"/>
  <sheetViews>
    <sheetView topLeftCell="A113" workbookViewId="0">
      <selection activeCell="B3" sqref="B3:B147"/>
    </sheetView>
  </sheetViews>
  <sheetFormatPr baseColWidth="10" defaultColWidth="8.83203125" defaultRowHeight="15" x14ac:dyDescent="0.2"/>
  <cols>
    <col min="1" max="1" width="10.5" bestFit="1" customWidth="1"/>
  </cols>
  <sheetData>
    <row r="2" spans="1:4" x14ac:dyDescent="0.2">
      <c r="A2" t="s">
        <v>0</v>
      </c>
      <c r="B2" t="s">
        <v>1</v>
      </c>
      <c r="C2" t="s">
        <v>2</v>
      </c>
      <c r="D2" t="s">
        <v>3</v>
      </c>
    </row>
    <row r="3" spans="1:4" x14ac:dyDescent="0.2">
      <c r="A3" s="1">
        <v>45712</v>
      </c>
      <c r="B3">
        <v>330.53</v>
      </c>
      <c r="C3">
        <v>76052320</v>
      </c>
      <c r="D3">
        <v>75373184</v>
      </c>
    </row>
    <row r="4" spans="1:4" x14ac:dyDescent="0.2">
      <c r="A4" s="1">
        <v>45709</v>
      </c>
      <c r="B4">
        <v>337.8</v>
      </c>
      <c r="C4">
        <v>74058648</v>
      </c>
      <c r="D4">
        <v>75874248</v>
      </c>
    </row>
    <row r="5" spans="1:4" x14ac:dyDescent="0.2">
      <c r="A5" s="1">
        <v>45708</v>
      </c>
      <c r="B5">
        <v>354.4</v>
      </c>
      <c r="C5">
        <v>45965352</v>
      </c>
      <c r="D5">
        <v>77476528</v>
      </c>
    </row>
    <row r="6" spans="1:4" x14ac:dyDescent="0.2">
      <c r="A6" s="1">
        <v>45707</v>
      </c>
      <c r="B6">
        <v>360.56</v>
      </c>
      <c r="C6">
        <v>67094376</v>
      </c>
      <c r="D6">
        <v>78947744</v>
      </c>
    </row>
    <row r="7" spans="1:4" x14ac:dyDescent="0.2">
      <c r="A7" s="1">
        <v>45706</v>
      </c>
      <c r="B7">
        <v>354.11</v>
      </c>
      <c r="C7">
        <v>51631704</v>
      </c>
      <c r="D7">
        <v>77735504</v>
      </c>
    </row>
    <row r="8" spans="1:4" x14ac:dyDescent="0.2">
      <c r="A8" s="1">
        <v>45702</v>
      </c>
      <c r="B8">
        <v>355.84</v>
      </c>
      <c r="C8">
        <v>68277280</v>
      </c>
      <c r="D8">
        <v>78168424</v>
      </c>
    </row>
    <row r="9" spans="1:4" x14ac:dyDescent="0.2">
      <c r="A9" s="1">
        <v>45701</v>
      </c>
      <c r="B9">
        <v>355.94</v>
      </c>
      <c r="C9">
        <v>89441520</v>
      </c>
      <c r="D9">
        <v>77378416</v>
      </c>
    </row>
    <row r="10" spans="1:4" x14ac:dyDescent="0.2">
      <c r="A10" s="1">
        <v>45700</v>
      </c>
      <c r="B10">
        <v>336.51</v>
      </c>
      <c r="C10">
        <v>105382728</v>
      </c>
      <c r="D10">
        <v>74795016</v>
      </c>
    </row>
    <row r="11" spans="1:4" x14ac:dyDescent="0.2">
      <c r="A11" s="1">
        <v>45699</v>
      </c>
      <c r="B11">
        <v>328.5</v>
      </c>
      <c r="C11">
        <v>118543400</v>
      </c>
      <c r="D11">
        <v>71833728</v>
      </c>
    </row>
    <row r="12" spans="1:4" x14ac:dyDescent="0.2">
      <c r="A12" s="1">
        <v>45698</v>
      </c>
      <c r="B12">
        <v>350.73</v>
      </c>
      <c r="C12">
        <v>77514904</v>
      </c>
      <c r="D12">
        <v>69752224</v>
      </c>
    </row>
    <row r="13" spans="1:4" x14ac:dyDescent="0.2">
      <c r="A13" s="1">
        <v>45695</v>
      </c>
      <c r="B13">
        <v>361.62</v>
      </c>
      <c r="C13">
        <v>70298256</v>
      </c>
      <c r="D13">
        <v>70917328</v>
      </c>
    </row>
    <row r="14" spans="1:4" x14ac:dyDescent="0.2">
      <c r="A14" s="1">
        <v>45694</v>
      </c>
      <c r="B14">
        <v>374.32</v>
      </c>
      <c r="C14">
        <v>77918232</v>
      </c>
      <c r="D14">
        <v>70786456</v>
      </c>
    </row>
    <row r="15" spans="1:4" x14ac:dyDescent="0.2">
      <c r="A15" s="1">
        <v>45693</v>
      </c>
      <c r="B15">
        <v>378.17</v>
      </c>
      <c r="C15">
        <v>57614720</v>
      </c>
      <c r="D15">
        <v>71016936</v>
      </c>
    </row>
    <row r="16" spans="1:4" x14ac:dyDescent="0.2">
      <c r="A16" s="1">
        <v>45692</v>
      </c>
      <c r="B16">
        <v>392.21</v>
      </c>
      <c r="C16">
        <v>57072236</v>
      </c>
      <c r="D16">
        <v>72813624</v>
      </c>
    </row>
    <row r="17" spans="1:4" x14ac:dyDescent="0.2">
      <c r="A17" s="1">
        <v>45691</v>
      </c>
      <c r="B17">
        <v>383.68</v>
      </c>
      <c r="C17">
        <v>93732120</v>
      </c>
      <c r="D17">
        <v>73514176</v>
      </c>
    </row>
    <row r="18" spans="1:4" x14ac:dyDescent="0.2">
      <c r="A18" s="1">
        <v>45688</v>
      </c>
      <c r="B18">
        <v>404.6</v>
      </c>
      <c r="C18">
        <v>83568216</v>
      </c>
      <c r="D18">
        <v>71417856</v>
      </c>
    </row>
    <row r="19" spans="1:4" x14ac:dyDescent="0.2">
      <c r="A19" s="1">
        <v>45687</v>
      </c>
      <c r="B19">
        <v>400.28</v>
      </c>
      <c r="C19">
        <v>98092880</v>
      </c>
      <c r="D19">
        <v>70715896</v>
      </c>
    </row>
    <row r="20" spans="1:4" x14ac:dyDescent="0.2">
      <c r="A20" s="1">
        <v>45686</v>
      </c>
      <c r="B20">
        <v>389.1</v>
      </c>
      <c r="C20">
        <v>68033648</v>
      </c>
      <c r="D20">
        <v>69223000</v>
      </c>
    </row>
    <row r="21" spans="1:4" x14ac:dyDescent="0.2">
      <c r="A21" s="1">
        <v>45685</v>
      </c>
      <c r="B21">
        <v>398.09</v>
      </c>
      <c r="C21">
        <v>48910676</v>
      </c>
      <c r="D21">
        <v>70388528</v>
      </c>
    </row>
    <row r="22" spans="1:4" x14ac:dyDescent="0.2">
      <c r="A22" s="1">
        <v>45684</v>
      </c>
      <c r="B22">
        <v>397.15</v>
      </c>
      <c r="C22">
        <v>58125512</v>
      </c>
      <c r="D22">
        <v>73489376</v>
      </c>
    </row>
    <row r="23" spans="1:4" x14ac:dyDescent="0.2">
      <c r="A23" s="1">
        <v>45681</v>
      </c>
      <c r="B23">
        <v>406.58</v>
      </c>
      <c r="C23">
        <v>56427148</v>
      </c>
      <c r="D23">
        <v>76928392</v>
      </c>
    </row>
    <row r="24" spans="1:4" x14ac:dyDescent="0.2">
      <c r="A24" s="1">
        <v>45680</v>
      </c>
      <c r="B24">
        <v>412.38</v>
      </c>
      <c r="C24">
        <v>50690592</v>
      </c>
      <c r="D24">
        <v>78288256</v>
      </c>
    </row>
    <row r="25" spans="1:4" x14ac:dyDescent="0.2">
      <c r="A25" s="1">
        <v>45679</v>
      </c>
      <c r="B25">
        <v>415.11</v>
      </c>
      <c r="C25">
        <v>60963344</v>
      </c>
      <c r="D25">
        <v>79238280</v>
      </c>
    </row>
    <row r="26" spans="1:4" x14ac:dyDescent="0.2">
      <c r="A26" s="1">
        <v>45678</v>
      </c>
      <c r="B26">
        <v>424.07</v>
      </c>
      <c r="C26">
        <v>87320896</v>
      </c>
      <c r="D26">
        <v>80685176</v>
      </c>
    </row>
    <row r="27" spans="1:4" x14ac:dyDescent="0.2">
      <c r="A27" s="1">
        <v>45674</v>
      </c>
      <c r="B27">
        <v>426.5</v>
      </c>
      <c r="C27">
        <v>94991432</v>
      </c>
      <c r="D27">
        <v>79973864</v>
      </c>
    </row>
    <row r="28" spans="1:4" x14ac:dyDescent="0.2">
      <c r="A28" s="1">
        <v>45673</v>
      </c>
      <c r="B28">
        <v>413.82</v>
      </c>
      <c r="C28">
        <v>68335152</v>
      </c>
      <c r="D28">
        <v>77611224</v>
      </c>
    </row>
    <row r="29" spans="1:4" x14ac:dyDescent="0.2">
      <c r="A29" s="1">
        <v>45672</v>
      </c>
      <c r="B29">
        <v>428.22</v>
      </c>
      <c r="C29">
        <v>81375456</v>
      </c>
      <c r="D29">
        <v>77902080</v>
      </c>
    </row>
    <row r="30" spans="1:4" x14ac:dyDescent="0.2">
      <c r="A30" s="1">
        <v>45671</v>
      </c>
      <c r="B30">
        <v>396.36</v>
      </c>
      <c r="C30">
        <v>84565024</v>
      </c>
      <c r="D30">
        <v>81291464</v>
      </c>
    </row>
    <row r="31" spans="1:4" x14ac:dyDescent="0.2">
      <c r="A31" s="1">
        <v>45670</v>
      </c>
      <c r="B31">
        <v>403.31</v>
      </c>
      <c r="C31">
        <v>67580496</v>
      </c>
      <c r="D31">
        <v>83558208</v>
      </c>
    </row>
    <row r="32" spans="1:4" x14ac:dyDescent="0.2">
      <c r="A32" s="1">
        <v>45667</v>
      </c>
      <c r="B32">
        <v>394.74</v>
      </c>
      <c r="C32">
        <v>62287332</v>
      </c>
      <c r="D32">
        <v>89008888</v>
      </c>
    </row>
    <row r="33" spans="1:4" x14ac:dyDescent="0.2">
      <c r="A33" s="1">
        <v>45665</v>
      </c>
      <c r="B33">
        <v>394.94</v>
      </c>
      <c r="C33">
        <v>73038808</v>
      </c>
      <c r="D33">
        <v>93604600</v>
      </c>
    </row>
    <row r="34" spans="1:4" x14ac:dyDescent="0.2">
      <c r="A34" s="1">
        <v>45664</v>
      </c>
      <c r="B34">
        <v>394.36</v>
      </c>
      <c r="C34">
        <v>75699528</v>
      </c>
      <c r="D34">
        <v>96340936</v>
      </c>
    </row>
    <row r="35" spans="1:4" x14ac:dyDescent="0.2">
      <c r="A35" s="1">
        <v>45663</v>
      </c>
      <c r="B35">
        <v>411.05</v>
      </c>
      <c r="C35">
        <v>85516536</v>
      </c>
      <c r="D35">
        <v>97227640</v>
      </c>
    </row>
    <row r="36" spans="1:4" x14ac:dyDescent="0.2">
      <c r="A36" s="1">
        <v>45660</v>
      </c>
      <c r="B36">
        <v>410.44</v>
      </c>
      <c r="C36">
        <v>95423328</v>
      </c>
      <c r="D36">
        <v>97376688</v>
      </c>
    </row>
    <row r="37" spans="1:4" x14ac:dyDescent="0.2">
      <c r="A37" s="1">
        <v>45659</v>
      </c>
      <c r="B37">
        <v>379.28</v>
      </c>
      <c r="C37">
        <v>109710752</v>
      </c>
      <c r="D37">
        <v>97967640</v>
      </c>
    </row>
    <row r="38" spans="1:4" x14ac:dyDescent="0.2">
      <c r="A38" s="1">
        <v>45657</v>
      </c>
      <c r="B38">
        <v>403.84</v>
      </c>
      <c r="C38">
        <v>76825120</v>
      </c>
      <c r="D38">
        <v>97157824</v>
      </c>
    </row>
    <row r="39" spans="1:4" x14ac:dyDescent="0.2">
      <c r="A39" s="1">
        <v>45656</v>
      </c>
      <c r="B39">
        <v>417.41</v>
      </c>
      <c r="C39">
        <v>64941012</v>
      </c>
      <c r="D39">
        <v>98460096</v>
      </c>
    </row>
    <row r="40" spans="1:4" x14ac:dyDescent="0.2">
      <c r="A40" s="1">
        <v>45653</v>
      </c>
      <c r="B40">
        <v>431.66</v>
      </c>
      <c r="C40">
        <v>82666824</v>
      </c>
      <c r="D40">
        <v>99561080</v>
      </c>
    </row>
    <row r="41" spans="1:4" x14ac:dyDescent="0.2">
      <c r="A41" s="1">
        <v>45652</v>
      </c>
      <c r="B41">
        <v>454.13</v>
      </c>
      <c r="C41">
        <v>76651208</v>
      </c>
      <c r="D41">
        <v>99476864</v>
      </c>
    </row>
    <row r="42" spans="1:4" x14ac:dyDescent="0.2">
      <c r="A42" s="1">
        <v>45650</v>
      </c>
      <c r="B42">
        <v>462.28</v>
      </c>
      <c r="C42">
        <v>59551752</v>
      </c>
      <c r="D42">
        <v>97754176</v>
      </c>
    </row>
    <row r="43" spans="1:4" x14ac:dyDescent="0.2">
      <c r="A43" s="1">
        <v>45649</v>
      </c>
      <c r="B43">
        <v>430.6</v>
      </c>
      <c r="C43">
        <v>72698056</v>
      </c>
      <c r="D43">
        <v>97668544</v>
      </c>
    </row>
    <row r="44" spans="1:4" x14ac:dyDescent="0.2">
      <c r="A44" s="1">
        <v>45646</v>
      </c>
      <c r="B44">
        <v>421.06</v>
      </c>
      <c r="C44">
        <v>132216176</v>
      </c>
      <c r="D44">
        <v>98021104</v>
      </c>
    </row>
    <row r="45" spans="1:4" x14ac:dyDescent="0.2">
      <c r="A45" s="1">
        <v>45645</v>
      </c>
      <c r="B45">
        <v>436.17</v>
      </c>
      <c r="C45">
        <v>118566144</v>
      </c>
      <c r="D45">
        <v>91684528</v>
      </c>
    </row>
    <row r="46" spans="1:4" x14ac:dyDescent="0.2">
      <c r="A46" s="1">
        <v>45644</v>
      </c>
      <c r="B46">
        <v>440.13</v>
      </c>
      <c r="C46">
        <v>149340784</v>
      </c>
      <c r="D46">
        <v>87639888</v>
      </c>
    </row>
    <row r="47" spans="1:4" x14ac:dyDescent="0.2">
      <c r="A47" s="1">
        <v>45643</v>
      </c>
      <c r="B47">
        <v>479.86</v>
      </c>
      <c r="C47">
        <v>131222976</v>
      </c>
      <c r="D47">
        <v>81836888</v>
      </c>
    </row>
    <row r="48" spans="1:4" x14ac:dyDescent="0.2">
      <c r="A48" s="1">
        <v>45642</v>
      </c>
      <c r="B48">
        <v>463.02</v>
      </c>
      <c r="C48">
        <v>114083808</v>
      </c>
      <c r="D48">
        <v>79481416</v>
      </c>
    </row>
    <row r="49" spans="1:4" x14ac:dyDescent="0.2">
      <c r="A49" s="1">
        <v>45639</v>
      </c>
      <c r="B49">
        <v>436.23</v>
      </c>
      <c r="C49">
        <v>89000160</v>
      </c>
      <c r="D49">
        <v>77818544</v>
      </c>
    </row>
    <row r="50" spans="1:4" x14ac:dyDescent="0.2">
      <c r="A50" s="1">
        <v>45638</v>
      </c>
      <c r="B50">
        <v>418.1</v>
      </c>
      <c r="C50">
        <v>87752224</v>
      </c>
      <c r="D50">
        <v>75752648</v>
      </c>
    </row>
    <row r="51" spans="1:4" x14ac:dyDescent="0.2">
      <c r="A51" s="1">
        <v>45637</v>
      </c>
      <c r="B51">
        <v>424.77</v>
      </c>
      <c r="C51">
        <v>104287560</v>
      </c>
      <c r="D51">
        <v>74325208</v>
      </c>
    </row>
    <row r="52" spans="1:4" x14ac:dyDescent="0.2">
      <c r="A52" s="1">
        <v>45636</v>
      </c>
      <c r="B52">
        <v>400.99</v>
      </c>
      <c r="C52">
        <v>97563576</v>
      </c>
      <c r="D52">
        <v>73296200</v>
      </c>
    </row>
    <row r="53" spans="1:4" x14ac:dyDescent="0.2">
      <c r="A53" s="1">
        <v>45635</v>
      </c>
      <c r="B53">
        <v>389.79</v>
      </c>
      <c r="C53">
        <v>96359176</v>
      </c>
      <c r="D53">
        <v>75228464</v>
      </c>
    </row>
    <row r="54" spans="1:4" x14ac:dyDescent="0.2">
      <c r="A54" s="1">
        <v>45632</v>
      </c>
      <c r="B54">
        <v>389.22</v>
      </c>
      <c r="C54">
        <v>81455832</v>
      </c>
      <c r="D54">
        <v>76433872</v>
      </c>
    </row>
    <row r="55" spans="1:4" x14ac:dyDescent="0.2">
      <c r="A55" s="1">
        <v>45631</v>
      </c>
      <c r="B55">
        <v>369.49</v>
      </c>
      <c r="C55">
        <v>81403568</v>
      </c>
      <c r="D55">
        <v>79051888</v>
      </c>
    </row>
    <row r="56" spans="1:4" x14ac:dyDescent="0.2">
      <c r="A56" s="1">
        <v>45630</v>
      </c>
      <c r="B56">
        <v>357.93</v>
      </c>
      <c r="C56">
        <v>50810872</v>
      </c>
      <c r="D56">
        <v>81985360</v>
      </c>
    </row>
    <row r="57" spans="1:4" x14ac:dyDescent="0.2">
      <c r="A57" s="1">
        <v>45629</v>
      </c>
      <c r="B57">
        <v>351.42</v>
      </c>
      <c r="C57">
        <v>58267196</v>
      </c>
      <c r="D57">
        <v>88979696</v>
      </c>
    </row>
    <row r="58" spans="1:4" x14ac:dyDescent="0.2">
      <c r="A58" s="1">
        <v>45628</v>
      </c>
      <c r="B58">
        <v>357.09</v>
      </c>
      <c r="C58">
        <v>77986480</v>
      </c>
      <c r="D58">
        <v>99129992</v>
      </c>
    </row>
    <row r="59" spans="1:4" x14ac:dyDescent="0.2">
      <c r="A59" s="1">
        <v>45625</v>
      </c>
      <c r="B59">
        <v>345.16</v>
      </c>
      <c r="C59">
        <v>37167620</v>
      </c>
      <c r="D59">
        <v>107583080</v>
      </c>
    </row>
    <row r="60" spans="1:4" x14ac:dyDescent="0.2">
      <c r="A60" s="1">
        <v>45623</v>
      </c>
      <c r="B60">
        <v>332.89</v>
      </c>
      <c r="C60">
        <v>57896440</v>
      </c>
      <c r="D60">
        <v>112925856</v>
      </c>
    </row>
    <row r="61" spans="1:4" x14ac:dyDescent="0.2">
      <c r="A61" s="1">
        <v>45622</v>
      </c>
      <c r="B61">
        <v>338.23</v>
      </c>
      <c r="C61">
        <v>62295856</v>
      </c>
      <c r="D61">
        <v>120081336</v>
      </c>
    </row>
    <row r="62" spans="1:4" x14ac:dyDescent="0.2">
      <c r="A62" s="1">
        <v>45621</v>
      </c>
      <c r="B62">
        <v>338.59</v>
      </c>
      <c r="C62">
        <v>95890896</v>
      </c>
      <c r="D62">
        <v>120547120</v>
      </c>
    </row>
    <row r="63" spans="1:4" x14ac:dyDescent="0.2">
      <c r="A63" s="1">
        <v>45618</v>
      </c>
      <c r="B63">
        <v>352.56</v>
      </c>
      <c r="C63">
        <v>89140720</v>
      </c>
      <c r="D63">
        <v>118741216</v>
      </c>
    </row>
    <row r="64" spans="1:4" x14ac:dyDescent="0.2">
      <c r="A64" s="1">
        <v>45617</v>
      </c>
      <c r="B64">
        <v>339.64</v>
      </c>
      <c r="C64">
        <v>58011720</v>
      </c>
      <c r="D64">
        <v>116634816</v>
      </c>
    </row>
    <row r="65" spans="1:4" x14ac:dyDescent="0.2">
      <c r="A65" s="1">
        <v>45616</v>
      </c>
      <c r="B65">
        <v>342.03</v>
      </c>
      <c r="C65">
        <v>66340648</v>
      </c>
      <c r="D65">
        <v>117205720</v>
      </c>
    </row>
    <row r="66" spans="1:4" x14ac:dyDescent="0.2">
      <c r="A66" s="1">
        <v>45615</v>
      </c>
      <c r="B66">
        <v>346</v>
      </c>
      <c r="C66">
        <v>88852448</v>
      </c>
      <c r="D66">
        <v>116382584</v>
      </c>
    </row>
    <row r="67" spans="1:4" x14ac:dyDescent="0.2">
      <c r="A67" s="1">
        <v>45614</v>
      </c>
      <c r="B67">
        <v>338.74</v>
      </c>
      <c r="C67">
        <v>126547456</v>
      </c>
      <c r="D67">
        <v>115827200</v>
      </c>
    </row>
    <row r="68" spans="1:4" x14ac:dyDescent="0.2">
      <c r="A68" s="1">
        <v>45611</v>
      </c>
      <c r="B68">
        <v>320.72000000000003</v>
      </c>
      <c r="C68">
        <v>114440288</v>
      </c>
      <c r="D68">
        <v>114567616</v>
      </c>
    </row>
    <row r="69" spans="1:4" x14ac:dyDescent="0.2">
      <c r="A69" s="1">
        <v>45610</v>
      </c>
      <c r="B69">
        <v>311.18</v>
      </c>
      <c r="C69">
        <v>120726112</v>
      </c>
      <c r="D69">
        <v>117712392</v>
      </c>
    </row>
    <row r="70" spans="1:4" x14ac:dyDescent="0.2">
      <c r="A70" s="1">
        <v>45609</v>
      </c>
      <c r="B70">
        <v>330.24</v>
      </c>
      <c r="C70">
        <v>125405600</v>
      </c>
      <c r="D70">
        <v>123296776</v>
      </c>
    </row>
    <row r="71" spans="1:4" x14ac:dyDescent="0.2">
      <c r="A71" s="1">
        <v>45608</v>
      </c>
      <c r="B71">
        <v>328.49</v>
      </c>
      <c r="C71">
        <v>155726016</v>
      </c>
      <c r="D71">
        <v>120332328</v>
      </c>
    </row>
    <row r="72" spans="1:4" x14ac:dyDescent="0.2">
      <c r="A72" s="1">
        <v>45607</v>
      </c>
      <c r="B72">
        <v>350</v>
      </c>
      <c r="C72">
        <v>210521632</v>
      </c>
      <c r="D72">
        <v>112835176</v>
      </c>
    </row>
    <row r="73" spans="1:4" x14ac:dyDescent="0.2">
      <c r="A73" s="1">
        <v>45604</v>
      </c>
      <c r="B73">
        <v>321.22000000000003</v>
      </c>
      <c r="C73">
        <v>204782768</v>
      </c>
      <c r="D73">
        <v>101955664</v>
      </c>
    </row>
    <row r="74" spans="1:4" x14ac:dyDescent="0.2">
      <c r="A74" s="1">
        <v>45603</v>
      </c>
      <c r="B74">
        <v>296.91000000000003</v>
      </c>
      <c r="C74">
        <v>117309232</v>
      </c>
      <c r="D74">
        <v>91610944</v>
      </c>
    </row>
    <row r="75" spans="1:4" x14ac:dyDescent="0.2">
      <c r="A75" s="1">
        <v>45602</v>
      </c>
      <c r="B75">
        <v>288.52999999999997</v>
      </c>
      <c r="C75">
        <v>165228704</v>
      </c>
      <c r="D75">
        <v>87176440</v>
      </c>
    </row>
    <row r="76" spans="1:4" x14ac:dyDescent="0.2">
      <c r="A76" s="1">
        <v>45601</v>
      </c>
      <c r="B76">
        <v>251.44</v>
      </c>
      <c r="C76">
        <v>69282504</v>
      </c>
      <c r="D76">
        <v>79470048</v>
      </c>
    </row>
    <row r="77" spans="1:4" x14ac:dyDescent="0.2">
      <c r="A77" s="1">
        <v>45600</v>
      </c>
      <c r="B77">
        <v>242.84</v>
      </c>
      <c r="C77">
        <v>68802352</v>
      </c>
      <c r="D77">
        <v>79050472</v>
      </c>
    </row>
    <row r="78" spans="1:4" x14ac:dyDescent="0.2">
      <c r="A78" s="1">
        <v>45597</v>
      </c>
      <c r="B78">
        <v>248.98</v>
      </c>
      <c r="C78">
        <v>57544756</v>
      </c>
      <c r="D78">
        <v>80216440</v>
      </c>
    </row>
    <row r="79" spans="1:4" x14ac:dyDescent="0.2">
      <c r="A79" s="1">
        <v>45596</v>
      </c>
      <c r="B79">
        <v>249.85</v>
      </c>
      <c r="C79">
        <v>66575292</v>
      </c>
      <c r="D79">
        <v>85888720</v>
      </c>
    </row>
    <row r="80" spans="1:4" x14ac:dyDescent="0.2">
      <c r="A80" s="1">
        <v>45595</v>
      </c>
      <c r="B80">
        <v>257.55</v>
      </c>
      <c r="C80">
        <v>53993576</v>
      </c>
      <c r="D80">
        <v>86989504</v>
      </c>
    </row>
    <row r="81" spans="1:4" x14ac:dyDescent="0.2">
      <c r="A81" s="1">
        <v>45594</v>
      </c>
      <c r="B81">
        <v>259.52</v>
      </c>
      <c r="C81">
        <v>80521752</v>
      </c>
      <c r="D81">
        <v>87809232</v>
      </c>
    </row>
    <row r="82" spans="1:4" x14ac:dyDescent="0.2">
      <c r="A82" s="1">
        <v>45593</v>
      </c>
      <c r="B82">
        <v>262.51</v>
      </c>
      <c r="C82">
        <v>107653600</v>
      </c>
      <c r="D82">
        <v>86194656</v>
      </c>
    </row>
    <row r="83" spans="1:4" x14ac:dyDescent="0.2">
      <c r="A83" s="1">
        <v>45590</v>
      </c>
      <c r="B83">
        <v>269.19</v>
      </c>
      <c r="C83">
        <v>161611936</v>
      </c>
      <c r="D83">
        <v>83558640</v>
      </c>
    </row>
    <row r="84" spans="1:4" x14ac:dyDescent="0.2">
      <c r="A84" s="1">
        <v>45589</v>
      </c>
      <c r="B84">
        <v>260.48</v>
      </c>
      <c r="C84">
        <v>204491904</v>
      </c>
      <c r="D84">
        <v>78566264</v>
      </c>
    </row>
    <row r="85" spans="1:4" x14ac:dyDescent="0.2">
      <c r="A85" s="1">
        <v>45588</v>
      </c>
      <c r="B85">
        <v>213.65</v>
      </c>
      <c r="C85">
        <v>80938896</v>
      </c>
      <c r="D85">
        <v>70315416</v>
      </c>
    </row>
    <row r="86" spans="1:4" x14ac:dyDescent="0.2">
      <c r="A86" s="1">
        <v>45587</v>
      </c>
      <c r="B86">
        <v>217.97</v>
      </c>
      <c r="C86">
        <v>43268740</v>
      </c>
      <c r="D86">
        <v>71185088</v>
      </c>
    </row>
    <row r="87" spans="1:4" x14ac:dyDescent="0.2">
      <c r="A87" s="1">
        <v>45586</v>
      </c>
      <c r="B87">
        <v>218.85</v>
      </c>
      <c r="C87">
        <v>47328988</v>
      </c>
      <c r="D87">
        <v>74127008</v>
      </c>
    </row>
    <row r="88" spans="1:4" x14ac:dyDescent="0.2">
      <c r="A88" s="1">
        <v>45583</v>
      </c>
      <c r="B88">
        <v>220.7</v>
      </c>
      <c r="C88">
        <v>49611868</v>
      </c>
      <c r="D88">
        <v>76363304</v>
      </c>
    </row>
    <row r="89" spans="1:4" x14ac:dyDescent="0.2">
      <c r="A89" s="1">
        <v>45582</v>
      </c>
      <c r="B89">
        <v>220.89</v>
      </c>
      <c r="C89">
        <v>50791784</v>
      </c>
      <c r="D89">
        <v>77788384</v>
      </c>
    </row>
    <row r="90" spans="1:4" x14ac:dyDescent="0.2">
      <c r="A90" s="1">
        <v>45581</v>
      </c>
      <c r="B90">
        <v>221.33</v>
      </c>
      <c r="C90">
        <v>49632824</v>
      </c>
      <c r="D90">
        <v>78878408</v>
      </c>
    </row>
    <row r="91" spans="1:4" x14ac:dyDescent="0.2">
      <c r="A91" s="1">
        <v>45580</v>
      </c>
      <c r="B91">
        <v>219.57</v>
      </c>
      <c r="C91">
        <v>62988788</v>
      </c>
      <c r="D91">
        <v>79905176</v>
      </c>
    </row>
    <row r="92" spans="1:4" x14ac:dyDescent="0.2">
      <c r="A92" s="1">
        <v>45579</v>
      </c>
      <c r="B92">
        <v>219.16</v>
      </c>
      <c r="C92">
        <v>86291920</v>
      </c>
      <c r="D92">
        <v>81605320</v>
      </c>
    </row>
    <row r="93" spans="1:4" x14ac:dyDescent="0.2">
      <c r="A93" s="1">
        <v>45576</v>
      </c>
      <c r="B93">
        <v>217.8</v>
      </c>
      <c r="C93">
        <v>142628880</v>
      </c>
      <c r="D93">
        <v>81647672</v>
      </c>
    </row>
    <row r="94" spans="1:4" x14ac:dyDescent="0.2">
      <c r="A94" s="1">
        <v>45575</v>
      </c>
      <c r="B94">
        <v>238.77</v>
      </c>
      <c r="C94">
        <v>83087064</v>
      </c>
      <c r="D94">
        <v>78797688</v>
      </c>
    </row>
    <row r="95" spans="1:4" x14ac:dyDescent="0.2">
      <c r="A95" s="1">
        <v>45574</v>
      </c>
      <c r="B95">
        <v>241.05</v>
      </c>
      <c r="C95">
        <v>66289528</v>
      </c>
      <c r="D95">
        <v>80104856</v>
      </c>
    </row>
    <row r="96" spans="1:4" x14ac:dyDescent="0.2">
      <c r="A96" s="1">
        <v>45573</v>
      </c>
      <c r="B96">
        <v>244.5</v>
      </c>
      <c r="C96">
        <v>56303160</v>
      </c>
      <c r="D96">
        <v>80886232</v>
      </c>
    </row>
    <row r="97" spans="1:4" x14ac:dyDescent="0.2">
      <c r="A97" s="1">
        <v>45572</v>
      </c>
      <c r="B97">
        <v>240.83</v>
      </c>
      <c r="C97">
        <v>68113272</v>
      </c>
      <c r="D97">
        <v>81583464</v>
      </c>
    </row>
    <row r="98" spans="1:4" x14ac:dyDescent="0.2">
      <c r="A98" s="1">
        <v>45569</v>
      </c>
      <c r="B98">
        <v>250.08</v>
      </c>
      <c r="C98">
        <v>86726288</v>
      </c>
      <c r="D98">
        <v>80664112</v>
      </c>
    </row>
    <row r="99" spans="1:4" x14ac:dyDescent="0.2">
      <c r="A99" s="1">
        <v>45568</v>
      </c>
      <c r="B99">
        <v>240.66</v>
      </c>
      <c r="C99">
        <v>80729240</v>
      </c>
      <c r="D99">
        <v>78850032</v>
      </c>
    </row>
    <row r="100" spans="1:4" x14ac:dyDescent="0.2">
      <c r="A100" s="1">
        <v>45567</v>
      </c>
      <c r="B100">
        <v>249.02</v>
      </c>
      <c r="C100">
        <v>93983928</v>
      </c>
      <c r="D100">
        <v>78269424</v>
      </c>
    </row>
    <row r="101" spans="1:4" x14ac:dyDescent="0.2">
      <c r="A101" s="1">
        <v>45566</v>
      </c>
      <c r="B101">
        <v>258.02</v>
      </c>
      <c r="C101">
        <v>87397616</v>
      </c>
      <c r="D101">
        <v>77573736</v>
      </c>
    </row>
    <row r="102" spans="1:4" x14ac:dyDescent="0.2">
      <c r="A102" s="1">
        <v>45565</v>
      </c>
      <c r="B102">
        <v>261.63</v>
      </c>
      <c r="C102">
        <v>80873384</v>
      </c>
      <c r="D102">
        <v>77006640</v>
      </c>
    </row>
    <row r="103" spans="1:4" x14ac:dyDescent="0.2">
      <c r="A103" s="1">
        <v>45562</v>
      </c>
      <c r="B103">
        <v>260.45999999999998</v>
      </c>
      <c r="C103">
        <v>70988064</v>
      </c>
      <c r="D103">
        <v>76111312</v>
      </c>
    </row>
    <row r="104" spans="1:4" x14ac:dyDescent="0.2">
      <c r="A104" s="1">
        <v>45561</v>
      </c>
      <c r="B104">
        <v>254.22</v>
      </c>
      <c r="C104">
        <v>67142192</v>
      </c>
      <c r="D104">
        <v>78857240</v>
      </c>
    </row>
    <row r="105" spans="1:4" x14ac:dyDescent="0.2">
      <c r="A105" s="1">
        <v>45560</v>
      </c>
      <c r="B105">
        <v>257.02</v>
      </c>
      <c r="C105">
        <v>65034320</v>
      </c>
      <c r="D105">
        <v>82338096</v>
      </c>
    </row>
    <row r="106" spans="1:4" x14ac:dyDescent="0.2">
      <c r="A106" s="1">
        <v>45559</v>
      </c>
      <c r="B106">
        <v>254.27</v>
      </c>
      <c r="C106">
        <v>88491000</v>
      </c>
      <c r="D106">
        <v>83379264</v>
      </c>
    </row>
    <row r="107" spans="1:4" x14ac:dyDescent="0.2">
      <c r="A107" s="1">
        <v>45558</v>
      </c>
      <c r="B107">
        <v>250</v>
      </c>
      <c r="C107">
        <v>86927192</v>
      </c>
      <c r="D107">
        <v>82594144</v>
      </c>
    </row>
    <row r="108" spans="1:4" x14ac:dyDescent="0.2">
      <c r="A108" s="1">
        <v>45555</v>
      </c>
      <c r="B108">
        <v>238.25</v>
      </c>
      <c r="C108">
        <v>99879072</v>
      </c>
      <c r="D108">
        <v>81023704</v>
      </c>
    </row>
    <row r="109" spans="1:4" x14ac:dyDescent="0.2">
      <c r="A109" s="1">
        <v>45554</v>
      </c>
      <c r="B109">
        <v>243.92</v>
      </c>
      <c r="C109">
        <v>102694576</v>
      </c>
      <c r="D109">
        <v>78519016</v>
      </c>
    </row>
    <row r="110" spans="1:4" x14ac:dyDescent="0.2">
      <c r="A110" s="1">
        <v>45553</v>
      </c>
      <c r="B110">
        <v>227.2</v>
      </c>
      <c r="C110">
        <v>78010208</v>
      </c>
      <c r="D110">
        <v>75947136</v>
      </c>
    </row>
    <row r="111" spans="1:4" x14ac:dyDescent="0.2">
      <c r="A111" s="1">
        <v>45552</v>
      </c>
      <c r="B111">
        <v>227.87</v>
      </c>
      <c r="C111">
        <v>66761636</v>
      </c>
      <c r="D111">
        <v>74934552</v>
      </c>
    </row>
    <row r="112" spans="1:4" x14ac:dyDescent="0.2">
      <c r="A112" s="1">
        <v>45551</v>
      </c>
      <c r="B112">
        <v>226.78</v>
      </c>
      <c r="C112">
        <v>54322996</v>
      </c>
      <c r="D112">
        <v>74437184</v>
      </c>
    </row>
    <row r="113" spans="1:4" x14ac:dyDescent="0.2">
      <c r="A113" s="1">
        <v>45548</v>
      </c>
      <c r="B113">
        <v>230.29</v>
      </c>
      <c r="C113">
        <v>59515112</v>
      </c>
      <c r="D113">
        <v>76250672</v>
      </c>
    </row>
    <row r="114" spans="1:4" x14ac:dyDescent="0.2">
      <c r="A114" s="1">
        <v>45547</v>
      </c>
      <c r="B114">
        <v>229.81</v>
      </c>
      <c r="C114">
        <v>72020040</v>
      </c>
      <c r="D114">
        <v>77583960</v>
      </c>
    </row>
    <row r="115" spans="1:4" x14ac:dyDescent="0.2">
      <c r="A115" s="1">
        <v>45546</v>
      </c>
      <c r="B115">
        <v>228.13</v>
      </c>
      <c r="C115">
        <v>83548632</v>
      </c>
      <c r="D115">
        <v>77459024</v>
      </c>
    </row>
    <row r="116" spans="1:4" x14ac:dyDescent="0.2">
      <c r="A116" s="1">
        <v>45545</v>
      </c>
      <c r="B116">
        <v>226.17</v>
      </c>
      <c r="C116">
        <v>78891136</v>
      </c>
      <c r="D116">
        <v>76822528</v>
      </c>
    </row>
    <row r="117" spans="1:4" x14ac:dyDescent="0.2">
      <c r="A117" s="1">
        <v>45544</v>
      </c>
      <c r="B117">
        <v>216.27</v>
      </c>
      <c r="C117">
        <v>67443520</v>
      </c>
      <c r="D117">
        <v>76658800</v>
      </c>
    </row>
    <row r="118" spans="1:4" x14ac:dyDescent="0.2">
      <c r="A118" s="1">
        <v>45541</v>
      </c>
      <c r="B118">
        <v>210.73</v>
      </c>
      <c r="C118">
        <v>112177008</v>
      </c>
      <c r="D118">
        <v>78080240</v>
      </c>
    </row>
    <row r="119" spans="1:4" x14ac:dyDescent="0.2">
      <c r="A119" s="1">
        <v>45540</v>
      </c>
      <c r="B119">
        <v>230.17</v>
      </c>
      <c r="C119">
        <v>119355016</v>
      </c>
      <c r="D119">
        <v>76591672</v>
      </c>
    </row>
    <row r="120" spans="1:4" x14ac:dyDescent="0.2">
      <c r="A120" s="1">
        <v>45539</v>
      </c>
      <c r="B120">
        <v>219.41</v>
      </c>
      <c r="C120">
        <v>80651768</v>
      </c>
      <c r="D120">
        <v>73318008</v>
      </c>
    </row>
    <row r="121" spans="1:4" x14ac:dyDescent="0.2">
      <c r="A121" s="1">
        <v>45538</v>
      </c>
      <c r="B121">
        <v>210.6</v>
      </c>
      <c r="C121">
        <v>76714224</v>
      </c>
      <c r="D121">
        <v>73024376</v>
      </c>
    </row>
    <row r="122" spans="1:4" x14ac:dyDescent="0.2">
      <c r="A122" s="1">
        <v>45534</v>
      </c>
      <c r="B122">
        <v>214.11</v>
      </c>
      <c r="C122">
        <v>63370608</v>
      </c>
      <c r="D122">
        <v>72179760</v>
      </c>
    </row>
    <row r="123" spans="1:4" x14ac:dyDescent="0.2">
      <c r="A123" s="1">
        <v>45533</v>
      </c>
      <c r="B123">
        <v>206.28</v>
      </c>
      <c r="C123">
        <v>62308816</v>
      </c>
      <c r="D123">
        <v>71864936</v>
      </c>
    </row>
    <row r="124" spans="1:4" x14ac:dyDescent="0.2">
      <c r="A124" s="1">
        <v>45532</v>
      </c>
      <c r="B124">
        <v>205.75</v>
      </c>
      <c r="C124">
        <v>64116352</v>
      </c>
      <c r="D124">
        <v>72046608</v>
      </c>
    </row>
    <row r="125" spans="1:4" x14ac:dyDescent="0.2">
      <c r="A125" s="1">
        <v>45531</v>
      </c>
      <c r="B125">
        <v>209.21</v>
      </c>
      <c r="C125">
        <v>62821392</v>
      </c>
      <c r="D125">
        <v>72516168</v>
      </c>
    </row>
    <row r="126" spans="1:4" x14ac:dyDescent="0.2">
      <c r="A126" s="1">
        <v>45530</v>
      </c>
      <c r="B126">
        <v>213.21</v>
      </c>
      <c r="C126">
        <v>59301188</v>
      </c>
      <c r="D126">
        <v>73247008</v>
      </c>
    </row>
    <row r="127" spans="1:4" x14ac:dyDescent="0.2">
      <c r="A127" s="1">
        <v>45527</v>
      </c>
      <c r="B127">
        <v>220.32</v>
      </c>
      <c r="C127">
        <v>81525208</v>
      </c>
      <c r="D127">
        <v>75980848</v>
      </c>
    </row>
    <row r="128" spans="1:4" x14ac:dyDescent="0.2">
      <c r="A128" s="1">
        <v>45526</v>
      </c>
      <c r="B128">
        <v>210.66</v>
      </c>
      <c r="C128">
        <v>79514480</v>
      </c>
      <c r="D128">
        <v>76071176</v>
      </c>
    </row>
    <row r="129" spans="1:4" x14ac:dyDescent="0.2">
      <c r="A129" s="1">
        <v>45525</v>
      </c>
      <c r="B129">
        <v>223.27</v>
      </c>
      <c r="C129">
        <v>70145968</v>
      </c>
      <c r="D129">
        <v>76361000</v>
      </c>
    </row>
    <row r="130" spans="1:4" x14ac:dyDescent="0.2">
      <c r="A130" s="1">
        <v>45524</v>
      </c>
      <c r="B130">
        <v>221.1</v>
      </c>
      <c r="C130">
        <v>74001184</v>
      </c>
      <c r="D130">
        <v>76184408</v>
      </c>
    </row>
    <row r="131" spans="1:4" x14ac:dyDescent="0.2">
      <c r="A131" s="1">
        <v>45523</v>
      </c>
      <c r="B131">
        <v>222.72</v>
      </c>
      <c r="C131">
        <v>76435224</v>
      </c>
      <c r="D131">
        <v>77955016</v>
      </c>
    </row>
    <row r="132" spans="1:4" x14ac:dyDescent="0.2">
      <c r="A132" s="1">
        <v>45520</v>
      </c>
      <c r="B132">
        <v>216.12</v>
      </c>
      <c r="C132">
        <v>88765120</v>
      </c>
      <c r="D132">
        <v>81472784</v>
      </c>
    </row>
    <row r="133" spans="1:4" x14ac:dyDescent="0.2">
      <c r="A133" s="1">
        <v>45519</v>
      </c>
      <c r="B133">
        <v>214.14</v>
      </c>
      <c r="C133">
        <v>89848528</v>
      </c>
      <c r="D133">
        <v>81862056</v>
      </c>
    </row>
    <row r="134" spans="1:4" x14ac:dyDescent="0.2">
      <c r="A134" s="1">
        <v>45518</v>
      </c>
      <c r="B134">
        <v>201.38</v>
      </c>
      <c r="C134">
        <v>70250016</v>
      </c>
    </row>
    <row r="135" spans="1:4" x14ac:dyDescent="0.2">
      <c r="A135" s="1">
        <v>45517</v>
      </c>
      <c r="B135">
        <v>207.83</v>
      </c>
      <c r="C135">
        <v>76247384</v>
      </c>
    </row>
    <row r="136" spans="1:4" x14ac:dyDescent="0.2">
      <c r="A136" s="1">
        <v>45516</v>
      </c>
      <c r="B136">
        <v>197.49</v>
      </c>
      <c r="C136">
        <v>64044904</v>
      </c>
    </row>
    <row r="137" spans="1:4" x14ac:dyDescent="0.2">
      <c r="A137" s="1">
        <v>45513</v>
      </c>
      <c r="B137">
        <v>200</v>
      </c>
      <c r="C137">
        <v>58648272</v>
      </c>
    </row>
    <row r="138" spans="1:4" x14ac:dyDescent="0.2">
      <c r="A138" s="1">
        <v>45512</v>
      </c>
      <c r="B138">
        <v>198.84</v>
      </c>
      <c r="C138">
        <v>65033872</v>
      </c>
    </row>
    <row r="139" spans="1:4" x14ac:dyDescent="0.2">
      <c r="A139" s="1">
        <v>45511</v>
      </c>
      <c r="B139">
        <v>191.76</v>
      </c>
      <c r="C139">
        <v>71159776</v>
      </c>
    </row>
    <row r="140" spans="1:4" x14ac:dyDescent="0.2">
      <c r="A140" s="1">
        <v>45510</v>
      </c>
      <c r="B140">
        <v>200.64</v>
      </c>
      <c r="C140">
        <v>73783944</v>
      </c>
    </row>
    <row r="141" spans="1:4" x14ac:dyDescent="0.2">
      <c r="A141" s="1">
        <v>45509</v>
      </c>
      <c r="B141">
        <v>198.88</v>
      </c>
      <c r="C141">
        <v>100308832</v>
      </c>
    </row>
    <row r="142" spans="1:4" x14ac:dyDescent="0.2">
      <c r="A142" s="1">
        <v>45506</v>
      </c>
      <c r="B142">
        <v>207.67</v>
      </c>
      <c r="C142">
        <v>82880120</v>
      </c>
    </row>
    <row r="143" spans="1:4" x14ac:dyDescent="0.2">
      <c r="A143" s="1">
        <v>45505</v>
      </c>
      <c r="B143">
        <v>216.86</v>
      </c>
      <c r="C143">
        <v>83861896</v>
      </c>
    </row>
    <row r="144" spans="1:4" x14ac:dyDescent="0.2">
      <c r="A144" s="1">
        <v>45504</v>
      </c>
      <c r="B144">
        <v>232.07</v>
      </c>
      <c r="C144">
        <v>67497008</v>
      </c>
    </row>
    <row r="145" spans="1:3" x14ac:dyDescent="0.2">
      <c r="A145" s="1">
        <v>45503</v>
      </c>
      <c r="B145">
        <v>222.62</v>
      </c>
      <c r="C145">
        <v>100560336</v>
      </c>
    </row>
    <row r="146" spans="1:3" x14ac:dyDescent="0.2">
      <c r="A146" s="1">
        <v>45502</v>
      </c>
      <c r="B146">
        <v>232.1</v>
      </c>
      <c r="C146">
        <v>129201792</v>
      </c>
    </row>
    <row r="147" spans="1:3" x14ac:dyDescent="0.2">
      <c r="A147" s="1">
        <v>45499</v>
      </c>
      <c r="B147">
        <v>219.8</v>
      </c>
      <c r="C147">
        <v>94604144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A7757-6B06-4755-9D9F-AE38344C58DC}">
  <sheetPr codeName="Sheet3"/>
  <dimension ref="A2:D147"/>
  <sheetViews>
    <sheetView topLeftCell="A112" workbookViewId="0">
      <selection activeCell="B3" sqref="B3:B147"/>
    </sheetView>
  </sheetViews>
  <sheetFormatPr baseColWidth="10" defaultColWidth="8.83203125" defaultRowHeight="15" x14ac:dyDescent="0.2"/>
  <cols>
    <col min="1" max="1" width="10.5" bestFit="1" customWidth="1"/>
  </cols>
  <sheetData>
    <row r="2" spans="1:4" x14ac:dyDescent="0.2">
      <c r="A2" t="s">
        <v>0</v>
      </c>
      <c r="B2" t="s">
        <v>1</v>
      </c>
      <c r="C2" t="s">
        <v>2</v>
      </c>
      <c r="D2" t="s">
        <v>3</v>
      </c>
    </row>
    <row r="3" spans="1:4" x14ac:dyDescent="0.2">
      <c r="A3" s="1">
        <v>45712</v>
      </c>
      <c r="B3">
        <v>261.33999999999997</v>
      </c>
      <c r="C3">
        <v>10372751</v>
      </c>
      <c r="D3">
        <v>8160731</v>
      </c>
    </row>
    <row r="4" spans="1:4" x14ac:dyDescent="0.2">
      <c r="A4" s="1">
        <v>45709</v>
      </c>
      <c r="B4">
        <v>264.24</v>
      </c>
      <c r="C4">
        <v>12835566</v>
      </c>
      <c r="D4">
        <v>7948965</v>
      </c>
    </row>
    <row r="5" spans="1:4" x14ac:dyDescent="0.2">
      <c r="A5" s="1">
        <v>45708</v>
      </c>
      <c r="B5">
        <v>266.8</v>
      </c>
      <c r="C5">
        <v>13846671</v>
      </c>
      <c r="D5">
        <v>7676825</v>
      </c>
    </row>
    <row r="6" spans="1:4" x14ac:dyDescent="0.2">
      <c r="A6" s="1">
        <v>45707</v>
      </c>
      <c r="B6">
        <v>279.25</v>
      </c>
      <c r="C6">
        <v>7007248</v>
      </c>
      <c r="D6">
        <v>7266039</v>
      </c>
    </row>
    <row r="7" spans="1:4" x14ac:dyDescent="0.2">
      <c r="A7" s="1">
        <v>45706</v>
      </c>
      <c r="B7">
        <v>279.95</v>
      </c>
      <c r="C7">
        <v>7919798</v>
      </c>
      <c r="D7">
        <v>7290582</v>
      </c>
    </row>
    <row r="8" spans="1:4" x14ac:dyDescent="0.2">
      <c r="A8" s="1">
        <v>45702</v>
      </c>
      <c r="B8">
        <v>276.58999999999997</v>
      </c>
      <c r="C8">
        <v>5688627</v>
      </c>
      <c r="D8">
        <v>7264079</v>
      </c>
    </row>
    <row r="9" spans="1:4" x14ac:dyDescent="0.2">
      <c r="A9" s="1">
        <v>45701</v>
      </c>
      <c r="B9">
        <v>276.32</v>
      </c>
      <c r="C9">
        <v>8398667</v>
      </c>
      <c r="D9">
        <v>7395921</v>
      </c>
    </row>
    <row r="10" spans="1:4" x14ac:dyDescent="0.2">
      <c r="A10" s="1">
        <v>45700</v>
      </c>
      <c r="B10">
        <v>275.45</v>
      </c>
      <c r="C10">
        <v>6683894</v>
      </c>
      <c r="D10">
        <v>7552655</v>
      </c>
    </row>
    <row r="11" spans="1:4" x14ac:dyDescent="0.2">
      <c r="A11" s="1">
        <v>45699</v>
      </c>
      <c r="B11">
        <v>274.99</v>
      </c>
      <c r="C11">
        <v>7196376</v>
      </c>
      <c r="D11">
        <v>7708523</v>
      </c>
    </row>
    <row r="12" spans="1:4" x14ac:dyDescent="0.2">
      <c r="A12" s="1">
        <v>45698</v>
      </c>
      <c r="B12">
        <v>271.04000000000002</v>
      </c>
      <c r="C12">
        <v>8627352</v>
      </c>
      <c r="D12">
        <v>8142906</v>
      </c>
    </row>
    <row r="13" spans="1:4" x14ac:dyDescent="0.2">
      <c r="A13" s="1">
        <v>45695</v>
      </c>
      <c r="B13">
        <v>275.8</v>
      </c>
      <c r="C13">
        <v>6857875</v>
      </c>
      <c r="D13">
        <v>8746289</v>
      </c>
    </row>
    <row r="14" spans="1:4" x14ac:dyDescent="0.2">
      <c r="A14" s="1">
        <v>45694</v>
      </c>
      <c r="B14">
        <v>276.89999999999998</v>
      </c>
      <c r="C14">
        <v>7264371</v>
      </c>
      <c r="D14">
        <v>9308587</v>
      </c>
    </row>
    <row r="15" spans="1:4" x14ac:dyDescent="0.2">
      <c r="A15" s="1">
        <v>45693</v>
      </c>
      <c r="B15">
        <v>270.43</v>
      </c>
      <c r="C15">
        <v>5704431</v>
      </c>
      <c r="D15">
        <v>10054197</v>
      </c>
    </row>
    <row r="16" spans="1:4" x14ac:dyDescent="0.2">
      <c r="A16" s="1">
        <v>45692</v>
      </c>
      <c r="B16">
        <v>267.94</v>
      </c>
      <c r="C16">
        <v>5625972</v>
      </c>
      <c r="D16">
        <v>10501061</v>
      </c>
    </row>
    <row r="17" spans="1:4" x14ac:dyDescent="0.2">
      <c r="A17" s="1">
        <v>45691</v>
      </c>
      <c r="B17">
        <v>266.81</v>
      </c>
      <c r="C17">
        <v>8381361</v>
      </c>
      <c r="D17">
        <v>10793017</v>
      </c>
    </row>
    <row r="18" spans="1:4" x14ac:dyDescent="0.2">
      <c r="A18" s="1">
        <v>45688</v>
      </c>
      <c r="B18">
        <v>267.3</v>
      </c>
      <c r="C18">
        <v>7196268</v>
      </c>
      <c r="D18">
        <v>10918048</v>
      </c>
    </row>
    <row r="19" spans="1:4" x14ac:dyDescent="0.2">
      <c r="A19" s="1">
        <v>45687</v>
      </c>
      <c r="B19">
        <v>268.23</v>
      </c>
      <c r="C19">
        <v>8753466</v>
      </c>
      <c r="D19">
        <v>11016649</v>
      </c>
    </row>
    <row r="20" spans="1:4" x14ac:dyDescent="0.2">
      <c r="A20" s="1">
        <v>45686</v>
      </c>
      <c r="B20">
        <v>266.58</v>
      </c>
      <c r="C20">
        <v>7684870</v>
      </c>
      <c r="D20">
        <v>11016642</v>
      </c>
    </row>
    <row r="21" spans="1:4" x14ac:dyDescent="0.2">
      <c r="A21" s="1">
        <v>45685</v>
      </c>
      <c r="B21">
        <v>267.14</v>
      </c>
      <c r="C21">
        <v>7375391</v>
      </c>
      <c r="D21">
        <v>11165506</v>
      </c>
    </row>
    <row r="22" spans="1:4" x14ac:dyDescent="0.2">
      <c r="A22" s="1">
        <v>45684</v>
      </c>
      <c r="B22">
        <v>265.85000000000002</v>
      </c>
      <c r="C22">
        <v>7522258</v>
      </c>
      <c r="D22">
        <v>11306550</v>
      </c>
    </row>
    <row r="23" spans="1:4" x14ac:dyDescent="0.2">
      <c r="A23" s="1">
        <v>45681</v>
      </c>
      <c r="B23">
        <v>264.83999999999997</v>
      </c>
      <c r="C23">
        <v>7666261</v>
      </c>
      <c r="D23">
        <v>11419794</v>
      </c>
    </row>
    <row r="24" spans="1:4" x14ac:dyDescent="0.2">
      <c r="A24" s="1">
        <v>45680</v>
      </c>
      <c r="B24">
        <v>265.95</v>
      </c>
      <c r="C24">
        <v>10749681</v>
      </c>
      <c r="D24">
        <v>11233441</v>
      </c>
    </row>
    <row r="25" spans="1:4" x14ac:dyDescent="0.2">
      <c r="A25" s="1">
        <v>45679</v>
      </c>
      <c r="B25">
        <v>262.83999999999997</v>
      </c>
      <c r="C25">
        <v>9021914</v>
      </c>
      <c r="D25">
        <v>10898380</v>
      </c>
    </row>
    <row r="26" spans="1:4" x14ac:dyDescent="0.2">
      <c r="A26" s="1">
        <v>45678</v>
      </c>
      <c r="B26">
        <v>263.02999999999997</v>
      </c>
      <c r="C26">
        <v>13712114</v>
      </c>
      <c r="D26">
        <v>10678960</v>
      </c>
    </row>
    <row r="27" spans="1:4" x14ac:dyDescent="0.2">
      <c r="A27" s="1">
        <v>45674</v>
      </c>
      <c r="B27">
        <v>259.16000000000003</v>
      </c>
      <c r="C27">
        <v>17678100</v>
      </c>
      <c r="D27">
        <v>10061630</v>
      </c>
    </row>
    <row r="28" spans="1:4" x14ac:dyDescent="0.2">
      <c r="A28" s="1">
        <v>45673</v>
      </c>
      <c r="B28">
        <v>254.27</v>
      </c>
      <c r="C28">
        <v>15292348</v>
      </c>
      <c r="D28">
        <v>9131696</v>
      </c>
    </row>
    <row r="29" spans="1:4" x14ac:dyDescent="0.2">
      <c r="A29" s="1">
        <v>45672</v>
      </c>
      <c r="B29">
        <v>252.35</v>
      </c>
      <c r="C29">
        <v>18448520</v>
      </c>
      <c r="D29">
        <v>8686308</v>
      </c>
    </row>
    <row r="30" spans="1:4" x14ac:dyDescent="0.2">
      <c r="A30" s="1">
        <v>45671</v>
      </c>
      <c r="B30">
        <v>247.47</v>
      </c>
      <c r="C30">
        <v>12407386</v>
      </c>
      <c r="D30">
        <v>9612968</v>
      </c>
    </row>
    <row r="31" spans="1:4" x14ac:dyDescent="0.2">
      <c r="A31" s="1">
        <v>45670</v>
      </c>
      <c r="B31">
        <v>244.21</v>
      </c>
      <c r="C31">
        <v>10005315</v>
      </c>
      <c r="D31">
        <v>9571860</v>
      </c>
    </row>
    <row r="32" spans="1:4" x14ac:dyDescent="0.2">
      <c r="A32" s="1">
        <v>45667</v>
      </c>
      <c r="B32">
        <v>239.87</v>
      </c>
      <c r="C32">
        <v>10256829</v>
      </c>
      <c r="D32">
        <v>9659663</v>
      </c>
    </row>
    <row r="33" spans="1:4" x14ac:dyDescent="0.2">
      <c r="A33" s="1">
        <v>45665</v>
      </c>
      <c r="B33">
        <v>243.13</v>
      </c>
      <c r="C33">
        <v>8675284</v>
      </c>
      <c r="D33">
        <v>9514784</v>
      </c>
    </row>
    <row r="34" spans="1:4" x14ac:dyDescent="0.2">
      <c r="A34" s="1">
        <v>45664</v>
      </c>
      <c r="B34">
        <v>243.17</v>
      </c>
      <c r="C34">
        <v>8753357</v>
      </c>
      <c r="D34">
        <v>9538568</v>
      </c>
    </row>
    <row r="35" spans="1:4" x14ac:dyDescent="0.2">
      <c r="A35" s="1">
        <v>45663</v>
      </c>
      <c r="B35">
        <v>240.85</v>
      </c>
      <c r="C35">
        <v>9917836</v>
      </c>
      <c r="D35">
        <v>9647860</v>
      </c>
    </row>
    <row r="36" spans="1:4" x14ac:dyDescent="0.2">
      <c r="A36" s="1">
        <v>45660</v>
      </c>
      <c r="B36">
        <v>243.28</v>
      </c>
      <c r="C36">
        <v>9491053</v>
      </c>
      <c r="D36">
        <v>9394256</v>
      </c>
    </row>
    <row r="37" spans="1:4" x14ac:dyDescent="0.2">
      <c r="A37" s="1">
        <v>45659</v>
      </c>
      <c r="B37">
        <v>240</v>
      </c>
      <c r="C37">
        <v>9220914</v>
      </c>
      <c r="D37">
        <v>9287149</v>
      </c>
    </row>
    <row r="38" spans="1:4" x14ac:dyDescent="0.2">
      <c r="A38" s="1">
        <v>45657</v>
      </c>
      <c r="B38">
        <v>239.71</v>
      </c>
      <c r="C38">
        <v>4870971</v>
      </c>
      <c r="D38">
        <v>9279644</v>
      </c>
    </row>
    <row r="39" spans="1:4" x14ac:dyDescent="0.2">
      <c r="A39" s="1">
        <v>45656</v>
      </c>
      <c r="B39">
        <v>239.32</v>
      </c>
      <c r="C39">
        <v>5723765</v>
      </c>
      <c r="D39">
        <v>9426677</v>
      </c>
    </row>
    <row r="40" spans="1:4" x14ac:dyDescent="0.2">
      <c r="A40" s="1">
        <v>45653</v>
      </c>
      <c r="B40">
        <v>241.17</v>
      </c>
      <c r="C40">
        <v>5730607</v>
      </c>
      <c r="D40">
        <v>9413075</v>
      </c>
    </row>
    <row r="41" spans="1:4" x14ac:dyDescent="0.2">
      <c r="A41" s="1">
        <v>45652</v>
      </c>
      <c r="B41">
        <v>243.14</v>
      </c>
      <c r="C41">
        <v>4452168</v>
      </c>
      <c r="D41">
        <v>9469204</v>
      </c>
    </row>
    <row r="42" spans="1:4" x14ac:dyDescent="0.2">
      <c r="A42" s="1">
        <v>45650</v>
      </c>
      <c r="B42">
        <v>242.31</v>
      </c>
      <c r="C42">
        <v>3729092</v>
      </c>
      <c r="D42">
        <v>9662143</v>
      </c>
    </row>
    <row r="43" spans="1:4" x14ac:dyDescent="0.2">
      <c r="A43" s="1">
        <v>45649</v>
      </c>
      <c r="B43">
        <v>238.39</v>
      </c>
      <c r="C43">
        <v>8611528</v>
      </c>
      <c r="D43">
        <v>9857383</v>
      </c>
    </row>
    <row r="44" spans="1:4" x14ac:dyDescent="0.2">
      <c r="A44" s="1">
        <v>45646</v>
      </c>
      <c r="B44">
        <v>237.6</v>
      </c>
      <c r="C44">
        <v>32348414</v>
      </c>
      <c r="D44">
        <v>9876598</v>
      </c>
    </row>
    <row r="45" spans="1:4" x14ac:dyDescent="0.2">
      <c r="A45" s="1">
        <v>45645</v>
      </c>
      <c r="B45">
        <v>232.96</v>
      </c>
      <c r="C45">
        <v>11790773</v>
      </c>
      <c r="D45">
        <v>8086359</v>
      </c>
    </row>
    <row r="46" spans="1:4" x14ac:dyDescent="0.2">
      <c r="A46" s="1">
        <v>45644</v>
      </c>
      <c r="B46">
        <v>230.37</v>
      </c>
      <c r="C46">
        <v>11322358</v>
      </c>
      <c r="D46">
        <v>7665125</v>
      </c>
    </row>
    <row r="47" spans="1:4" x14ac:dyDescent="0.2">
      <c r="A47" s="1">
        <v>45643</v>
      </c>
      <c r="B47">
        <v>238.36</v>
      </c>
      <c r="C47">
        <v>8083635</v>
      </c>
      <c r="D47">
        <v>7324444</v>
      </c>
    </row>
    <row r="48" spans="1:4" x14ac:dyDescent="0.2">
      <c r="A48" s="1">
        <v>45642</v>
      </c>
      <c r="B48">
        <v>239.58</v>
      </c>
      <c r="C48">
        <v>9032044</v>
      </c>
      <c r="D48">
        <v>7471891</v>
      </c>
    </row>
    <row r="49" spans="1:4" x14ac:dyDescent="0.2">
      <c r="A49" s="1">
        <v>45639</v>
      </c>
      <c r="B49">
        <v>239.94</v>
      </c>
      <c r="C49">
        <v>10392749</v>
      </c>
      <c r="D49">
        <v>7402909</v>
      </c>
    </row>
    <row r="50" spans="1:4" x14ac:dyDescent="0.2">
      <c r="A50" s="1">
        <v>45638</v>
      </c>
      <c r="B50">
        <v>241.53</v>
      </c>
      <c r="C50">
        <v>6113771</v>
      </c>
      <c r="D50">
        <v>7295627</v>
      </c>
    </row>
    <row r="51" spans="1:4" x14ac:dyDescent="0.2">
      <c r="A51" s="1">
        <v>45637</v>
      </c>
      <c r="B51">
        <v>243.53</v>
      </c>
      <c r="C51">
        <v>7884442</v>
      </c>
      <c r="D51">
        <v>7489061</v>
      </c>
    </row>
    <row r="52" spans="1:4" x14ac:dyDescent="0.2">
      <c r="A52" s="1">
        <v>45636</v>
      </c>
      <c r="B52">
        <v>242.86</v>
      </c>
      <c r="C52">
        <v>9108339</v>
      </c>
      <c r="D52">
        <v>7416276</v>
      </c>
    </row>
    <row r="53" spans="1:4" x14ac:dyDescent="0.2">
      <c r="A53" s="1">
        <v>45635</v>
      </c>
      <c r="B53">
        <v>243.81</v>
      </c>
      <c r="C53">
        <v>7076466</v>
      </c>
      <c r="D53">
        <v>7412558</v>
      </c>
    </row>
    <row r="54" spans="1:4" x14ac:dyDescent="0.2">
      <c r="A54" s="1">
        <v>45632</v>
      </c>
      <c r="B54">
        <v>247.36</v>
      </c>
      <c r="C54">
        <v>5519738</v>
      </c>
      <c r="D54">
        <v>7708716</v>
      </c>
    </row>
    <row r="55" spans="1:4" x14ac:dyDescent="0.2">
      <c r="A55" s="1">
        <v>45631</v>
      </c>
      <c r="B55">
        <v>245.48</v>
      </c>
      <c r="C55">
        <v>6572536</v>
      </c>
      <c r="D55">
        <v>8018881</v>
      </c>
    </row>
    <row r="56" spans="1:4" x14ac:dyDescent="0.2">
      <c r="A56" s="1">
        <v>45630</v>
      </c>
      <c r="B56">
        <v>243.4</v>
      </c>
      <c r="C56">
        <v>7346265</v>
      </c>
      <c r="D56">
        <v>8345549</v>
      </c>
    </row>
    <row r="57" spans="1:4" x14ac:dyDescent="0.2">
      <c r="A57" s="1">
        <v>45629</v>
      </c>
      <c r="B57">
        <v>244.82</v>
      </c>
      <c r="C57">
        <v>6657694</v>
      </c>
      <c r="D57">
        <v>8313195</v>
      </c>
    </row>
    <row r="58" spans="1:4" x14ac:dyDescent="0.2">
      <c r="A58" s="1">
        <v>45628</v>
      </c>
      <c r="B58">
        <v>246.25</v>
      </c>
      <c r="C58">
        <v>8899741</v>
      </c>
      <c r="D58">
        <v>8470487</v>
      </c>
    </row>
    <row r="59" spans="1:4" x14ac:dyDescent="0.2">
      <c r="A59" s="1">
        <v>45625</v>
      </c>
      <c r="B59">
        <v>249.72</v>
      </c>
      <c r="C59">
        <v>5494825</v>
      </c>
      <c r="D59">
        <v>8510644</v>
      </c>
    </row>
    <row r="60" spans="1:4" x14ac:dyDescent="0.2">
      <c r="A60" s="1">
        <v>45623</v>
      </c>
      <c r="B60">
        <v>249.79</v>
      </c>
      <c r="C60">
        <v>5472265</v>
      </c>
      <c r="D60">
        <v>9241060</v>
      </c>
    </row>
    <row r="61" spans="1:4" x14ac:dyDescent="0.2">
      <c r="A61" s="1">
        <v>45622</v>
      </c>
      <c r="B61">
        <v>249.97</v>
      </c>
      <c r="C61">
        <v>6212142</v>
      </c>
      <c r="D61">
        <v>10475426</v>
      </c>
    </row>
    <row r="62" spans="1:4" x14ac:dyDescent="0.2">
      <c r="A62" s="1">
        <v>45621</v>
      </c>
      <c r="B62">
        <v>250.29</v>
      </c>
      <c r="C62">
        <v>10295350</v>
      </c>
      <c r="D62">
        <v>10434662</v>
      </c>
    </row>
    <row r="63" spans="1:4" x14ac:dyDescent="0.2">
      <c r="A63" s="1">
        <v>45618</v>
      </c>
      <c r="B63">
        <v>248.55</v>
      </c>
      <c r="C63">
        <v>7997307</v>
      </c>
      <c r="D63">
        <v>10296945</v>
      </c>
    </row>
    <row r="64" spans="1:4" x14ac:dyDescent="0.2">
      <c r="A64" s="1">
        <v>45617</v>
      </c>
      <c r="B64">
        <v>244.76</v>
      </c>
      <c r="C64">
        <v>8783516</v>
      </c>
      <c r="D64">
        <v>10225355</v>
      </c>
    </row>
    <row r="65" spans="1:4" x14ac:dyDescent="0.2">
      <c r="A65" s="1">
        <v>45616</v>
      </c>
      <c r="B65">
        <v>240.78</v>
      </c>
      <c r="C65">
        <v>9015290</v>
      </c>
      <c r="D65">
        <v>10161782</v>
      </c>
    </row>
    <row r="66" spans="1:4" x14ac:dyDescent="0.2">
      <c r="A66" s="1">
        <v>45615</v>
      </c>
      <c r="B66">
        <v>243.09</v>
      </c>
      <c r="C66">
        <v>6792660</v>
      </c>
      <c r="D66">
        <v>10034826</v>
      </c>
    </row>
    <row r="67" spans="1:4" x14ac:dyDescent="0.2">
      <c r="A67" s="1">
        <v>45614</v>
      </c>
      <c r="B67">
        <v>245.03</v>
      </c>
      <c r="C67">
        <v>9052575</v>
      </c>
      <c r="D67">
        <v>10020649</v>
      </c>
    </row>
    <row r="68" spans="1:4" x14ac:dyDescent="0.2">
      <c r="A68" s="1">
        <v>45611</v>
      </c>
      <c r="B68">
        <v>245.31</v>
      </c>
      <c r="C68">
        <v>11518836</v>
      </c>
      <c r="D68">
        <v>9873341</v>
      </c>
    </row>
    <row r="69" spans="1:4" x14ac:dyDescent="0.2">
      <c r="A69" s="1">
        <v>45610</v>
      </c>
      <c r="B69">
        <v>241.87</v>
      </c>
      <c r="C69">
        <v>10172202</v>
      </c>
      <c r="D69">
        <v>9530066</v>
      </c>
    </row>
    <row r="70" spans="1:4" x14ac:dyDescent="0.2">
      <c r="A70" s="1">
        <v>45609</v>
      </c>
      <c r="B70">
        <v>241.16</v>
      </c>
      <c r="C70">
        <v>11472557</v>
      </c>
      <c r="D70">
        <v>9252066</v>
      </c>
    </row>
    <row r="71" spans="1:4" x14ac:dyDescent="0.2">
      <c r="A71" s="1">
        <v>45608</v>
      </c>
      <c r="B71">
        <v>239.56</v>
      </c>
      <c r="C71">
        <v>6860956</v>
      </c>
      <c r="D71">
        <v>8899264</v>
      </c>
    </row>
    <row r="72" spans="1:4" x14ac:dyDescent="0.2">
      <c r="A72" s="1">
        <v>45607</v>
      </c>
      <c r="B72">
        <v>239.29</v>
      </c>
      <c r="C72">
        <v>9017079</v>
      </c>
      <c r="D72">
        <v>9080987</v>
      </c>
    </row>
    <row r="73" spans="1:4" x14ac:dyDescent="0.2">
      <c r="A73" s="1">
        <v>45604</v>
      </c>
      <c r="B73">
        <v>236.98</v>
      </c>
      <c r="C73">
        <v>9502100</v>
      </c>
      <c r="D73">
        <v>8871179</v>
      </c>
    </row>
    <row r="74" spans="1:4" x14ac:dyDescent="0.2">
      <c r="A74" s="1">
        <v>45603</v>
      </c>
      <c r="B74">
        <v>236.38</v>
      </c>
      <c r="C74">
        <v>16451071</v>
      </c>
      <c r="D74">
        <v>8704408</v>
      </c>
    </row>
    <row r="75" spans="1:4" x14ac:dyDescent="0.2">
      <c r="A75" s="1">
        <v>45602</v>
      </c>
      <c r="B75">
        <v>247.06</v>
      </c>
      <c r="C75">
        <v>23987752</v>
      </c>
      <c r="D75">
        <v>8039016</v>
      </c>
    </row>
    <row r="76" spans="1:4" x14ac:dyDescent="0.2">
      <c r="A76" s="1">
        <v>45601</v>
      </c>
      <c r="B76">
        <v>221.49</v>
      </c>
      <c r="C76">
        <v>5600686</v>
      </c>
      <c r="D76">
        <v>6865334</v>
      </c>
    </row>
    <row r="77" spans="1:4" x14ac:dyDescent="0.2">
      <c r="A77" s="1">
        <v>45600</v>
      </c>
      <c r="B77">
        <v>219.78</v>
      </c>
      <c r="C77">
        <v>8229588</v>
      </c>
      <c r="D77">
        <v>7107677</v>
      </c>
    </row>
    <row r="78" spans="1:4" x14ac:dyDescent="0.2">
      <c r="A78" s="1">
        <v>45597</v>
      </c>
      <c r="B78">
        <v>222.94</v>
      </c>
      <c r="C78">
        <v>6923452</v>
      </c>
      <c r="D78">
        <v>7162299</v>
      </c>
    </row>
    <row r="79" spans="1:4" x14ac:dyDescent="0.2">
      <c r="A79" s="1">
        <v>45596</v>
      </c>
      <c r="B79">
        <v>221.92</v>
      </c>
      <c r="C79">
        <v>7829932</v>
      </c>
      <c r="D79">
        <v>7922112</v>
      </c>
    </row>
    <row r="80" spans="1:4" x14ac:dyDescent="0.2">
      <c r="A80" s="1">
        <v>45595</v>
      </c>
      <c r="B80">
        <v>224.41</v>
      </c>
      <c r="C80">
        <v>7110941</v>
      </c>
      <c r="D80">
        <v>7928587</v>
      </c>
    </row>
    <row r="81" spans="1:4" x14ac:dyDescent="0.2">
      <c r="A81" s="1">
        <v>45594</v>
      </c>
      <c r="B81">
        <v>222.9</v>
      </c>
      <c r="C81">
        <v>6580004</v>
      </c>
      <c r="D81">
        <v>7922791</v>
      </c>
    </row>
    <row r="82" spans="1:4" x14ac:dyDescent="0.2">
      <c r="A82" s="1">
        <v>45593</v>
      </c>
      <c r="B82">
        <v>225.5</v>
      </c>
      <c r="C82">
        <v>6842956</v>
      </c>
      <c r="D82">
        <v>7885575</v>
      </c>
    </row>
    <row r="83" spans="1:4" x14ac:dyDescent="0.2">
      <c r="A83" s="1">
        <v>45590</v>
      </c>
      <c r="B83">
        <v>222.31</v>
      </c>
      <c r="C83">
        <v>6369720</v>
      </c>
      <c r="D83">
        <v>7877305</v>
      </c>
    </row>
    <row r="84" spans="1:4" x14ac:dyDescent="0.2">
      <c r="A84" s="1">
        <v>45589</v>
      </c>
      <c r="B84">
        <v>224.98</v>
      </c>
      <c r="C84">
        <v>6002202</v>
      </c>
      <c r="D84">
        <v>8133551</v>
      </c>
    </row>
    <row r="85" spans="1:4" x14ac:dyDescent="0.2">
      <c r="A85" s="1">
        <v>45588</v>
      </c>
      <c r="B85">
        <v>223.41</v>
      </c>
      <c r="C85">
        <v>6180528</v>
      </c>
      <c r="D85">
        <v>8216826</v>
      </c>
    </row>
    <row r="86" spans="1:4" x14ac:dyDescent="0.2">
      <c r="A86" s="1">
        <v>45587</v>
      </c>
      <c r="B86">
        <v>224.12</v>
      </c>
      <c r="C86">
        <v>9586793</v>
      </c>
      <c r="D86">
        <v>8192186</v>
      </c>
    </row>
    <row r="87" spans="1:4" x14ac:dyDescent="0.2">
      <c r="A87" s="1">
        <v>45586</v>
      </c>
      <c r="B87">
        <v>223</v>
      </c>
      <c r="C87">
        <v>5869959</v>
      </c>
      <c r="D87">
        <v>8122404</v>
      </c>
    </row>
    <row r="88" spans="1:4" x14ac:dyDescent="0.2">
      <c r="A88" s="1">
        <v>45583</v>
      </c>
      <c r="B88">
        <v>225.37</v>
      </c>
      <c r="C88">
        <v>7000543</v>
      </c>
      <c r="D88">
        <v>8308961</v>
      </c>
    </row>
    <row r="89" spans="1:4" x14ac:dyDescent="0.2">
      <c r="A89" s="1">
        <v>45582</v>
      </c>
      <c r="B89">
        <v>224.42</v>
      </c>
      <c r="C89">
        <v>6470186</v>
      </c>
      <c r="D89">
        <v>8311088</v>
      </c>
    </row>
    <row r="90" spans="1:4" x14ac:dyDescent="0.2">
      <c r="A90" s="1">
        <v>45581</v>
      </c>
      <c r="B90">
        <v>223.64</v>
      </c>
      <c r="C90">
        <v>6382515</v>
      </c>
      <c r="D90">
        <v>8400241</v>
      </c>
    </row>
    <row r="91" spans="1:4" x14ac:dyDescent="0.2">
      <c r="A91" s="1">
        <v>45580</v>
      </c>
      <c r="B91">
        <v>222.39</v>
      </c>
      <c r="C91">
        <v>9235825</v>
      </c>
      <c r="D91">
        <v>8573175</v>
      </c>
    </row>
    <row r="92" spans="1:4" x14ac:dyDescent="0.2">
      <c r="A92" s="1">
        <v>45579</v>
      </c>
      <c r="B92">
        <v>221.48</v>
      </c>
      <c r="C92">
        <v>9048925</v>
      </c>
      <c r="D92">
        <v>8445669</v>
      </c>
    </row>
    <row r="93" spans="1:4" x14ac:dyDescent="0.2">
      <c r="A93" s="1">
        <v>45576</v>
      </c>
      <c r="B93">
        <v>222.29</v>
      </c>
      <c r="C93">
        <v>18320650</v>
      </c>
      <c r="D93">
        <v>8323973</v>
      </c>
    </row>
    <row r="94" spans="1:4" x14ac:dyDescent="0.2">
      <c r="A94" s="1">
        <v>45575</v>
      </c>
      <c r="B94">
        <v>212.84</v>
      </c>
      <c r="C94">
        <v>7927051</v>
      </c>
      <c r="D94">
        <v>8494928</v>
      </c>
    </row>
    <row r="95" spans="1:4" x14ac:dyDescent="0.2">
      <c r="A95" s="1">
        <v>45574</v>
      </c>
      <c r="B95">
        <v>213.42</v>
      </c>
      <c r="C95">
        <v>7023998</v>
      </c>
      <c r="D95">
        <v>8742136</v>
      </c>
    </row>
    <row r="96" spans="1:4" x14ac:dyDescent="0.2">
      <c r="A96" s="1">
        <v>45573</v>
      </c>
      <c r="B96">
        <v>210.75</v>
      </c>
      <c r="C96">
        <v>6021772</v>
      </c>
      <c r="D96">
        <v>8824528</v>
      </c>
    </row>
    <row r="97" spans="1:4" x14ac:dyDescent="0.2">
      <c r="A97" s="1">
        <v>45572</v>
      </c>
      <c r="B97">
        <v>210.93</v>
      </c>
      <c r="C97">
        <v>6718898</v>
      </c>
      <c r="D97">
        <v>8927966</v>
      </c>
    </row>
    <row r="98" spans="1:4" x14ac:dyDescent="0.2">
      <c r="A98" s="1">
        <v>45569</v>
      </c>
      <c r="B98">
        <v>211.22</v>
      </c>
      <c r="C98">
        <v>10213415</v>
      </c>
      <c r="D98">
        <v>9055702</v>
      </c>
    </row>
    <row r="99" spans="1:4" x14ac:dyDescent="0.2">
      <c r="A99" s="1">
        <v>45568</v>
      </c>
      <c r="B99">
        <v>205.23</v>
      </c>
      <c r="C99">
        <v>7251325</v>
      </c>
      <c r="D99">
        <v>9056587</v>
      </c>
    </row>
    <row r="100" spans="1:4" x14ac:dyDescent="0.2">
      <c r="A100" s="1">
        <v>45567</v>
      </c>
      <c r="B100">
        <v>207.29</v>
      </c>
      <c r="C100">
        <v>5810931</v>
      </c>
      <c r="D100">
        <v>9176883</v>
      </c>
    </row>
    <row r="101" spans="1:4" x14ac:dyDescent="0.2">
      <c r="A101" s="1">
        <v>45566</v>
      </c>
      <c r="B101">
        <v>207.04</v>
      </c>
      <c r="C101">
        <v>8540064</v>
      </c>
      <c r="D101">
        <v>9700070</v>
      </c>
    </row>
    <row r="102" spans="1:4" x14ac:dyDescent="0.2">
      <c r="A102" s="1">
        <v>45565</v>
      </c>
      <c r="B102">
        <v>210.86</v>
      </c>
      <c r="C102">
        <v>8668314</v>
      </c>
      <c r="D102">
        <v>11024526</v>
      </c>
    </row>
    <row r="103" spans="1:4" x14ac:dyDescent="0.2">
      <c r="A103" s="1">
        <v>45562</v>
      </c>
      <c r="B103">
        <v>210.5</v>
      </c>
      <c r="C103">
        <v>7032450</v>
      </c>
      <c r="D103">
        <v>11042310</v>
      </c>
    </row>
    <row r="104" spans="1:4" x14ac:dyDescent="0.2">
      <c r="A104" s="1">
        <v>45561</v>
      </c>
      <c r="B104">
        <v>209.78</v>
      </c>
      <c r="C104">
        <v>7807480</v>
      </c>
      <c r="D104">
        <v>11091947</v>
      </c>
    </row>
    <row r="105" spans="1:4" x14ac:dyDescent="0.2">
      <c r="A105" s="1">
        <v>45560</v>
      </c>
      <c r="B105">
        <v>210.19</v>
      </c>
      <c r="C105">
        <v>8976520</v>
      </c>
      <c r="D105">
        <v>11109306</v>
      </c>
    </row>
    <row r="106" spans="1:4" x14ac:dyDescent="0.2">
      <c r="A106" s="1">
        <v>45559</v>
      </c>
      <c r="B106">
        <v>211.59</v>
      </c>
      <c r="C106">
        <v>7323239</v>
      </c>
      <c r="D106">
        <v>11003503</v>
      </c>
    </row>
    <row r="107" spans="1:4" x14ac:dyDescent="0.2">
      <c r="A107" s="1">
        <v>45558</v>
      </c>
      <c r="B107">
        <v>211.44</v>
      </c>
      <c r="C107">
        <v>7223491</v>
      </c>
      <c r="D107">
        <v>11112360</v>
      </c>
    </row>
    <row r="108" spans="1:4" x14ac:dyDescent="0.2">
      <c r="A108" s="1">
        <v>45555</v>
      </c>
      <c r="B108">
        <v>211.09</v>
      </c>
      <c r="C108">
        <v>20884974</v>
      </c>
      <c r="D108">
        <v>11202402</v>
      </c>
    </row>
    <row r="109" spans="1:4" x14ac:dyDescent="0.2">
      <c r="A109" s="1">
        <v>45554</v>
      </c>
      <c r="B109">
        <v>210.48</v>
      </c>
      <c r="C109">
        <v>11635168</v>
      </c>
      <c r="D109">
        <v>10237814</v>
      </c>
    </row>
    <row r="110" spans="1:4" x14ac:dyDescent="0.2">
      <c r="A110" s="1">
        <v>45553</v>
      </c>
      <c r="B110">
        <v>207.53</v>
      </c>
      <c r="C110">
        <v>8259876</v>
      </c>
      <c r="D110">
        <v>9895896</v>
      </c>
    </row>
    <row r="111" spans="1:4" x14ac:dyDescent="0.2">
      <c r="A111" s="1">
        <v>45552</v>
      </c>
      <c r="B111">
        <v>209.25</v>
      </c>
      <c r="C111">
        <v>7573345</v>
      </c>
      <c r="D111">
        <v>9690919</v>
      </c>
    </row>
    <row r="112" spans="1:4" x14ac:dyDescent="0.2">
      <c r="A112" s="1">
        <v>45551</v>
      </c>
      <c r="B112">
        <v>207.86</v>
      </c>
      <c r="C112">
        <v>8634936</v>
      </c>
      <c r="D112">
        <v>9526379</v>
      </c>
    </row>
    <row r="113" spans="1:4" x14ac:dyDescent="0.2">
      <c r="A113" s="1">
        <v>45548</v>
      </c>
      <c r="B113">
        <v>204.32</v>
      </c>
      <c r="C113">
        <v>10226694</v>
      </c>
      <c r="D113">
        <v>9431649</v>
      </c>
    </row>
    <row r="114" spans="1:4" x14ac:dyDescent="0.2">
      <c r="A114" s="1">
        <v>45547</v>
      </c>
      <c r="B114">
        <v>206.6</v>
      </c>
      <c r="C114">
        <v>9055756</v>
      </c>
      <c r="D114">
        <v>9099676</v>
      </c>
    </row>
    <row r="115" spans="1:4" x14ac:dyDescent="0.2">
      <c r="A115" s="1">
        <v>45546</v>
      </c>
      <c r="B115">
        <v>207.23</v>
      </c>
      <c r="C115">
        <v>13658743</v>
      </c>
      <c r="D115">
        <v>8842790</v>
      </c>
    </row>
    <row r="116" spans="1:4" x14ac:dyDescent="0.2">
      <c r="A116" s="1">
        <v>45545</v>
      </c>
      <c r="B116">
        <v>205.56</v>
      </c>
      <c r="C116">
        <v>28406904</v>
      </c>
      <c r="D116">
        <v>8308222</v>
      </c>
    </row>
    <row r="117" spans="1:4" x14ac:dyDescent="0.2">
      <c r="A117" s="1">
        <v>45544</v>
      </c>
      <c r="B117">
        <v>216.81</v>
      </c>
      <c r="C117">
        <v>8935074</v>
      </c>
      <c r="D117">
        <v>6820483</v>
      </c>
    </row>
    <row r="118" spans="1:4" x14ac:dyDescent="0.2">
      <c r="A118" s="1">
        <v>45541</v>
      </c>
      <c r="B118">
        <v>212.46</v>
      </c>
      <c r="C118">
        <v>7776998</v>
      </c>
      <c r="D118">
        <v>6753561</v>
      </c>
    </row>
    <row r="119" spans="1:4" x14ac:dyDescent="0.2">
      <c r="A119" s="1">
        <v>45540</v>
      </c>
      <c r="B119">
        <v>217.63</v>
      </c>
      <c r="C119">
        <v>8067874</v>
      </c>
      <c r="D119">
        <v>6701828</v>
      </c>
    </row>
    <row r="120" spans="1:4" x14ac:dyDescent="0.2">
      <c r="A120" s="1">
        <v>45539</v>
      </c>
      <c r="B120">
        <v>219.33</v>
      </c>
      <c r="C120">
        <v>7389474</v>
      </c>
      <c r="D120">
        <v>6630623</v>
      </c>
    </row>
    <row r="121" spans="1:4" x14ac:dyDescent="0.2">
      <c r="A121" s="1">
        <v>45538</v>
      </c>
      <c r="B121">
        <v>220.3</v>
      </c>
      <c r="C121">
        <v>8956089</v>
      </c>
      <c r="D121">
        <v>6563855</v>
      </c>
    </row>
    <row r="122" spans="1:4" x14ac:dyDescent="0.2">
      <c r="A122" s="1">
        <v>45534</v>
      </c>
      <c r="B122">
        <v>224.8</v>
      </c>
      <c r="C122">
        <v>8574128</v>
      </c>
      <c r="D122">
        <v>6429179</v>
      </c>
    </row>
    <row r="123" spans="1:4" x14ac:dyDescent="0.2">
      <c r="A123" s="1">
        <v>45533</v>
      </c>
      <c r="B123">
        <v>222.21</v>
      </c>
      <c r="C123">
        <v>6416149</v>
      </c>
      <c r="D123">
        <v>6226920</v>
      </c>
    </row>
    <row r="124" spans="1:4" x14ac:dyDescent="0.2">
      <c r="A124" s="1">
        <v>45532</v>
      </c>
      <c r="B124">
        <v>221.29</v>
      </c>
      <c r="C124">
        <v>6506402</v>
      </c>
      <c r="D124">
        <v>6316590</v>
      </c>
    </row>
    <row r="125" spans="1:4" x14ac:dyDescent="0.2">
      <c r="A125" s="1">
        <v>45531</v>
      </c>
      <c r="B125">
        <v>220.18</v>
      </c>
      <c r="C125">
        <v>5185221</v>
      </c>
      <c r="D125">
        <v>6496459</v>
      </c>
    </row>
    <row r="126" spans="1:4" x14ac:dyDescent="0.2">
      <c r="A126" s="1">
        <v>45530</v>
      </c>
      <c r="B126">
        <v>219.17</v>
      </c>
      <c r="C126">
        <v>5105245</v>
      </c>
      <c r="D126">
        <v>6857829</v>
      </c>
    </row>
    <row r="127" spans="1:4" x14ac:dyDescent="0.2">
      <c r="A127" s="1">
        <v>45527</v>
      </c>
      <c r="B127">
        <v>218.31</v>
      </c>
      <c r="C127">
        <v>7213981</v>
      </c>
      <c r="D127">
        <v>7445946</v>
      </c>
    </row>
    <row r="128" spans="1:4" x14ac:dyDescent="0.2">
      <c r="A128" s="1">
        <v>45526</v>
      </c>
      <c r="B128">
        <v>216.63</v>
      </c>
      <c r="C128">
        <v>5247098</v>
      </c>
      <c r="D128">
        <v>8167792</v>
      </c>
    </row>
    <row r="129" spans="1:4" x14ac:dyDescent="0.2">
      <c r="A129" s="1">
        <v>45525</v>
      </c>
      <c r="B129">
        <v>214.6</v>
      </c>
      <c r="C129">
        <v>5202472</v>
      </c>
      <c r="D129">
        <v>8545895</v>
      </c>
    </row>
    <row r="130" spans="1:4" x14ac:dyDescent="0.2">
      <c r="A130" s="1">
        <v>45524</v>
      </c>
      <c r="B130">
        <v>214.52</v>
      </c>
      <c r="C130">
        <v>5640223</v>
      </c>
      <c r="D130">
        <v>8803839</v>
      </c>
    </row>
    <row r="131" spans="1:4" x14ac:dyDescent="0.2">
      <c r="A131" s="1">
        <v>45523</v>
      </c>
      <c r="B131">
        <v>215.45</v>
      </c>
      <c r="C131">
        <v>6090818</v>
      </c>
      <c r="D131">
        <v>9017872</v>
      </c>
    </row>
    <row r="132" spans="1:4" x14ac:dyDescent="0.2">
      <c r="A132" s="1">
        <v>45520</v>
      </c>
      <c r="B132">
        <v>213.97</v>
      </c>
      <c r="C132">
        <v>7931234</v>
      </c>
      <c r="D132">
        <v>9047393</v>
      </c>
    </row>
    <row r="133" spans="1:4" x14ac:dyDescent="0.2">
      <c r="A133" s="1">
        <v>45519</v>
      </c>
      <c r="B133">
        <v>211.55</v>
      </c>
      <c r="C133">
        <v>7001005</v>
      </c>
      <c r="D133">
        <v>9053830</v>
      </c>
    </row>
    <row r="134" spans="1:4" x14ac:dyDescent="0.2">
      <c r="A134" s="1">
        <v>45518</v>
      </c>
      <c r="B134">
        <v>210.24</v>
      </c>
      <c r="C134">
        <v>6999809</v>
      </c>
    </row>
    <row r="135" spans="1:4" x14ac:dyDescent="0.2">
      <c r="A135" s="1">
        <v>45517</v>
      </c>
      <c r="B135">
        <v>207.94</v>
      </c>
      <c r="C135">
        <v>6387942</v>
      </c>
    </row>
    <row r="136" spans="1:4" x14ac:dyDescent="0.2">
      <c r="A136" s="1">
        <v>45516</v>
      </c>
      <c r="B136">
        <v>206.19</v>
      </c>
      <c r="C136">
        <v>6935954</v>
      </c>
    </row>
    <row r="137" spans="1:4" x14ac:dyDescent="0.2">
      <c r="A137" s="1">
        <v>45513</v>
      </c>
      <c r="B137">
        <v>205.8</v>
      </c>
      <c r="C137">
        <v>5540240</v>
      </c>
    </row>
    <row r="138" spans="1:4" x14ac:dyDescent="0.2">
      <c r="A138" s="1">
        <v>45512</v>
      </c>
      <c r="B138">
        <v>204.06</v>
      </c>
      <c r="C138">
        <v>7761199</v>
      </c>
    </row>
    <row r="139" spans="1:4" x14ac:dyDescent="0.2">
      <c r="A139" s="1">
        <v>45511</v>
      </c>
      <c r="B139">
        <v>200.4</v>
      </c>
      <c r="C139">
        <v>9204434</v>
      </c>
    </row>
    <row r="140" spans="1:4" x14ac:dyDescent="0.2">
      <c r="A140" s="1">
        <v>45510</v>
      </c>
      <c r="B140">
        <v>200.34</v>
      </c>
      <c r="C140">
        <v>10605780</v>
      </c>
    </row>
    <row r="141" spans="1:4" x14ac:dyDescent="0.2">
      <c r="A141" s="1">
        <v>45509</v>
      </c>
      <c r="B141">
        <v>194.9</v>
      </c>
      <c r="C141">
        <v>13926997</v>
      </c>
    </row>
    <row r="142" spans="1:4" x14ac:dyDescent="0.2">
      <c r="A142" s="1">
        <v>45506</v>
      </c>
      <c r="B142">
        <v>199.14</v>
      </c>
      <c r="C142">
        <v>18041676</v>
      </c>
    </row>
    <row r="143" spans="1:4" x14ac:dyDescent="0.2">
      <c r="A143" s="1">
        <v>45505</v>
      </c>
      <c r="B143">
        <v>207.96</v>
      </c>
      <c r="C143">
        <v>10918644</v>
      </c>
    </row>
    <row r="144" spans="1:4" x14ac:dyDescent="0.2">
      <c r="A144" s="1">
        <v>45504</v>
      </c>
      <c r="B144">
        <v>212.8</v>
      </c>
      <c r="C144">
        <v>9071637</v>
      </c>
    </row>
    <row r="145" spans="1:3" x14ac:dyDescent="0.2">
      <c r="A145" s="1">
        <v>45503</v>
      </c>
      <c r="B145">
        <v>215.19</v>
      </c>
      <c r="C145">
        <v>8850705</v>
      </c>
    </row>
    <row r="146" spans="1:3" x14ac:dyDescent="0.2">
      <c r="A146" s="1">
        <v>45502</v>
      </c>
      <c r="B146">
        <v>210.85</v>
      </c>
      <c r="C146">
        <v>6533636</v>
      </c>
    </row>
    <row r="147" spans="1:3" x14ac:dyDescent="0.2">
      <c r="A147" s="1">
        <v>45499</v>
      </c>
      <c r="B147">
        <v>212.24</v>
      </c>
      <c r="C147">
        <v>8027787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781A1-5A56-40F5-A12A-676079AB0335}">
  <sheetPr codeName="Sheet4"/>
  <dimension ref="A1:N132"/>
  <sheetViews>
    <sheetView tabSelected="1" topLeftCell="E89" workbookViewId="0">
      <selection activeCell="I107" sqref="I107:K113"/>
    </sheetView>
  </sheetViews>
  <sheetFormatPr baseColWidth="10" defaultColWidth="8.83203125" defaultRowHeight="15" x14ac:dyDescent="0.2"/>
  <cols>
    <col min="1" max="1" width="10.5" bestFit="1" customWidth="1"/>
    <col min="9" max="9" width="23.1640625" customWidth="1"/>
    <col min="10" max="10" width="20.6640625" bestFit="1" customWidth="1"/>
    <col min="11" max="11" width="20.5" customWidth="1"/>
    <col min="12" max="12" width="11.6640625" bestFit="1" customWidth="1"/>
    <col min="13" max="14" width="20.5" bestFit="1" customWidth="1"/>
  </cols>
  <sheetData>
    <row r="1" spans="1:11" x14ac:dyDescent="0.2">
      <c r="A1" s="2" t="s">
        <v>14</v>
      </c>
    </row>
    <row r="3" spans="1:11" x14ac:dyDescent="0.2">
      <c r="A3" t="s">
        <v>0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I3" s="2" t="s">
        <v>15</v>
      </c>
    </row>
    <row r="4" spans="1:11" x14ac:dyDescent="0.2">
      <c r="A4" s="1">
        <v>45523</v>
      </c>
      <c r="B4">
        <v>130</v>
      </c>
      <c r="C4">
        <v>222.72</v>
      </c>
      <c r="D4">
        <v>215.45</v>
      </c>
    </row>
    <row r="5" spans="1:11" x14ac:dyDescent="0.2">
      <c r="A5" s="1">
        <v>45524</v>
      </c>
      <c r="B5">
        <v>127.25</v>
      </c>
      <c r="C5">
        <v>221.1</v>
      </c>
      <c r="D5">
        <v>214.52</v>
      </c>
      <c r="E5">
        <f t="shared" ref="E5:E68" si="0">LN(B5/B4)</f>
        <v>-2.1380795024950331E-2</v>
      </c>
      <c r="F5">
        <f t="shared" ref="F5:F36" si="1">LN(C5/C4)</f>
        <v>-7.3002892826542036E-3</v>
      </c>
      <c r="G5">
        <f t="shared" ref="G5:G36" si="2">LN(D5/D4)</f>
        <v>-4.3258899471224944E-3</v>
      </c>
      <c r="I5" t="s">
        <v>12</v>
      </c>
    </row>
    <row r="6" spans="1:11" x14ac:dyDescent="0.2">
      <c r="A6" s="1">
        <v>45525</v>
      </c>
      <c r="B6">
        <v>128.5</v>
      </c>
      <c r="C6">
        <v>223.27</v>
      </c>
      <c r="D6">
        <v>214.6</v>
      </c>
      <c r="E6">
        <f t="shared" si="0"/>
        <v>9.7752489046424654E-3</v>
      </c>
      <c r="F6">
        <f t="shared" si="1"/>
        <v>9.7667135469450394E-3</v>
      </c>
      <c r="G6">
        <f t="shared" si="2"/>
        <v>3.7285608187362086E-4</v>
      </c>
      <c r="I6" t="s">
        <v>26</v>
      </c>
      <c r="J6">
        <f>AVERAGE(E5:E130)</f>
        <v>5.9439188831396123E-4</v>
      </c>
      <c r="K6" s="4">
        <f>J6</f>
        <v>5.9439188831396123E-4</v>
      </c>
    </row>
    <row r="7" spans="1:11" x14ac:dyDescent="0.2">
      <c r="A7" s="1">
        <v>45526</v>
      </c>
      <c r="B7">
        <v>123.74</v>
      </c>
      <c r="C7">
        <v>210.66</v>
      </c>
      <c r="D7">
        <v>216.63</v>
      </c>
      <c r="E7">
        <f t="shared" si="0"/>
        <v>-3.7746314232431778E-2</v>
      </c>
      <c r="F7">
        <f t="shared" si="1"/>
        <v>-5.8136342001949864E-2</v>
      </c>
      <c r="G7">
        <f t="shared" si="2"/>
        <v>9.4149989346018828E-3</v>
      </c>
      <c r="I7" t="s">
        <v>27</v>
      </c>
      <c r="J7">
        <f>AVERAGE(F5:F130)</f>
        <v>3.6865939808323174E-3</v>
      </c>
      <c r="K7" s="4">
        <f>J7</f>
        <v>3.6865939808323174E-3</v>
      </c>
    </row>
    <row r="8" spans="1:11" x14ac:dyDescent="0.2">
      <c r="A8" s="1">
        <v>45527</v>
      </c>
      <c r="B8">
        <v>129.37</v>
      </c>
      <c r="C8">
        <v>220.32</v>
      </c>
      <c r="D8">
        <v>218.31</v>
      </c>
      <c r="E8">
        <f t="shared" si="0"/>
        <v>4.449392582696797E-2</v>
      </c>
      <c r="F8">
        <f t="shared" si="1"/>
        <v>4.4835575571948907E-2</v>
      </c>
      <c r="G8">
        <f t="shared" si="2"/>
        <v>7.7252418959048805E-3</v>
      </c>
      <c r="I8" t="s">
        <v>28</v>
      </c>
      <c r="J8">
        <f>AVERAGE(G5:G130)</f>
        <v>1.6965908728541449E-3</v>
      </c>
      <c r="K8" s="4">
        <f>J8</f>
        <v>1.6965908728541449E-3</v>
      </c>
    </row>
    <row r="9" spans="1:11" x14ac:dyDescent="0.2">
      <c r="A9" s="1">
        <v>45530</v>
      </c>
      <c r="B9">
        <v>126.46</v>
      </c>
      <c r="C9">
        <v>213.21</v>
      </c>
      <c r="D9">
        <v>219.17</v>
      </c>
      <c r="E9">
        <f t="shared" si="0"/>
        <v>-2.2750463299343521E-2</v>
      </c>
      <c r="F9">
        <f t="shared" si="1"/>
        <v>-3.2803439473431117E-2</v>
      </c>
      <c r="G9">
        <f t="shared" si="2"/>
        <v>3.9316133665227944E-3</v>
      </c>
    </row>
    <row r="10" spans="1:11" x14ac:dyDescent="0.2">
      <c r="A10" s="1">
        <v>45531</v>
      </c>
      <c r="B10">
        <v>128.30000000000001</v>
      </c>
      <c r="C10">
        <v>209.21</v>
      </c>
      <c r="D10">
        <v>220.18</v>
      </c>
      <c r="E10">
        <f t="shared" si="0"/>
        <v>1.4445218991123788E-2</v>
      </c>
      <c r="F10">
        <f t="shared" si="1"/>
        <v>-1.8939063311356526E-2</v>
      </c>
      <c r="G10">
        <f t="shared" si="2"/>
        <v>4.5977092486295494E-3</v>
      </c>
      <c r="I10" t="s">
        <v>13</v>
      </c>
    </row>
    <row r="11" spans="1:11" x14ac:dyDescent="0.2">
      <c r="A11" s="1">
        <v>45532</v>
      </c>
      <c r="B11">
        <v>125.61</v>
      </c>
      <c r="C11">
        <v>205.75</v>
      </c>
      <c r="D11">
        <v>221.29</v>
      </c>
      <c r="E11">
        <f t="shared" si="0"/>
        <v>-2.1189402922429205E-2</v>
      </c>
      <c r="F11">
        <f t="shared" si="1"/>
        <v>-1.6676692638377802E-2</v>
      </c>
      <c r="G11">
        <f t="shared" si="2"/>
        <v>5.028664865517494E-3</v>
      </c>
      <c r="I11" t="s">
        <v>26</v>
      </c>
      <c r="J11">
        <f>_xlfn.STDEV.S(E5:E130)</f>
        <v>3.3135170569066043E-2</v>
      </c>
      <c r="K11" s="4">
        <f>J11</f>
        <v>3.3135170569066043E-2</v>
      </c>
    </row>
    <row r="12" spans="1:11" x14ac:dyDescent="0.2">
      <c r="A12" s="1">
        <v>45533</v>
      </c>
      <c r="B12">
        <v>117.59</v>
      </c>
      <c r="C12">
        <v>206.28</v>
      </c>
      <c r="D12">
        <v>222.21</v>
      </c>
      <c r="E12">
        <f t="shared" si="0"/>
        <v>-6.597787086383719E-2</v>
      </c>
      <c r="F12">
        <f t="shared" si="1"/>
        <v>2.5726296255790958E-3</v>
      </c>
      <c r="G12">
        <f t="shared" si="2"/>
        <v>4.1488221855330177E-3</v>
      </c>
      <c r="I12" t="s">
        <v>27</v>
      </c>
      <c r="J12">
        <f>_xlfn.STDEV.S(F5:F130)</f>
        <v>4.1475142878123032E-2</v>
      </c>
      <c r="K12" s="4">
        <f>J12</f>
        <v>4.1475142878123032E-2</v>
      </c>
    </row>
    <row r="13" spans="1:11" x14ac:dyDescent="0.2">
      <c r="A13" s="1">
        <v>45534</v>
      </c>
      <c r="B13">
        <v>119.37</v>
      </c>
      <c r="C13">
        <v>214.11</v>
      </c>
      <c r="D13">
        <v>224.8</v>
      </c>
      <c r="E13">
        <f t="shared" si="0"/>
        <v>1.5023915271622633E-2</v>
      </c>
      <c r="F13">
        <f t="shared" si="1"/>
        <v>3.7255432468327625E-2</v>
      </c>
      <c r="G13">
        <f t="shared" si="2"/>
        <v>1.158823732622858E-2</v>
      </c>
      <c r="I13" t="s">
        <v>28</v>
      </c>
      <c r="J13">
        <f>_xlfn.STDEV.S(G5:G130)</f>
        <v>1.633085718562054E-2</v>
      </c>
      <c r="K13" s="4">
        <f>J13</f>
        <v>1.633085718562054E-2</v>
      </c>
    </row>
    <row r="14" spans="1:11" x14ac:dyDescent="0.2">
      <c r="A14" s="1">
        <v>45538</v>
      </c>
      <c r="B14">
        <v>108</v>
      </c>
      <c r="C14">
        <v>210.6</v>
      </c>
      <c r="D14">
        <v>220.3</v>
      </c>
      <c r="E14">
        <f t="shared" si="0"/>
        <v>-0.10009668598272735</v>
      </c>
      <c r="F14">
        <f t="shared" si="1"/>
        <v>-1.6529301951210697E-2</v>
      </c>
      <c r="G14">
        <f t="shared" si="2"/>
        <v>-2.0220864211238518E-2</v>
      </c>
    </row>
    <row r="15" spans="1:11" x14ac:dyDescent="0.2">
      <c r="A15" s="1">
        <v>45539</v>
      </c>
      <c r="B15">
        <v>106.21</v>
      </c>
      <c r="C15">
        <v>219.41</v>
      </c>
      <c r="D15">
        <v>219.33</v>
      </c>
      <c r="E15">
        <f t="shared" si="0"/>
        <v>-1.6712960790771555E-2</v>
      </c>
      <c r="F15">
        <f t="shared" si="1"/>
        <v>4.0981525953983355E-2</v>
      </c>
      <c r="G15">
        <f t="shared" si="2"/>
        <v>-4.412808834963187E-3</v>
      </c>
      <c r="I15" t="s">
        <v>23</v>
      </c>
    </row>
    <row r="16" spans="1:11" x14ac:dyDescent="0.2">
      <c r="A16" s="1">
        <v>45540</v>
      </c>
      <c r="B16">
        <v>107.21</v>
      </c>
      <c r="C16">
        <v>230.17</v>
      </c>
      <c r="D16">
        <v>217.63</v>
      </c>
      <c r="E16">
        <f t="shared" si="0"/>
        <v>9.371261534700203E-3</v>
      </c>
      <c r="F16">
        <f t="shared" si="1"/>
        <v>4.7876040681744086E-2</v>
      </c>
      <c r="G16">
        <f t="shared" si="2"/>
        <v>-7.7810718473585779E-3</v>
      </c>
      <c r="I16" t="s">
        <v>26</v>
      </c>
      <c r="J16" cm="1">
        <f t="array" ref="J16">cagr(B5,B130,0.5)</f>
        <v>0.21233511372891156</v>
      </c>
      <c r="K16" s="4">
        <f>J16</f>
        <v>0.21233511372891156</v>
      </c>
    </row>
    <row r="17" spans="1:12" x14ac:dyDescent="0.2">
      <c r="A17" s="1">
        <v>45541</v>
      </c>
      <c r="B17">
        <v>102.83</v>
      </c>
      <c r="C17">
        <v>210.73</v>
      </c>
      <c r="D17">
        <v>212.46</v>
      </c>
      <c r="E17">
        <f t="shared" si="0"/>
        <v>-4.1712388627049075E-2</v>
      </c>
      <c r="F17">
        <f t="shared" si="1"/>
        <v>-8.8240473126481173E-2</v>
      </c>
      <c r="G17">
        <f t="shared" si="2"/>
        <v>-2.4042637774108352E-2</v>
      </c>
      <c r="I17" t="s">
        <v>27</v>
      </c>
      <c r="J17" cm="1">
        <f t="array" ref="J17">cagr(C5,C130,0.5)</f>
        <v>1.5692711558362951</v>
      </c>
      <c r="K17" s="4">
        <f>J17</f>
        <v>1.5692711558362951</v>
      </c>
    </row>
    <row r="18" spans="1:12" x14ac:dyDescent="0.2">
      <c r="A18" s="1">
        <v>45544</v>
      </c>
      <c r="B18">
        <v>106.47</v>
      </c>
      <c r="C18">
        <v>216.27</v>
      </c>
      <c r="D18">
        <v>216.81</v>
      </c>
      <c r="E18">
        <f t="shared" si="0"/>
        <v>3.4786116085415604E-2</v>
      </c>
      <c r="F18">
        <f t="shared" si="1"/>
        <v>2.5949933875475499E-2</v>
      </c>
      <c r="G18">
        <f t="shared" si="2"/>
        <v>2.0267658611132042E-2</v>
      </c>
      <c r="I18" t="s">
        <v>28</v>
      </c>
      <c r="J18" cm="1">
        <f t="array" ref="J18">cagr(D5,D130,0.5)</f>
        <v>0.54680680454668851</v>
      </c>
      <c r="K18" s="4">
        <f>J18</f>
        <v>0.54680680454668851</v>
      </c>
    </row>
    <row r="19" spans="1:12" x14ac:dyDescent="0.2">
      <c r="A19" s="1">
        <v>45545</v>
      </c>
      <c r="B19">
        <v>108.1</v>
      </c>
      <c r="C19">
        <v>226.17</v>
      </c>
      <c r="D19">
        <v>205.56</v>
      </c>
      <c r="E19">
        <f t="shared" si="0"/>
        <v>1.5193469318647681E-2</v>
      </c>
      <c r="F19">
        <f t="shared" si="1"/>
        <v>4.4759301807123231E-2</v>
      </c>
      <c r="G19">
        <f t="shared" si="2"/>
        <v>-5.3283431838970552E-2</v>
      </c>
    </row>
    <row r="20" spans="1:12" x14ac:dyDescent="0.2">
      <c r="A20" s="1">
        <v>45546</v>
      </c>
      <c r="B20">
        <v>116.91</v>
      </c>
      <c r="C20">
        <v>228.13</v>
      </c>
      <c r="D20">
        <v>207.23</v>
      </c>
      <c r="E20">
        <f t="shared" si="0"/>
        <v>7.8347683373565069E-2</v>
      </c>
      <c r="F20">
        <f t="shared" si="1"/>
        <v>8.628713013063425E-3</v>
      </c>
      <c r="G20">
        <f t="shared" si="2"/>
        <v>8.0913254253673367E-3</v>
      </c>
      <c r="I20" t="s">
        <v>24</v>
      </c>
    </row>
    <row r="21" spans="1:12" x14ac:dyDescent="0.2">
      <c r="A21" s="1">
        <v>45547</v>
      </c>
      <c r="B21">
        <v>119.14</v>
      </c>
      <c r="C21">
        <v>229.81</v>
      </c>
      <c r="D21">
        <v>206.6</v>
      </c>
      <c r="E21">
        <f t="shared" si="0"/>
        <v>1.8894864181813922E-2</v>
      </c>
      <c r="F21">
        <f t="shared" si="1"/>
        <v>7.3372386640312409E-3</v>
      </c>
      <c r="G21">
        <f t="shared" si="2"/>
        <v>-3.0447308638580084E-3</v>
      </c>
      <c r="I21" t="s">
        <v>26</v>
      </c>
      <c r="J21" cm="1">
        <f t="array" ref="J21">AnnualisedVolatility(J11)</f>
        <v>0.52600452585273194</v>
      </c>
      <c r="K21" s="4">
        <f>J21</f>
        <v>0.52600452585273194</v>
      </c>
    </row>
    <row r="22" spans="1:12" x14ac:dyDescent="0.2">
      <c r="A22" s="1">
        <v>45548</v>
      </c>
      <c r="B22">
        <v>119.1</v>
      </c>
      <c r="C22">
        <v>230.29</v>
      </c>
      <c r="D22">
        <v>204.32</v>
      </c>
      <c r="E22">
        <f t="shared" si="0"/>
        <v>-3.3579583928697982E-4</v>
      </c>
      <c r="F22">
        <f t="shared" si="1"/>
        <v>2.0865036911101361E-3</v>
      </c>
      <c r="G22">
        <f t="shared" si="2"/>
        <v>-1.1097164401309015E-2</v>
      </c>
      <c r="I22" t="s">
        <v>27</v>
      </c>
      <c r="J22" cm="1">
        <f t="array" ref="J22">AnnualisedVolatility(J12)</f>
        <v>0.65839748187831137</v>
      </c>
      <c r="K22" s="4">
        <f>J22</f>
        <v>0.65839748187831137</v>
      </c>
    </row>
    <row r="23" spans="1:12" x14ac:dyDescent="0.2">
      <c r="A23" s="1">
        <v>45551</v>
      </c>
      <c r="B23">
        <v>116.78</v>
      </c>
      <c r="C23">
        <v>226.78</v>
      </c>
      <c r="D23">
        <v>207.86</v>
      </c>
      <c r="E23">
        <f t="shared" si="0"/>
        <v>-1.9671653505862762E-2</v>
      </c>
      <c r="F23">
        <f t="shared" si="1"/>
        <v>-1.5358999716231014E-2</v>
      </c>
      <c r="G23">
        <f t="shared" si="2"/>
        <v>1.7177383876046507E-2</v>
      </c>
      <c r="I23" t="s">
        <v>28</v>
      </c>
      <c r="J23" cm="1">
        <f t="array" ref="J23">AnnualisedVolatility(J13)</f>
        <v>0.25924432085798482</v>
      </c>
      <c r="K23" s="4">
        <f>J23</f>
        <v>0.25924432085798482</v>
      </c>
    </row>
    <row r="24" spans="1:12" x14ac:dyDescent="0.2">
      <c r="A24" s="1">
        <v>45552</v>
      </c>
      <c r="B24">
        <v>115.59</v>
      </c>
      <c r="C24">
        <v>227.87</v>
      </c>
      <c r="D24">
        <v>209.25</v>
      </c>
      <c r="E24">
        <f t="shared" si="0"/>
        <v>-1.0242375549215622E-2</v>
      </c>
      <c r="F24">
        <f t="shared" si="1"/>
        <v>4.7949063603207175E-3</v>
      </c>
      <c r="G24">
        <f t="shared" si="2"/>
        <v>6.6649332093089387E-3</v>
      </c>
    </row>
    <row r="25" spans="1:12" x14ac:dyDescent="0.2">
      <c r="A25" s="1">
        <v>45553</v>
      </c>
      <c r="B25">
        <v>113.37</v>
      </c>
      <c r="C25">
        <v>227.2</v>
      </c>
      <c r="D25">
        <v>207.53</v>
      </c>
      <c r="E25">
        <f t="shared" si="0"/>
        <v>-1.9392641276668576E-2</v>
      </c>
      <c r="F25">
        <f t="shared" si="1"/>
        <v>-2.9446040570182087E-3</v>
      </c>
      <c r="G25">
        <f t="shared" si="2"/>
        <v>-8.2538018360157235E-3</v>
      </c>
    </row>
    <row r="26" spans="1:12" x14ac:dyDescent="0.2">
      <c r="A26" s="1">
        <v>45554</v>
      </c>
      <c r="B26">
        <v>117.87</v>
      </c>
      <c r="C26">
        <v>243.92</v>
      </c>
      <c r="D26">
        <v>210.48</v>
      </c>
      <c r="E26">
        <f t="shared" si="0"/>
        <v>3.8925516208970862E-2</v>
      </c>
      <c r="F26">
        <f t="shared" si="1"/>
        <v>7.1009615833003012E-2</v>
      </c>
      <c r="G26">
        <f t="shared" si="2"/>
        <v>1.4114729198468259E-2</v>
      </c>
      <c r="I26" s="2" t="s">
        <v>16</v>
      </c>
    </row>
    <row r="27" spans="1:12" x14ac:dyDescent="0.2">
      <c r="A27" s="1">
        <v>45555</v>
      </c>
      <c r="B27">
        <v>116</v>
      </c>
      <c r="C27">
        <v>238.25</v>
      </c>
      <c r="D27">
        <v>211.09</v>
      </c>
      <c r="E27">
        <f t="shared" si="0"/>
        <v>-1.5992131132113445E-2</v>
      </c>
      <c r="F27">
        <f t="shared" si="1"/>
        <v>-2.3519760145687744E-2</v>
      </c>
      <c r="G27">
        <f t="shared" si="2"/>
        <v>2.8939460859418471E-3</v>
      </c>
    </row>
    <row r="28" spans="1:12" x14ac:dyDescent="0.2">
      <c r="A28" s="1">
        <v>45558</v>
      </c>
      <c r="B28">
        <v>116.26</v>
      </c>
      <c r="C28">
        <v>250</v>
      </c>
      <c r="D28">
        <v>211.44</v>
      </c>
      <c r="E28">
        <f t="shared" si="0"/>
        <v>2.2388711668398825E-3</v>
      </c>
      <c r="F28">
        <f t="shared" si="1"/>
        <v>4.8140375327935025E-2</v>
      </c>
      <c r="G28">
        <f t="shared" si="2"/>
        <v>1.6566874780546894E-3</v>
      </c>
      <c r="I28" t="s">
        <v>17</v>
      </c>
      <c r="J28" t="s">
        <v>6</v>
      </c>
      <c r="K28" t="s">
        <v>7</v>
      </c>
      <c r="L28" t="s">
        <v>8</v>
      </c>
    </row>
    <row r="29" spans="1:12" x14ac:dyDescent="0.2">
      <c r="A29" s="1">
        <v>45559</v>
      </c>
      <c r="B29">
        <v>120.87</v>
      </c>
      <c r="C29">
        <v>254.27</v>
      </c>
      <c r="D29">
        <v>211.59</v>
      </c>
      <c r="E29">
        <f t="shared" si="0"/>
        <v>3.8886525598161081E-2</v>
      </c>
      <c r="F29">
        <f t="shared" si="1"/>
        <v>1.6935776706202291E-2</v>
      </c>
      <c r="G29">
        <f t="shared" si="2"/>
        <v>7.0916959216383809E-4</v>
      </c>
      <c r="I29" t="s">
        <v>6</v>
      </c>
      <c r="J29">
        <f>_xlfn.COVARIANCE.P(E5:E130,E5:E130)</f>
        <v>1.0892257228582339E-3</v>
      </c>
      <c r="K29">
        <f>_xlfn.COVARIANCE.P(E5:E130,F5:F130)</f>
        <v>3.0050259929020651E-4</v>
      </c>
      <c r="L29">
        <f>_xlfn.COVARIANCE.P(E5:E130,G5:G130)</f>
        <v>7.3786270881275772E-5</v>
      </c>
    </row>
    <row r="30" spans="1:12" x14ac:dyDescent="0.2">
      <c r="A30" s="1">
        <v>45560</v>
      </c>
      <c r="B30">
        <v>123.51</v>
      </c>
      <c r="C30">
        <v>257.02</v>
      </c>
      <c r="D30">
        <v>210.19</v>
      </c>
      <c r="E30">
        <f t="shared" si="0"/>
        <v>2.1606536578557402E-2</v>
      </c>
      <c r="F30">
        <f t="shared" si="1"/>
        <v>1.0757208310546294E-2</v>
      </c>
      <c r="G30">
        <f t="shared" si="2"/>
        <v>-6.638556316308962E-3</v>
      </c>
      <c r="I30" t="s">
        <v>7</v>
      </c>
      <c r="J30">
        <f>_xlfn.COVARIANCE.P(F5:F130,E5:E130)</f>
        <v>3.0050259929020651E-4</v>
      </c>
      <c r="K30">
        <f>_xlfn.COVARIANCE.P(F5:F130,F5:F130)</f>
        <v>1.706535195199127E-3</v>
      </c>
      <c r="L30">
        <f>_xlfn.COVARIANCE.P(F5:F130,G5:G130)</f>
        <v>1.6748117039003691E-4</v>
      </c>
    </row>
    <row r="31" spans="1:12" x14ac:dyDescent="0.2">
      <c r="A31" s="1">
        <v>45561</v>
      </c>
      <c r="B31">
        <v>124.04</v>
      </c>
      <c r="C31">
        <v>254.22</v>
      </c>
      <c r="D31">
        <v>209.78</v>
      </c>
      <c r="E31">
        <f t="shared" si="0"/>
        <v>4.2819697823250902E-3</v>
      </c>
      <c r="F31">
        <f t="shared" si="1"/>
        <v>-1.0953869012472139E-2</v>
      </c>
      <c r="G31">
        <f t="shared" si="2"/>
        <v>-1.9525210384308039E-3</v>
      </c>
      <c r="I31" t="s">
        <v>8</v>
      </c>
      <c r="J31">
        <f>_xlfn.COVARIANCE.P(G5:G130,E5:E130)</f>
        <v>7.3786270881275772E-5</v>
      </c>
      <c r="K31">
        <f>_xlfn.COVARIANCE.P(G5:G130,F5:F130)</f>
        <v>1.6748117039003691E-4</v>
      </c>
      <c r="L31">
        <f>_xlfn.COVARIANCE.P(G5:G130,G5:G130)</f>
        <v>2.6458025438207735E-4</v>
      </c>
    </row>
    <row r="32" spans="1:12" x14ac:dyDescent="0.2">
      <c r="A32" s="1">
        <v>45562</v>
      </c>
      <c r="B32">
        <v>121.4</v>
      </c>
      <c r="C32">
        <v>260.45999999999998</v>
      </c>
      <c r="D32">
        <v>210.5</v>
      </c>
      <c r="E32">
        <f t="shared" si="0"/>
        <v>-2.1513215606850308E-2</v>
      </c>
      <c r="F32">
        <f t="shared" si="1"/>
        <v>2.4249264673034208E-2</v>
      </c>
      <c r="G32">
        <f t="shared" si="2"/>
        <v>3.4262905889782722E-3</v>
      </c>
    </row>
    <row r="33" spans="1:14" x14ac:dyDescent="0.2">
      <c r="A33" s="1">
        <v>45565</v>
      </c>
      <c r="B33">
        <v>121.44</v>
      </c>
      <c r="C33">
        <v>261.63</v>
      </c>
      <c r="D33">
        <v>210.86</v>
      </c>
      <c r="E33">
        <f t="shared" si="0"/>
        <v>3.2943502192181391E-4</v>
      </c>
      <c r="F33">
        <f t="shared" si="1"/>
        <v>4.4819933674468109E-3</v>
      </c>
      <c r="G33">
        <f t="shared" si="2"/>
        <v>1.7087530263676025E-3</v>
      </c>
    </row>
    <row r="34" spans="1:14" x14ac:dyDescent="0.2">
      <c r="A34" s="1">
        <v>45566</v>
      </c>
      <c r="B34">
        <v>117</v>
      </c>
      <c r="C34">
        <v>258.02</v>
      </c>
      <c r="D34">
        <v>207.04</v>
      </c>
      <c r="E34">
        <f t="shared" si="0"/>
        <v>-3.7246378849563687E-2</v>
      </c>
      <c r="F34">
        <f t="shared" si="1"/>
        <v>-1.3894190610013485E-2</v>
      </c>
      <c r="G34">
        <f t="shared" si="2"/>
        <v>-1.8282394836267975E-2</v>
      </c>
      <c r="I34" s="2" t="s">
        <v>18</v>
      </c>
    </row>
    <row r="35" spans="1:14" x14ac:dyDescent="0.2">
      <c r="A35" s="1">
        <v>45567</v>
      </c>
      <c r="B35">
        <v>118.85</v>
      </c>
      <c r="C35">
        <v>249.02</v>
      </c>
      <c r="D35">
        <v>207.29</v>
      </c>
      <c r="E35">
        <f t="shared" si="0"/>
        <v>1.5688259008446757E-2</v>
      </c>
      <c r="F35">
        <f t="shared" si="1"/>
        <v>-3.5503886772723904E-2</v>
      </c>
      <c r="G35">
        <f t="shared" si="2"/>
        <v>1.2067676988842555E-3</v>
      </c>
    </row>
    <row r="36" spans="1:14" x14ac:dyDescent="0.2">
      <c r="A36" s="1">
        <v>45568</v>
      </c>
      <c r="B36">
        <v>122.85</v>
      </c>
      <c r="C36">
        <v>240.66</v>
      </c>
      <c r="D36">
        <v>205.23</v>
      </c>
      <c r="E36">
        <f t="shared" si="0"/>
        <v>3.3101905160985295E-2</v>
      </c>
      <c r="F36">
        <f t="shared" si="1"/>
        <v>-3.4148065514250078E-2</v>
      </c>
      <c r="G36">
        <f t="shared" si="2"/>
        <v>-9.987477570403561E-3</v>
      </c>
      <c r="I36" t="s">
        <v>26</v>
      </c>
      <c r="J36" t="s">
        <v>27</v>
      </c>
      <c r="K36" t="s">
        <v>28</v>
      </c>
      <c r="L36" t="s">
        <v>19</v>
      </c>
    </row>
    <row r="37" spans="1:14" x14ac:dyDescent="0.2">
      <c r="A37" s="1">
        <v>45569</v>
      </c>
      <c r="B37">
        <v>124.92</v>
      </c>
      <c r="C37">
        <v>250.08</v>
      </c>
      <c r="D37">
        <v>211.22</v>
      </c>
      <c r="E37">
        <f t="shared" si="0"/>
        <v>1.6709433447689864E-2</v>
      </c>
      <c r="F37">
        <f t="shared" ref="F37:F53" si="3">LN(C37/C36)</f>
        <v>3.8395717663150135E-2</v>
      </c>
      <c r="G37">
        <f t="shared" ref="G37:G53" si="4">LN(D37/D36)</f>
        <v>2.8768942877312031E-2</v>
      </c>
      <c r="I37" s="4">
        <v>0.116137675709362</v>
      </c>
      <c r="J37" s="4">
        <v>2.0524324469745489E-2</v>
      </c>
      <c r="K37" s="4">
        <v>0.8633379998208921</v>
      </c>
      <c r="L37" s="3">
        <f>I37+J37+K37</f>
        <v>0.99999999999999956</v>
      </c>
    </row>
    <row r="38" spans="1:14" x14ac:dyDescent="0.2">
      <c r="A38" s="1">
        <v>45572</v>
      </c>
      <c r="B38">
        <v>127.72</v>
      </c>
      <c r="C38">
        <v>240.83</v>
      </c>
      <c r="D38">
        <v>210.93</v>
      </c>
      <c r="E38">
        <f t="shared" si="0"/>
        <v>2.216683543170344E-2</v>
      </c>
      <c r="F38">
        <f t="shared" si="3"/>
        <v>-3.7689576280923932E-2</v>
      </c>
      <c r="G38">
        <f t="shared" si="4"/>
        <v>-1.3739194391486579E-3</v>
      </c>
    </row>
    <row r="39" spans="1:14" x14ac:dyDescent="0.2">
      <c r="A39" s="1">
        <v>45573</v>
      </c>
      <c r="B39">
        <v>132.88999999999999</v>
      </c>
      <c r="C39">
        <v>244.5</v>
      </c>
      <c r="D39">
        <v>210.75</v>
      </c>
      <c r="E39">
        <f t="shared" si="0"/>
        <v>3.9681350496835091E-2</v>
      </c>
      <c r="F39">
        <f t="shared" si="3"/>
        <v>1.5124018522684119E-2</v>
      </c>
      <c r="G39">
        <f t="shared" si="4"/>
        <v>-8.5372799721479781E-4</v>
      </c>
      <c r="L39" t="s">
        <v>29</v>
      </c>
      <c r="M39" t="s">
        <v>30</v>
      </c>
    </row>
    <row r="40" spans="1:14" x14ac:dyDescent="0.2">
      <c r="A40" s="1">
        <v>45574</v>
      </c>
      <c r="B40">
        <v>132.65</v>
      </c>
      <c r="C40">
        <v>241.05</v>
      </c>
      <c r="D40">
        <v>213.42</v>
      </c>
      <c r="E40">
        <f t="shared" si="0"/>
        <v>-1.8076377596675597E-3</v>
      </c>
      <c r="F40">
        <f t="shared" si="3"/>
        <v>-1.4210928063295349E-2</v>
      </c>
      <c r="G40">
        <f t="shared" si="4"/>
        <v>1.2589458306453966E-2</v>
      </c>
      <c r="I40" t="s">
        <v>20</v>
      </c>
      <c r="K40" t="s">
        <v>21</v>
      </c>
      <c r="L40" s="4">
        <f>I37*J6+J37*J7+K37*J8</f>
        <v>1.6094275141043742E-3</v>
      </c>
      <c r="M40" s="4">
        <f>L40*252</f>
        <v>0.40557573355430226</v>
      </c>
    </row>
    <row r="41" spans="1:14" x14ac:dyDescent="0.2">
      <c r="A41" s="1">
        <v>45575</v>
      </c>
      <c r="B41">
        <v>134.81</v>
      </c>
      <c r="C41">
        <v>238.77</v>
      </c>
      <c r="D41">
        <v>212.84</v>
      </c>
      <c r="E41">
        <f t="shared" si="0"/>
        <v>1.6152299119223994E-2</v>
      </c>
      <c r="F41">
        <f t="shared" si="3"/>
        <v>-9.5036353657635842E-3</v>
      </c>
      <c r="G41">
        <f t="shared" si="4"/>
        <v>-2.7213454602502151E-3</v>
      </c>
      <c r="I41">
        <f>I37^2*J29+J37^2*K30+K37^2*L31+2*I37*J37*K29+2*I37*K37*L29+2*J37*K37*L30</f>
        <v>2.3478030613970563E-4</v>
      </c>
      <c r="K41" t="s">
        <v>22</v>
      </c>
      <c r="L41" s="4">
        <f>SQRT(I41)</f>
        <v>1.5322542417618091E-2</v>
      </c>
      <c r="M41" s="4">
        <f>L41*SQRT(252)</f>
        <v>0.24323782014153519</v>
      </c>
      <c r="N41">
        <f>SQRT(I41*252)</f>
        <v>0.24323782014153517</v>
      </c>
    </row>
    <row r="42" spans="1:14" x14ac:dyDescent="0.2">
      <c r="A42" s="1">
        <v>45576</v>
      </c>
      <c r="B42">
        <v>134.80000000000001</v>
      </c>
      <c r="C42">
        <v>217.8</v>
      </c>
      <c r="D42">
        <v>222.29</v>
      </c>
      <c r="E42">
        <f t="shared" si="0"/>
        <v>-7.4181224765981015E-5</v>
      </c>
      <c r="F42">
        <f t="shared" si="3"/>
        <v>-9.1923534987007532E-2</v>
      </c>
      <c r="G42">
        <f t="shared" si="4"/>
        <v>4.3442125974649692E-2</v>
      </c>
      <c r="K42" t="s">
        <v>25</v>
      </c>
    </row>
    <row r="43" spans="1:14" x14ac:dyDescent="0.2">
      <c r="A43" s="1">
        <v>45579</v>
      </c>
      <c r="B43">
        <v>138.07</v>
      </c>
      <c r="C43">
        <v>219.16</v>
      </c>
      <c r="D43">
        <v>221.48</v>
      </c>
      <c r="E43">
        <f t="shared" si="0"/>
        <v>2.3968604449854193E-2</v>
      </c>
      <c r="F43">
        <f t="shared" si="3"/>
        <v>6.2248461713548409E-3</v>
      </c>
      <c r="G43">
        <f t="shared" si="4"/>
        <v>-3.650543748051991E-3</v>
      </c>
    </row>
    <row r="44" spans="1:14" x14ac:dyDescent="0.2">
      <c r="A44" s="1">
        <v>45580</v>
      </c>
      <c r="B44">
        <v>131.6</v>
      </c>
      <c r="C44">
        <v>219.57</v>
      </c>
      <c r="D44">
        <v>222.39</v>
      </c>
      <c r="E44">
        <f t="shared" si="0"/>
        <v>-4.799378403684413E-2</v>
      </c>
      <c r="F44">
        <f t="shared" si="3"/>
        <v>1.8690316110305529E-3</v>
      </c>
      <c r="G44">
        <f t="shared" si="4"/>
        <v>4.1003053819717349E-3</v>
      </c>
    </row>
    <row r="45" spans="1:14" x14ac:dyDescent="0.2">
      <c r="A45" s="1">
        <v>45581</v>
      </c>
      <c r="B45">
        <v>135.72</v>
      </c>
      <c r="C45">
        <v>221.33</v>
      </c>
      <c r="D45">
        <v>223.64</v>
      </c>
      <c r="E45">
        <f t="shared" si="0"/>
        <v>3.0826921024812545E-2</v>
      </c>
      <c r="F45">
        <f t="shared" si="3"/>
        <v>7.9837121727083186E-3</v>
      </c>
      <c r="G45">
        <f t="shared" si="4"/>
        <v>5.6050188217064787E-3</v>
      </c>
      <c r="I45" s="2" t="s">
        <v>31</v>
      </c>
    </row>
    <row r="46" spans="1:14" x14ac:dyDescent="0.2">
      <c r="A46" s="1">
        <v>45582</v>
      </c>
      <c r="B46">
        <v>136.93</v>
      </c>
      <c r="C46">
        <v>220.89</v>
      </c>
      <c r="D46">
        <v>224.42</v>
      </c>
      <c r="E46">
        <f t="shared" si="0"/>
        <v>8.8759064281130479E-3</v>
      </c>
      <c r="F46">
        <f t="shared" si="3"/>
        <v>-1.9899604052187403E-3</v>
      </c>
      <c r="G46">
        <f t="shared" si="4"/>
        <v>3.4816800782755558E-3</v>
      </c>
      <c r="J46" t="s">
        <v>21</v>
      </c>
      <c r="K46" t="s">
        <v>49</v>
      </c>
      <c r="L46" t="s">
        <v>33</v>
      </c>
    </row>
    <row r="47" spans="1:14" x14ac:dyDescent="0.2">
      <c r="A47" s="1">
        <v>45583</v>
      </c>
      <c r="B47">
        <v>138</v>
      </c>
      <c r="C47">
        <v>220.7</v>
      </c>
      <c r="D47">
        <v>225.37</v>
      </c>
      <c r="E47">
        <f t="shared" si="0"/>
        <v>7.7838388130624554E-3</v>
      </c>
      <c r="F47">
        <f t="shared" si="3"/>
        <v>-8.6052678604448202E-4</v>
      </c>
      <c r="G47">
        <f t="shared" si="4"/>
        <v>4.2241997938540551E-3</v>
      </c>
      <c r="I47" t="s">
        <v>32</v>
      </c>
      <c r="J47" s="19">
        <f>AVERAGE(F5:F130)*252</f>
        <v>0.92902168316974398</v>
      </c>
      <c r="K47" s="6">
        <f>SQRT(_xlfn.VAR.S(F5:F130))*SQRT(252)</f>
        <v>0.65839748187831137</v>
      </c>
      <c r="L47" s="20">
        <f>L30/(K47*K48)</f>
        <v>9.8122493199150822E-4</v>
      </c>
    </row>
    <row r="48" spans="1:14" x14ac:dyDescent="0.2">
      <c r="A48" s="1">
        <v>45586</v>
      </c>
      <c r="B48">
        <v>143.71</v>
      </c>
      <c r="C48">
        <v>218.85</v>
      </c>
      <c r="D48">
        <v>223</v>
      </c>
      <c r="E48">
        <f t="shared" si="0"/>
        <v>4.0543694928950949E-2</v>
      </c>
      <c r="F48">
        <f t="shared" si="3"/>
        <v>-8.4177496257863849E-3</v>
      </c>
      <c r="G48">
        <f t="shared" si="4"/>
        <v>-1.0571724570455536E-2</v>
      </c>
      <c r="I48" t="s">
        <v>28</v>
      </c>
      <c r="J48">
        <f>AVERAGE(G5:G130)*252</f>
        <v>0.42754089995924449</v>
      </c>
      <c r="K48" s="6">
        <f>SQRT(_xlfn.VAR.S(G5:G130))*SQRT(252)</f>
        <v>0.25924432085798482</v>
      </c>
      <c r="L48" s="20"/>
    </row>
    <row r="49" spans="1:14" x14ac:dyDescent="0.2">
      <c r="A49" s="1">
        <v>45587</v>
      </c>
      <c r="B49">
        <v>143.59</v>
      </c>
      <c r="C49">
        <v>217.97</v>
      </c>
      <c r="D49">
        <v>224.12</v>
      </c>
      <c r="E49">
        <f t="shared" si="0"/>
        <v>-8.3536377987001502E-4</v>
      </c>
      <c r="F49">
        <f t="shared" si="3"/>
        <v>-4.029124996483115E-3</v>
      </c>
      <c r="G49">
        <f t="shared" si="4"/>
        <v>5.0098512369650388E-3</v>
      </c>
    </row>
    <row r="50" spans="1:14" x14ac:dyDescent="0.2">
      <c r="A50" s="1">
        <v>45588</v>
      </c>
      <c r="B50">
        <v>139.56</v>
      </c>
      <c r="C50">
        <v>213.65</v>
      </c>
      <c r="D50">
        <v>223.41</v>
      </c>
      <c r="E50">
        <f t="shared" si="0"/>
        <v>-2.8467399987712163E-2</v>
      </c>
      <c r="F50">
        <f t="shared" si="3"/>
        <v>-2.0018276550387262E-2</v>
      </c>
      <c r="G50">
        <f t="shared" si="4"/>
        <v>-3.1729743064199123E-3</v>
      </c>
      <c r="I50" t="s">
        <v>34</v>
      </c>
      <c r="J50">
        <f>K47*K48*L47</f>
        <v>1.6748117039003691E-4</v>
      </c>
    </row>
    <row r="51" spans="1:14" x14ac:dyDescent="0.2">
      <c r="A51" s="1">
        <v>45589</v>
      </c>
      <c r="B51">
        <v>140.41</v>
      </c>
      <c r="C51">
        <v>260.48</v>
      </c>
      <c r="D51">
        <v>224.98</v>
      </c>
      <c r="E51">
        <f t="shared" si="0"/>
        <v>6.0720978079774222E-3</v>
      </c>
      <c r="F51">
        <f t="shared" si="3"/>
        <v>0.19818692072414162</v>
      </c>
      <c r="G51">
        <f t="shared" si="4"/>
        <v>7.0028609740159457E-3</v>
      </c>
    </row>
    <row r="52" spans="1:14" x14ac:dyDescent="0.2">
      <c r="A52" s="1">
        <v>45590</v>
      </c>
      <c r="B52">
        <v>141.54</v>
      </c>
      <c r="C52">
        <v>269.19</v>
      </c>
      <c r="D52">
        <v>222.31</v>
      </c>
      <c r="E52">
        <f t="shared" si="0"/>
        <v>8.0156485210877634E-3</v>
      </c>
      <c r="F52">
        <f t="shared" si="3"/>
        <v>3.2891367163900391E-2</v>
      </c>
      <c r="G52">
        <f t="shared" si="4"/>
        <v>-1.1938705150779579E-2</v>
      </c>
      <c r="I52" t="s">
        <v>35</v>
      </c>
    </row>
    <row r="53" spans="1:14" x14ac:dyDescent="0.2">
      <c r="A53" s="1">
        <v>45593</v>
      </c>
      <c r="B53">
        <v>140.52000000000001</v>
      </c>
      <c r="C53">
        <v>262.51</v>
      </c>
      <c r="D53">
        <v>225.5</v>
      </c>
      <c r="E53">
        <f t="shared" si="0"/>
        <v>-7.2325352500122939E-3</v>
      </c>
      <c r="F53">
        <f t="shared" si="3"/>
        <v>-2.5128273433907493E-2</v>
      </c>
      <c r="G53">
        <f t="shared" si="4"/>
        <v>1.4247354728832901E-2</v>
      </c>
      <c r="I53" t="s">
        <v>32</v>
      </c>
      <c r="J53" s="7">
        <f>K47^2</f>
        <v>0.43348724414370138</v>
      </c>
    </row>
    <row r="54" spans="1:14" x14ac:dyDescent="0.2">
      <c r="A54" s="1">
        <v>45594</v>
      </c>
      <c r="B54">
        <v>141.25</v>
      </c>
      <c r="C54">
        <v>259.52</v>
      </c>
      <c r="D54">
        <v>222.9</v>
      </c>
      <c r="E54">
        <f t="shared" si="0"/>
        <v>5.1815426289240412E-3</v>
      </c>
      <c r="F54">
        <f t="shared" ref="F54:G117" si="5">LN(C54/C53)</f>
        <v>-1.1455405617120409E-2</v>
      </c>
      <c r="G54">
        <f t="shared" si="5"/>
        <v>-1.1596918550909815E-2</v>
      </c>
      <c r="I54" t="s">
        <v>28</v>
      </c>
      <c r="J54" s="7">
        <f>K48^2</f>
        <v>6.720761789711778E-2</v>
      </c>
    </row>
    <row r="55" spans="1:14" x14ac:dyDescent="0.2">
      <c r="A55" s="1">
        <v>45595</v>
      </c>
      <c r="B55">
        <v>139.33500000000001</v>
      </c>
      <c r="C55">
        <v>257.55</v>
      </c>
      <c r="D55">
        <v>224.41</v>
      </c>
      <c r="E55">
        <f t="shared" si="0"/>
        <v>-1.3650264518956406E-2</v>
      </c>
      <c r="F55">
        <f t="shared" si="5"/>
        <v>-7.6198949154538077E-3</v>
      </c>
      <c r="G55">
        <f t="shared" si="5"/>
        <v>6.7514955436619433E-3</v>
      </c>
    </row>
    <row r="56" spans="1:14" x14ac:dyDescent="0.2">
      <c r="A56" s="1">
        <v>45596</v>
      </c>
      <c r="B56">
        <v>132.76</v>
      </c>
      <c r="C56">
        <v>249.85</v>
      </c>
      <c r="D56">
        <v>221.92</v>
      </c>
      <c r="E56">
        <f t="shared" si="0"/>
        <v>-4.8338118655820057E-2</v>
      </c>
      <c r="F56">
        <f t="shared" si="5"/>
        <v>-3.0353138221380329E-2</v>
      </c>
      <c r="G56">
        <f t="shared" si="5"/>
        <v>-1.1157779368963726E-2</v>
      </c>
      <c r="I56" t="s">
        <v>37</v>
      </c>
      <c r="J56" s="7">
        <f>J53</f>
        <v>0.43348724414370138</v>
      </c>
      <c r="K56">
        <f>J50</f>
        <v>1.6748117039003691E-4</v>
      </c>
    </row>
    <row r="57" spans="1:14" x14ac:dyDescent="0.2">
      <c r="A57" s="1">
        <v>45597</v>
      </c>
      <c r="B57">
        <v>135.4</v>
      </c>
      <c r="C57">
        <v>248.98</v>
      </c>
      <c r="D57">
        <v>222.94</v>
      </c>
      <c r="E57">
        <f t="shared" si="0"/>
        <v>1.9690373626400793E-2</v>
      </c>
      <c r="F57">
        <f t="shared" si="5"/>
        <v>-3.4881658365741998E-3</v>
      </c>
      <c r="G57">
        <f t="shared" si="5"/>
        <v>4.5857203949559132E-3</v>
      </c>
      <c r="J57">
        <f>J50</f>
        <v>1.6748117039003691E-4</v>
      </c>
      <c r="K57" s="7">
        <f>J54</f>
        <v>6.720761789711778E-2</v>
      </c>
    </row>
    <row r="58" spans="1:14" x14ac:dyDescent="0.2">
      <c r="A58" s="1">
        <v>45600</v>
      </c>
      <c r="B58">
        <v>136.05000000000001</v>
      </c>
      <c r="C58">
        <v>242.84</v>
      </c>
      <c r="D58">
        <v>219.78</v>
      </c>
      <c r="E58">
        <f t="shared" si="0"/>
        <v>4.7891047510806297E-3</v>
      </c>
      <c r="F58">
        <f t="shared" si="5"/>
        <v>-2.4969781691406592E-2</v>
      </c>
      <c r="G58">
        <f t="shared" si="5"/>
        <v>-1.4275630942699433E-2</v>
      </c>
    </row>
    <row r="59" spans="1:14" x14ac:dyDescent="0.2">
      <c r="A59" s="1">
        <v>45601</v>
      </c>
      <c r="B59">
        <v>139.91</v>
      </c>
      <c r="C59">
        <v>251.44</v>
      </c>
      <c r="D59">
        <v>221.49</v>
      </c>
      <c r="E59">
        <f t="shared" si="0"/>
        <v>2.7976893515939023E-2</v>
      </c>
      <c r="F59">
        <f t="shared" si="5"/>
        <v>3.4801602227078884E-2</v>
      </c>
      <c r="G59">
        <f t="shared" si="5"/>
        <v>7.7503957204058558E-3</v>
      </c>
      <c r="I59" t="s">
        <v>36</v>
      </c>
      <c r="J59">
        <f>1/((J53*J54)-(J50*J50))</f>
        <v>34.324608557564645</v>
      </c>
      <c r="K59" t="s">
        <v>44</v>
      </c>
      <c r="L59" t="s">
        <v>38</v>
      </c>
      <c r="M59" s="16">
        <f>J54</f>
        <v>6.720761789711778E-2</v>
      </c>
      <c r="N59" s="11">
        <f>-J50</f>
        <v>-1.6748117039003691E-4</v>
      </c>
    </row>
    <row r="60" spans="1:14" x14ac:dyDescent="0.2">
      <c r="A60" s="1">
        <v>45602</v>
      </c>
      <c r="B60">
        <v>145.61000000000001</v>
      </c>
      <c r="C60">
        <v>288.52999999999997</v>
      </c>
      <c r="D60">
        <v>247.06</v>
      </c>
      <c r="E60">
        <f t="shared" si="0"/>
        <v>3.993245597761879E-2</v>
      </c>
      <c r="F60">
        <f t="shared" si="5"/>
        <v>0.13759467418784069</v>
      </c>
      <c r="G60">
        <f t="shared" si="5"/>
        <v>0.1092537803694838</v>
      </c>
      <c r="M60" s="10">
        <f>-J50</f>
        <v>-1.6748117039003691E-4</v>
      </c>
      <c r="N60" s="15">
        <f>J53</f>
        <v>0.43348724414370138</v>
      </c>
    </row>
    <row r="61" spans="1:14" x14ac:dyDescent="0.2">
      <c r="A61" s="1">
        <v>45603</v>
      </c>
      <c r="B61">
        <v>148.88</v>
      </c>
      <c r="C61">
        <v>296.91000000000003</v>
      </c>
      <c r="D61">
        <v>236.38</v>
      </c>
      <c r="E61">
        <f t="shared" si="0"/>
        <v>2.2208797611182083E-2</v>
      </c>
      <c r="F61">
        <f t="shared" si="5"/>
        <v>2.862999589955675E-2</v>
      </c>
      <c r="G61">
        <f t="shared" si="5"/>
        <v>-4.4190542524573106E-2</v>
      </c>
    </row>
    <row r="62" spans="1:14" x14ac:dyDescent="0.2">
      <c r="A62" s="1">
        <v>45604</v>
      </c>
      <c r="B62">
        <v>147.63</v>
      </c>
      <c r="C62">
        <v>321.22000000000003</v>
      </c>
      <c r="D62">
        <v>236.98</v>
      </c>
      <c r="E62">
        <f t="shared" si="0"/>
        <v>-8.4314687879987818E-3</v>
      </c>
      <c r="F62">
        <f t="shared" si="5"/>
        <v>7.8697184058041839E-2</v>
      </c>
      <c r="G62">
        <f t="shared" si="5"/>
        <v>2.5350698044994207E-3</v>
      </c>
      <c r="I62" t="s">
        <v>39</v>
      </c>
      <c r="J62" s="10">
        <f>J59*M59</f>
        <v>2.3068751764049438</v>
      </c>
      <c r="K62" s="11">
        <f>J59*N59</f>
        <v>-5.7487256144008033E-3</v>
      </c>
    </row>
    <row r="63" spans="1:14" x14ac:dyDescent="0.2">
      <c r="A63" s="1">
        <v>45607</v>
      </c>
      <c r="B63">
        <v>145.26</v>
      </c>
      <c r="C63">
        <v>350</v>
      </c>
      <c r="D63">
        <v>239.29</v>
      </c>
      <c r="E63">
        <f t="shared" si="0"/>
        <v>-1.618390336797439E-2</v>
      </c>
      <c r="F63">
        <f t="shared" si="5"/>
        <v>8.5806907848708161E-2</v>
      </c>
      <c r="G63">
        <f t="shared" si="5"/>
        <v>9.7004561026307178E-3</v>
      </c>
      <c r="J63" s="10">
        <f>J59*M60</f>
        <v>-5.7487256144008033E-3</v>
      </c>
      <c r="K63" s="11">
        <f>J59*N60</f>
        <v>14.879279969930007</v>
      </c>
    </row>
    <row r="64" spans="1:14" x14ac:dyDescent="0.2">
      <c r="A64" s="1">
        <v>45608</v>
      </c>
      <c r="B64">
        <v>148.29</v>
      </c>
      <c r="C64">
        <v>328.49</v>
      </c>
      <c r="D64">
        <v>239.56</v>
      </c>
      <c r="E64">
        <f t="shared" si="0"/>
        <v>2.0644575808955484E-2</v>
      </c>
      <c r="F64">
        <f t="shared" si="5"/>
        <v>-6.3426758422447424E-2</v>
      </c>
      <c r="G64">
        <f t="shared" si="5"/>
        <v>1.1277019050372084E-3</v>
      </c>
    </row>
    <row r="65" spans="1:13" x14ac:dyDescent="0.2">
      <c r="A65" s="1">
        <v>45609</v>
      </c>
      <c r="B65">
        <v>146.27000000000001</v>
      </c>
      <c r="C65">
        <v>330.24</v>
      </c>
      <c r="D65">
        <v>241.16</v>
      </c>
      <c r="E65">
        <f t="shared" si="0"/>
        <v>-1.3715587087980549E-2</v>
      </c>
      <c r="F65">
        <f t="shared" si="5"/>
        <v>5.3132667921312491E-3</v>
      </c>
      <c r="G65">
        <f t="shared" si="5"/>
        <v>6.6567062249430773E-3</v>
      </c>
      <c r="I65" t="s">
        <v>40</v>
      </c>
      <c r="J65" s="12">
        <f>J47</f>
        <v>0.92902168316974398</v>
      </c>
      <c r="K65" s="17" t="s">
        <v>42</v>
      </c>
      <c r="L65" s="13">
        <v>4.3200000000000002E-2</v>
      </c>
    </row>
    <row r="66" spans="1:13" x14ac:dyDescent="0.2">
      <c r="A66" s="1">
        <v>45610</v>
      </c>
      <c r="B66">
        <v>146.76</v>
      </c>
      <c r="C66">
        <v>311.18</v>
      </c>
      <c r="D66">
        <v>241.87</v>
      </c>
      <c r="E66">
        <f t="shared" si="0"/>
        <v>3.3443705880842637E-3</v>
      </c>
      <c r="F66">
        <f t="shared" si="5"/>
        <v>-5.9448139966326516E-2</v>
      </c>
      <c r="G66">
        <f t="shared" si="5"/>
        <v>2.9397781145508641E-3</v>
      </c>
      <c r="J66" s="12">
        <f>J48</f>
        <v>0.42754089995924449</v>
      </c>
      <c r="K66" s="17" t="s">
        <v>42</v>
      </c>
      <c r="L66" s="13">
        <v>4.3200000000000002E-2</v>
      </c>
    </row>
    <row r="67" spans="1:13" x14ac:dyDescent="0.2">
      <c r="A67" s="1">
        <v>45611</v>
      </c>
      <c r="B67">
        <v>141.97999999999999</v>
      </c>
      <c r="C67">
        <v>320.72000000000003</v>
      </c>
      <c r="D67">
        <v>245.31</v>
      </c>
      <c r="E67">
        <f t="shared" si="0"/>
        <v>-3.3112396875841478E-2</v>
      </c>
      <c r="F67">
        <f t="shared" si="5"/>
        <v>3.0196945447434963E-2</v>
      </c>
      <c r="G67">
        <f t="shared" si="5"/>
        <v>1.412232510623997E-2</v>
      </c>
      <c r="J67" s="9"/>
      <c r="K67" s="9"/>
    </row>
    <row r="68" spans="1:13" x14ac:dyDescent="0.2">
      <c r="A68" s="1">
        <v>45614</v>
      </c>
      <c r="B68">
        <v>140.15</v>
      </c>
      <c r="C68">
        <v>338.74</v>
      </c>
      <c r="D68">
        <v>245.03</v>
      </c>
      <c r="E68">
        <f t="shared" si="0"/>
        <v>-1.2972925000442384E-2</v>
      </c>
      <c r="F68">
        <f t="shared" si="5"/>
        <v>5.466438312872355E-2</v>
      </c>
      <c r="G68">
        <f t="shared" si="5"/>
        <v>-1.1420648139411412E-3</v>
      </c>
      <c r="I68" t="s">
        <v>39</v>
      </c>
      <c r="J68" s="14">
        <f>J65-L65</f>
        <v>0.88582168316974397</v>
      </c>
      <c r="K68" s="9"/>
    </row>
    <row r="69" spans="1:13" x14ac:dyDescent="0.2">
      <c r="A69" s="1">
        <v>45615</v>
      </c>
      <c r="B69">
        <v>147.01</v>
      </c>
      <c r="C69">
        <v>346</v>
      </c>
      <c r="D69">
        <v>243.09</v>
      </c>
      <c r="E69">
        <f t="shared" ref="E69:E130" si="6">LN(B69/B68)</f>
        <v>4.7787334065077465E-2</v>
      </c>
      <c r="F69">
        <f t="shared" si="5"/>
        <v>2.1205923594749047E-2</v>
      </c>
      <c r="G69">
        <f t="shared" si="5"/>
        <v>-7.9489068873108745E-3</v>
      </c>
      <c r="J69" s="14">
        <f>J66-L66</f>
        <v>0.38434089995924448</v>
      </c>
      <c r="K69" s="9"/>
    </row>
    <row r="70" spans="1:13" x14ac:dyDescent="0.2">
      <c r="A70" s="1">
        <v>45616</v>
      </c>
      <c r="B70">
        <v>145.88999999999999</v>
      </c>
      <c r="C70">
        <v>342.03</v>
      </c>
      <c r="D70">
        <v>240.78</v>
      </c>
      <c r="E70">
        <f t="shared" si="6"/>
        <v>-7.6476985920707645E-3</v>
      </c>
      <c r="F70">
        <f t="shared" si="5"/>
        <v>-1.154032254398627E-2</v>
      </c>
      <c r="G70">
        <f t="shared" si="5"/>
        <v>-9.5480916338632829E-3</v>
      </c>
    </row>
    <row r="71" spans="1:13" x14ac:dyDescent="0.2">
      <c r="A71" s="1">
        <v>45617</v>
      </c>
      <c r="B71">
        <v>146.66999999999999</v>
      </c>
      <c r="C71">
        <v>339.64</v>
      </c>
      <c r="D71">
        <v>244.76</v>
      </c>
      <c r="E71">
        <f t="shared" si="6"/>
        <v>5.3322521748597551E-3</v>
      </c>
      <c r="F71">
        <f t="shared" si="5"/>
        <v>-7.01221938257535E-3</v>
      </c>
      <c r="G71">
        <f t="shared" si="5"/>
        <v>1.6394485087459373E-2</v>
      </c>
      <c r="I71" t="s">
        <v>41</v>
      </c>
      <c r="J71" s="10">
        <f>J62</f>
        <v>2.3068751764049438</v>
      </c>
      <c r="K71" s="11">
        <f>K62</f>
        <v>-5.7487256144008033E-3</v>
      </c>
      <c r="L71" t="s">
        <v>44</v>
      </c>
      <c r="M71" s="14">
        <f>J68</f>
        <v>0.88582168316974397</v>
      </c>
    </row>
    <row r="72" spans="1:13" x14ac:dyDescent="0.2">
      <c r="A72" s="1">
        <v>45618</v>
      </c>
      <c r="B72">
        <v>141.94999999999999</v>
      </c>
      <c r="C72">
        <v>352.56</v>
      </c>
      <c r="D72">
        <v>248.55</v>
      </c>
      <c r="E72">
        <f t="shared" si="6"/>
        <v>-3.2710282339683691E-2</v>
      </c>
      <c r="F72">
        <f t="shared" si="5"/>
        <v>3.7334587402568988E-2</v>
      </c>
      <c r="G72">
        <f t="shared" si="5"/>
        <v>1.5365893946341996E-2</v>
      </c>
      <c r="J72" s="10">
        <f>J63</f>
        <v>-5.7487256144008033E-3</v>
      </c>
      <c r="K72" s="11">
        <f>K63</f>
        <v>14.879279969930007</v>
      </c>
      <c r="M72" s="14">
        <f>J69</f>
        <v>0.38434089995924448</v>
      </c>
    </row>
    <row r="73" spans="1:13" x14ac:dyDescent="0.2">
      <c r="A73" s="1">
        <v>45621</v>
      </c>
      <c r="B73">
        <v>136.02000000000001</v>
      </c>
      <c r="C73">
        <v>338.59</v>
      </c>
      <c r="D73">
        <v>250.29</v>
      </c>
      <c r="E73">
        <f t="shared" si="6"/>
        <v>-4.267294917148743E-2</v>
      </c>
      <c r="F73">
        <f t="shared" si="5"/>
        <v>-4.0430884643526475E-2</v>
      </c>
      <c r="G73">
        <f t="shared" si="5"/>
        <v>6.9762130414111282E-3</v>
      </c>
    </row>
    <row r="74" spans="1:13" x14ac:dyDescent="0.2">
      <c r="A74" s="1">
        <v>45622</v>
      </c>
      <c r="B74">
        <v>136.91999999999999</v>
      </c>
      <c r="C74">
        <v>338.23</v>
      </c>
      <c r="D74">
        <v>249.97</v>
      </c>
      <c r="E74">
        <f t="shared" si="6"/>
        <v>6.594879914491771E-3</v>
      </c>
      <c r="F74">
        <f t="shared" si="5"/>
        <v>-1.0637984514345806E-3</v>
      </c>
      <c r="G74">
        <f t="shared" si="5"/>
        <v>-1.2793349204223959E-3</v>
      </c>
    </row>
    <row r="75" spans="1:13" x14ac:dyDescent="0.2">
      <c r="A75" s="1">
        <v>45623</v>
      </c>
      <c r="B75">
        <v>135.34</v>
      </c>
      <c r="C75">
        <v>332.89</v>
      </c>
      <c r="D75">
        <v>249.79</v>
      </c>
      <c r="E75">
        <f t="shared" si="6"/>
        <v>-1.1606682857905002E-2</v>
      </c>
      <c r="F75">
        <f t="shared" si="5"/>
        <v>-1.5914032359738598E-2</v>
      </c>
      <c r="G75">
        <f t="shared" si="5"/>
        <v>-7.2034579711650264E-4</v>
      </c>
      <c r="I75" t="s">
        <v>39</v>
      </c>
      <c r="J75">
        <f>(J71*M71)+(K71*M72)</f>
        <v>2.0412705812492695</v>
      </c>
    </row>
    <row r="76" spans="1:13" x14ac:dyDescent="0.2">
      <c r="A76" s="1">
        <v>45625</v>
      </c>
      <c r="B76">
        <v>138.25</v>
      </c>
      <c r="C76">
        <v>345.16</v>
      </c>
      <c r="D76">
        <v>249.72</v>
      </c>
      <c r="E76">
        <f t="shared" si="6"/>
        <v>2.1273509598364767E-2</v>
      </c>
      <c r="F76">
        <f t="shared" si="5"/>
        <v>3.6195972561074923E-2</v>
      </c>
      <c r="G76">
        <f t="shared" si="5"/>
        <v>-2.8027467101044773E-4</v>
      </c>
      <c r="J76">
        <f>J72*M71+K72*M72</f>
        <v>5.7136235085886291</v>
      </c>
    </row>
    <row r="77" spans="1:13" x14ac:dyDescent="0.2">
      <c r="A77" s="1">
        <v>45628</v>
      </c>
      <c r="B77">
        <v>138.63</v>
      </c>
      <c r="C77">
        <v>357.09</v>
      </c>
      <c r="D77">
        <v>246.25</v>
      </c>
      <c r="E77">
        <f t="shared" si="6"/>
        <v>2.7448731478405524E-3</v>
      </c>
      <c r="F77">
        <f t="shared" si="5"/>
        <v>3.3979773207791282E-2</v>
      </c>
      <c r="G77">
        <f t="shared" si="5"/>
        <v>-1.3993010141345089E-2</v>
      </c>
    </row>
    <row r="78" spans="1:13" x14ac:dyDescent="0.2">
      <c r="A78" s="1">
        <v>45629</v>
      </c>
      <c r="B78">
        <v>140.26</v>
      </c>
      <c r="C78">
        <v>351.42</v>
      </c>
      <c r="D78">
        <v>244.82</v>
      </c>
      <c r="E78">
        <f t="shared" si="6"/>
        <v>1.1689329558479629E-2</v>
      </c>
      <c r="F78">
        <f t="shared" si="5"/>
        <v>-1.6005761518152094E-2</v>
      </c>
      <c r="G78">
        <f t="shared" si="5"/>
        <v>-5.8240334048318401E-3</v>
      </c>
      <c r="I78" t="s">
        <v>43</v>
      </c>
      <c r="J78">
        <f>J75/(J75+J76)</f>
        <v>0.26322352795561366</v>
      </c>
      <c r="K78" s="4">
        <f>J78</f>
        <v>0.26322352795561366</v>
      </c>
    </row>
    <row r="79" spans="1:13" x14ac:dyDescent="0.2">
      <c r="A79" s="1">
        <v>45630</v>
      </c>
      <c r="B79">
        <v>145.13999999999999</v>
      </c>
      <c r="C79">
        <v>357.93</v>
      </c>
      <c r="D79">
        <v>243.4</v>
      </c>
      <c r="E79">
        <f t="shared" si="6"/>
        <v>3.4200950741226366E-2</v>
      </c>
      <c r="F79">
        <f t="shared" si="5"/>
        <v>1.8355347226072672E-2</v>
      </c>
      <c r="G79">
        <f t="shared" si="5"/>
        <v>-5.8170660939395368E-3</v>
      </c>
    </row>
    <row r="80" spans="1:13" x14ac:dyDescent="0.2">
      <c r="A80" s="1">
        <v>45631</v>
      </c>
      <c r="B80">
        <v>145.06</v>
      </c>
      <c r="C80">
        <v>369.49</v>
      </c>
      <c r="D80">
        <v>245.48</v>
      </c>
      <c r="E80">
        <f t="shared" si="6"/>
        <v>-5.5134391472441149E-4</v>
      </c>
      <c r="F80">
        <f t="shared" si="5"/>
        <v>3.1786239866753309E-2</v>
      </c>
      <c r="G80">
        <f t="shared" si="5"/>
        <v>8.5092969674692917E-3</v>
      </c>
      <c r="I80" t="s">
        <v>45</v>
      </c>
      <c r="J80">
        <f>J76/(J75+J76)</f>
        <v>0.73677647204438623</v>
      </c>
      <c r="K80" s="4">
        <f>J80</f>
        <v>0.73677647204438623</v>
      </c>
    </row>
    <row r="81" spans="1:11" x14ac:dyDescent="0.2">
      <c r="A81" s="1">
        <v>45632</v>
      </c>
      <c r="B81">
        <v>142.44</v>
      </c>
      <c r="C81">
        <v>389.22</v>
      </c>
      <c r="D81">
        <v>247.36</v>
      </c>
      <c r="E81">
        <f t="shared" si="6"/>
        <v>-1.8226591525689419E-2</v>
      </c>
      <c r="F81">
        <f t="shared" si="5"/>
        <v>5.2021060030447104E-2</v>
      </c>
      <c r="G81">
        <f t="shared" si="5"/>
        <v>7.6292878781609079E-3</v>
      </c>
    </row>
    <row r="82" spans="1:11" x14ac:dyDescent="0.2">
      <c r="A82" s="1">
        <v>45635</v>
      </c>
      <c r="B82">
        <v>138.81</v>
      </c>
      <c r="C82">
        <v>389.79</v>
      </c>
      <c r="D82">
        <v>243.81</v>
      </c>
      <c r="E82">
        <f t="shared" si="6"/>
        <v>-2.5814766822559045E-2</v>
      </c>
      <c r="F82">
        <f t="shared" si="5"/>
        <v>1.4633961097356308E-3</v>
      </c>
      <c r="G82">
        <f t="shared" si="5"/>
        <v>-1.4455531965834068E-2</v>
      </c>
      <c r="K82" s="5">
        <f>SUM(K78:K80)</f>
        <v>0.99999999999999989</v>
      </c>
    </row>
    <row r="83" spans="1:11" x14ac:dyDescent="0.2">
      <c r="A83" s="1">
        <v>45636</v>
      </c>
      <c r="B83">
        <v>135.07</v>
      </c>
      <c r="C83">
        <v>400.99</v>
      </c>
      <c r="D83">
        <v>242.86</v>
      </c>
      <c r="E83">
        <f t="shared" si="6"/>
        <v>-2.731292901434523E-2</v>
      </c>
      <c r="F83">
        <f t="shared" si="5"/>
        <v>2.8328356777005705E-2</v>
      </c>
      <c r="G83">
        <f t="shared" si="5"/>
        <v>-3.9040878075501549E-3</v>
      </c>
    </row>
    <row r="84" spans="1:11" x14ac:dyDescent="0.2">
      <c r="A84" s="1">
        <v>45637</v>
      </c>
      <c r="B84">
        <v>139.31</v>
      </c>
      <c r="C84">
        <v>424.77</v>
      </c>
      <c r="D84">
        <v>243.53</v>
      </c>
      <c r="E84">
        <f t="shared" si="6"/>
        <v>3.0908503145460821E-2</v>
      </c>
      <c r="F84">
        <f t="shared" si="5"/>
        <v>5.7611356625228739E-2</v>
      </c>
      <c r="G84">
        <f t="shared" si="5"/>
        <v>2.7549925934911008E-3</v>
      </c>
      <c r="I84" t="s">
        <v>58</v>
      </c>
      <c r="J84" s="9">
        <f>(K78*J47)+(K80*J48)</f>
        <v>0.55954244091785643</v>
      </c>
      <c r="K84" s="4">
        <f>J84</f>
        <v>0.55954244091785643</v>
      </c>
    </row>
    <row r="85" spans="1:11" x14ac:dyDescent="0.2">
      <c r="A85" s="1">
        <v>45638</v>
      </c>
      <c r="B85">
        <v>137.34</v>
      </c>
      <c r="C85">
        <v>418.1</v>
      </c>
      <c r="D85">
        <v>241.53</v>
      </c>
      <c r="E85">
        <f t="shared" si="6"/>
        <v>-1.4242062525603194E-2</v>
      </c>
      <c r="F85">
        <f t="shared" si="5"/>
        <v>-1.5827207602469726E-2</v>
      </c>
      <c r="G85">
        <f t="shared" si="5"/>
        <v>-8.2464492391649373E-3</v>
      </c>
      <c r="I85" t="s">
        <v>59</v>
      </c>
      <c r="J85">
        <f>((K78^2)*(K47^2))+((K80^2)*(K48^2))+(2*K78*K80*J50)</f>
        <v>6.6582784359940805E-2</v>
      </c>
    </row>
    <row r="86" spans="1:11" x14ac:dyDescent="0.2">
      <c r="A86" s="1">
        <v>45639</v>
      </c>
      <c r="B86">
        <v>134.25</v>
      </c>
      <c r="C86">
        <v>436.23</v>
      </c>
      <c r="D86">
        <v>239.94</v>
      </c>
      <c r="E86">
        <f t="shared" si="6"/>
        <v>-2.2755869803556265E-2</v>
      </c>
      <c r="F86">
        <f t="shared" si="5"/>
        <v>4.244898883098476E-2</v>
      </c>
      <c r="G86">
        <f t="shared" si="5"/>
        <v>-6.6047968932171309E-3</v>
      </c>
      <c r="I86" t="s">
        <v>60</v>
      </c>
      <c r="J86" s="6">
        <f>SQRT(J85)</f>
        <v>0.25803640123040938</v>
      </c>
      <c r="K86" s="5">
        <f>J86</f>
        <v>0.25803640123040938</v>
      </c>
    </row>
    <row r="87" spans="1:11" x14ac:dyDescent="0.2">
      <c r="A87" s="1">
        <v>45642</v>
      </c>
      <c r="B87">
        <v>132</v>
      </c>
      <c r="C87">
        <v>463.02</v>
      </c>
      <c r="D87">
        <v>239.58</v>
      </c>
      <c r="E87">
        <f t="shared" si="6"/>
        <v>-1.6901810802603254E-2</v>
      </c>
      <c r="F87">
        <f t="shared" si="5"/>
        <v>5.9600622504062561E-2</v>
      </c>
      <c r="G87">
        <f t="shared" si="5"/>
        <v>-1.5015017835970255E-3</v>
      </c>
    </row>
    <row r="88" spans="1:11" x14ac:dyDescent="0.2">
      <c r="A88" s="1">
        <v>45643</v>
      </c>
      <c r="B88">
        <v>130.38999999999999</v>
      </c>
      <c r="C88">
        <v>479.86</v>
      </c>
      <c r="D88">
        <v>238.36</v>
      </c>
      <c r="E88">
        <f t="shared" si="6"/>
        <v>-1.2271963150990077E-2</v>
      </c>
      <c r="F88">
        <f t="shared" si="5"/>
        <v>3.5724144994708683E-2</v>
      </c>
      <c r="G88">
        <f t="shared" si="5"/>
        <v>-5.1052544244068084E-3</v>
      </c>
    </row>
    <row r="89" spans="1:11" x14ac:dyDescent="0.2">
      <c r="A89" s="1">
        <v>45644</v>
      </c>
      <c r="B89">
        <v>128.91</v>
      </c>
      <c r="C89">
        <v>440.13</v>
      </c>
      <c r="D89">
        <v>230.37</v>
      </c>
      <c r="E89">
        <f t="shared" si="6"/>
        <v>-1.1415472980367396E-2</v>
      </c>
      <c r="F89">
        <f t="shared" si="5"/>
        <v>-8.6424256872612945E-2</v>
      </c>
      <c r="G89">
        <f t="shared" si="5"/>
        <v>-3.4095423868216353E-2</v>
      </c>
      <c r="I89" s="2" t="s">
        <v>46</v>
      </c>
    </row>
    <row r="90" spans="1:11" x14ac:dyDescent="0.2">
      <c r="A90" s="1">
        <v>45645</v>
      </c>
      <c r="B90">
        <v>130.68</v>
      </c>
      <c r="C90">
        <v>436.17</v>
      </c>
      <c r="D90">
        <v>232.96</v>
      </c>
      <c r="E90">
        <f t="shared" si="6"/>
        <v>1.3637100277856131E-2</v>
      </c>
      <c r="F90">
        <f t="shared" si="5"/>
        <v>-9.0380622082183448E-3</v>
      </c>
      <c r="G90">
        <f t="shared" si="5"/>
        <v>1.1180052997759232E-2</v>
      </c>
    </row>
    <row r="91" spans="1:11" x14ac:dyDescent="0.2">
      <c r="A91" s="1">
        <v>45646</v>
      </c>
      <c r="B91">
        <v>134.69999999999999</v>
      </c>
      <c r="C91">
        <v>421.06</v>
      </c>
      <c r="D91">
        <v>237.6</v>
      </c>
      <c r="E91">
        <f t="shared" si="6"/>
        <v>3.0298496683448778E-2</v>
      </c>
      <c r="F91">
        <f t="shared" si="5"/>
        <v>-3.5256734269034695E-2</v>
      </c>
      <c r="G91">
        <f t="shared" si="5"/>
        <v>1.9721822480168644E-2</v>
      </c>
      <c r="I91" t="s">
        <v>47</v>
      </c>
      <c r="J91" s="6">
        <v>4.3200000000000002E-2</v>
      </c>
      <c r="K91" s="5">
        <f>J91</f>
        <v>4.3200000000000002E-2</v>
      </c>
    </row>
    <row r="92" spans="1:11" x14ac:dyDescent="0.2">
      <c r="A92" s="1">
        <v>45649</v>
      </c>
      <c r="B92">
        <v>139.66999999999999</v>
      </c>
      <c r="C92">
        <v>430.6</v>
      </c>
      <c r="D92">
        <v>238.39</v>
      </c>
      <c r="E92">
        <f t="shared" si="6"/>
        <v>3.6232413901361615E-2</v>
      </c>
      <c r="F92">
        <f t="shared" si="5"/>
        <v>2.2404243587853444E-2</v>
      </c>
      <c r="G92">
        <f t="shared" si="5"/>
        <v>3.3194005142089512E-3</v>
      </c>
      <c r="I92" t="s">
        <v>48</v>
      </c>
      <c r="J92" s="18">
        <v>3</v>
      </c>
    </row>
    <row r="93" spans="1:11" x14ac:dyDescent="0.2">
      <c r="A93" s="1">
        <v>45650</v>
      </c>
      <c r="B93">
        <v>140.22</v>
      </c>
      <c r="C93">
        <v>462.28</v>
      </c>
      <c r="D93">
        <v>242.31</v>
      </c>
      <c r="E93">
        <f t="shared" si="6"/>
        <v>3.9301204611417624E-3</v>
      </c>
      <c r="F93">
        <f t="shared" si="5"/>
        <v>7.0991183176977862E-2</v>
      </c>
      <c r="G93">
        <f t="shared" si="5"/>
        <v>1.6309910119615915E-2</v>
      </c>
    </row>
    <row r="94" spans="1:11" x14ac:dyDescent="0.2">
      <c r="A94" s="1">
        <v>45652</v>
      </c>
      <c r="B94">
        <v>139.93</v>
      </c>
      <c r="C94">
        <v>454.13</v>
      </c>
      <c r="D94">
        <v>243.14</v>
      </c>
      <c r="E94">
        <f t="shared" si="6"/>
        <v>-2.070320211199508E-3</v>
      </c>
      <c r="F94">
        <f t="shared" si="5"/>
        <v>-1.7787267442065515E-2</v>
      </c>
      <c r="G94">
        <f t="shared" si="5"/>
        <v>3.4195110053331849E-3</v>
      </c>
      <c r="I94" t="s">
        <v>50</v>
      </c>
      <c r="J94">
        <f>(J84-J91)/(J92*J85)</f>
        <v>2.5849646966126336</v>
      </c>
    </row>
    <row r="95" spans="1:11" x14ac:dyDescent="0.2">
      <c r="A95" s="1">
        <v>45653</v>
      </c>
      <c r="B95">
        <v>137.01</v>
      </c>
      <c r="C95">
        <v>431.66</v>
      </c>
      <c r="D95">
        <v>241.17</v>
      </c>
      <c r="E95">
        <f t="shared" si="6"/>
        <v>-2.1088381702604804E-2</v>
      </c>
      <c r="F95">
        <f t="shared" si="5"/>
        <v>-5.0745259334350541E-2</v>
      </c>
      <c r="G95">
        <f t="shared" si="5"/>
        <v>-8.1353301196687329E-3</v>
      </c>
    </row>
    <row r="96" spans="1:11" x14ac:dyDescent="0.2">
      <c r="A96" s="1">
        <v>45656</v>
      </c>
      <c r="B96">
        <v>137.49</v>
      </c>
      <c r="C96">
        <v>417.41</v>
      </c>
      <c r="D96">
        <v>239.32</v>
      </c>
      <c r="E96">
        <f t="shared" si="6"/>
        <v>3.4972713241252736E-3</v>
      </c>
      <c r="F96">
        <f t="shared" si="5"/>
        <v>-3.3569289140496533E-2</v>
      </c>
      <c r="G96">
        <f t="shared" si="5"/>
        <v>-7.7005104861481042E-3</v>
      </c>
      <c r="I96" t="s">
        <v>51</v>
      </c>
      <c r="J96">
        <f>1-J94</f>
        <v>-1.5849646966126336</v>
      </c>
    </row>
    <row r="97" spans="1:11" x14ac:dyDescent="0.2">
      <c r="A97" s="1">
        <v>45657</v>
      </c>
      <c r="B97">
        <v>134.29</v>
      </c>
      <c r="C97">
        <v>403.84</v>
      </c>
      <c r="D97">
        <v>239.71</v>
      </c>
      <c r="E97">
        <f t="shared" si="6"/>
        <v>-2.3549546596058561E-2</v>
      </c>
      <c r="F97">
        <f t="shared" si="5"/>
        <v>-3.3050192277534286E-2</v>
      </c>
      <c r="G97">
        <f t="shared" si="5"/>
        <v>1.6282908634877985E-3</v>
      </c>
    </row>
    <row r="98" spans="1:11" x14ac:dyDescent="0.2">
      <c r="A98" s="1">
        <v>45659</v>
      </c>
      <c r="B98">
        <v>138.31</v>
      </c>
      <c r="C98">
        <v>379.28</v>
      </c>
      <c r="D98">
        <v>240</v>
      </c>
      <c r="E98">
        <f t="shared" si="6"/>
        <v>2.9495902043532696E-2</v>
      </c>
      <c r="F98">
        <f t="shared" si="5"/>
        <v>-6.2744041318930799E-2</v>
      </c>
      <c r="G98">
        <f t="shared" si="5"/>
        <v>1.2090639566725628E-3</v>
      </c>
      <c r="I98" t="s">
        <v>52</v>
      </c>
      <c r="J98" t="s">
        <v>53</v>
      </c>
      <c r="K98" t="s">
        <v>54</v>
      </c>
    </row>
    <row r="99" spans="1:11" x14ac:dyDescent="0.2">
      <c r="A99" s="1">
        <v>45660</v>
      </c>
      <c r="B99">
        <v>144.47</v>
      </c>
      <c r="C99">
        <v>410.44</v>
      </c>
      <c r="D99">
        <v>243.28</v>
      </c>
      <c r="E99">
        <f t="shared" si="6"/>
        <v>4.3574330904673421E-2</v>
      </c>
      <c r="F99">
        <f t="shared" si="5"/>
        <v>7.8955036400145479E-2</v>
      </c>
      <c r="G99">
        <f t="shared" si="5"/>
        <v>1.3574120027117951E-2</v>
      </c>
      <c r="J99" t="s">
        <v>55</v>
      </c>
      <c r="K99" s="8">
        <f>J96</f>
        <v>-1.5849646966126336</v>
      </c>
    </row>
    <row r="100" spans="1:11" x14ac:dyDescent="0.2">
      <c r="A100" s="1">
        <v>45663</v>
      </c>
      <c r="B100">
        <v>149.43</v>
      </c>
      <c r="C100">
        <v>411.05</v>
      </c>
      <c r="D100">
        <v>240.85</v>
      </c>
      <c r="E100">
        <f t="shared" si="6"/>
        <v>3.3756182212011883E-2</v>
      </c>
      <c r="F100">
        <f t="shared" si="5"/>
        <v>1.4851066041341062E-3</v>
      </c>
      <c r="G100">
        <f t="shared" si="5"/>
        <v>-1.0038710292879479E-2</v>
      </c>
      <c r="J100" t="s">
        <v>32</v>
      </c>
      <c r="K100" s="4">
        <f>J94*J78</f>
        <v>0.68042352708308995</v>
      </c>
    </row>
    <row r="101" spans="1:11" x14ac:dyDescent="0.2">
      <c r="A101" s="1">
        <v>45664</v>
      </c>
      <c r="B101">
        <v>140.13999999999999</v>
      </c>
      <c r="C101">
        <v>394.36</v>
      </c>
      <c r="D101">
        <v>243.17</v>
      </c>
      <c r="E101">
        <f t="shared" si="6"/>
        <v>-6.4186132810914065E-2</v>
      </c>
      <c r="F101">
        <f t="shared" si="5"/>
        <v>-4.1450663891301837E-2</v>
      </c>
      <c r="G101">
        <f t="shared" si="5"/>
        <v>9.5864541437380608E-3</v>
      </c>
      <c r="J101" t="s">
        <v>28</v>
      </c>
      <c r="K101" s="4">
        <f>J94*J80</f>
        <v>1.9045411695295433</v>
      </c>
    </row>
    <row r="102" spans="1:11" x14ac:dyDescent="0.2">
      <c r="A102" s="1">
        <v>45665</v>
      </c>
      <c r="B102">
        <v>140.11000000000001</v>
      </c>
      <c r="C102">
        <v>394.94</v>
      </c>
      <c r="D102">
        <v>243.13</v>
      </c>
      <c r="E102">
        <f t="shared" si="6"/>
        <v>-2.140945592475461E-4</v>
      </c>
      <c r="F102">
        <f t="shared" si="5"/>
        <v>1.4696569223229571E-3</v>
      </c>
      <c r="G102">
        <f t="shared" si="5"/>
        <v>-1.6450750602587194E-4</v>
      </c>
    </row>
    <row r="103" spans="1:11" x14ac:dyDescent="0.2">
      <c r="A103" s="1">
        <v>45667</v>
      </c>
      <c r="B103">
        <v>135.91</v>
      </c>
      <c r="C103">
        <v>394.74</v>
      </c>
      <c r="D103">
        <v>239.87</v>
      </c>
      <c r="E103">
        <f t="shared" si="6"/>
        <v>-3.0434926415884248E-2</v>
      </c>
      <c r="F103">
        <f t="shared" si="5"/>
        <v>-5.0653430320193524E-4</v>
      </c>
      <c r="G103">
        <f t="shared" si="5"/>
        <v>-1.3499169793003129E-2</v>
      </c>
      <c r="I103" t="s">
        <v>56</v>
      </c>
      <c r="J103">
        <f>J96*J91+J94*J84</f>
        <v>1.3779269811354535</v>
      </c>
      <c r="K103" s="4">
        <f>J103</f>
        <v>1.3779269811354535</v>
      </c>
    </row>
    <row r="104" spans="1:11" x14ac:dyDescent="0.2">
      <c r="A104" s="1">
        <v>45670</v>
      </c>
      <c r="B104">
        <v>133.22999999999999</v>
      </c>
      <c r="C104">
        <v>403.31</v>
      </c>
      <c r="D104">
        <v>244.21</v>
      </c>
      <c r="E104">
        <f t="shared" si="6"/>
        <v>-1.9915943995135368E-2</v>
      </c>
      <c r="F104">
        <f t="shared" si="5"/>
        <v>2.1478176683598593E-2</v>
      </c>
      <c r="G104">
        <f t="shared" si="5"/>
        <v>1.7931400958185569E-2</v>
      </c>
      <c r="I104" t="s">
        <v>61</v>
      </c>
      <c r="J104">
        <f>(J94^2)*(J85)</f>
        <v>0.44490899371181775</v>
      </c>
    </row>
    <row r="105" spans="1:11" x14ac:dyDescent="0.2">
      <c r="A105" s="1">
        <v>45671</v>
      </c>
      <c r="B105">
        <v>131.76</v>
      </c>
      <c r="C105">
        <v>396.36</v>
      </c>
      <c r="D105">
        <v>247.47</v>
      </c>
      <c r="E105">
        <f t="shared" si="6"/>
        <v>-1.1094872102735659E-2</v>
      </c>
      <c r="F105">
        <f t="shared" si="5"/>
        <v>-1.7382607818861549E-2</v>
      </c>
      <c r="G105">
        <f t="shared" si="5"/>
        <v>1.3260851661625746E-2</v>
      </c>
      <c r="I105" t="s">
        <v>57</v>
      </c>
      <c r="J105">
        <f>J86*J94</f>
        <v>0.66701498762158096</v>
      </c>
      <c r="K105" s="4">
        <f>J105</f>
        <v>0.66701498762158096</v>
      </c>
    </row>
    <row r="106" spans="1:11" x14ac:dyDescent="0.2">
      <c r="A106" s="1">
        <v>45672</v>
      </c>
      <c r="B106">
        <v>136.24</v>
      </c>
      <c r="C106">
        <v>428.22</v>
      </c>
      <c r="D106">
        <v>252.35</v>
      </c>
      <c r="E106">
        <f t="shared" si="6"/>
        <v>3.3435950485048091E-2</v>
      </c>
      <c r="F106">
        <f t="shared" si="5"/>
        <v>7.731419302033242E-2</v>
      </c>
      <c r="G106">
        <f t="shared" si="5"/>
        <v>1.9527650245521357E-2</v>
      </c>
      <c r="K106" s="4"/>
    </row>
    <row r="107" spans="1:11" x14ac:dyDescent="0.2">
      <c r="A107" s="1">
        <v>45673</v>
      </c>
      <c r="B107">
        <v>133.57</v>
      </c>
      <c r="C107">
        <v>413.82</v>
      </c>
      <c r="D107">
        <v>254.27</v>
      </c>
      <c r="E107">
        <f t="shared" si="6"/>
        <v>-1.9792351365419E-2</v>
      </c>
      <c r="F107">
        <f t="shared" si="5"/>
        <v>-3.4205985539776232E-2</v>
      </c>
      <c r="G107">
        <f t="shared" si="5"/>
        <v>7.5796817821773624E-3</v>
      </c>
      <c r="K107" s="4"/>
    </row>
    <row r="108" spans="1:11" x14ac:dyDescent="0.2">
      <c r="A108" s="1">
        <v>45674</v>
      </c>
      <c r="B108">
        <v>137.71</v>
      </c>
      <c r="C108">
        <v>426.5</v>
      </c>
      <c r="D108">
        <v>259.16000000000003</v>
      </c>
      <c r="E108">
        <f t="shared" si="6"/>
        <v>3.0524339750020613E-2</v>
      </c>
      <c r="F108">
        <f t="shared" si="5"/>
        <v>3.0181270260479016E-2</v>
      </c>
      <c r="G108">
        <f t="shared" si="5"/>
        <v>1.9048937013307819E-2</v>
      </c>
      <c r="K108" s="5"/>
    </row>
    <row r="109" spans="1:11" x14ac:dyDescent="0.2">
      <c r="A109" s="1">
        <v>45678</v>
      </c>
      <c r="B109">
        <v>140.83000000000001</v>
      </c>
      <c r="C109">
        <v>424.07</v>
      </c>
      <c r="D109">
        <v>263.02999999999997</v>
      </c>
      <c r="E109">
        <f t="shared" si="6"/>
        <v>2.2403464470924412E-2</v>
      </c>
      <c r="F109">
        <f t="shared" si="5"/>
        <v>-5.7138309867241317E-3</v>
      </c>
      <c r="G109">
        <f t="shared" si="5"/>
        <v>1.4822462531762495E-2</v>
      </c>
    </row>
    <row r="110" spans="1:11" x14ac:dyDescent="0.2">
      <c r="A110" s="1">
        <v>45679</v>
      </c>
      <c r="B110">
        <v>147.07</v>
      </c>
      <c r="C110">
        <v>415.11</v>
      </c>
      <c r="D110">
        <v>262.83999999999997</v>
      </c>
      <c r="E110">
        <f t="shared" si="6"/>
        <v>4.3355174702263348E-2</v>
      </c>
      <c r="F110">
        <f t="shared" si="5"/>
        <v>-2.1354990595606967E-2</v>
      </c>
      <c r="G110">
        <f t="shared" si="5"/>
        <v>-7.2261208385213441E-4</v>
      </c>
      <c r="K110" s="5"/>
    </row>
    <row r="111" spans="1:11" x14ac:dyDescent="0.2">
      <c r="A111" s="1">
        <v>45680</v>
      </c>
      <c r="B111">
        <v>147.22</v>
      </c>
      <c r="C111">
        <v>412.38</v>
      </c>
      <c r="D111">
        <v>265.95</v>
      </c>
      <c r="E111">
        <f t="shared" si="6"/>
        <v>1.0194027183375537E-3</v>
      </c>
      <c r="F111">
        <f t="shared" si="5"/>
        <v>-6.5982909878338734E-3</v>
      </c>
      <c r="G111">
        <f t="shared" si="5"/>
        <v>1.1762839158659446E-2</v>
      </c>
      <c r="J111" s="5"/>
      <c r="K111" s="5"/>
    </row>
    <row r="112" spans="1:11" x14ac:dyDescent="0.2">
      <c r="A112" s="1">
        <v>45681</v>
      </c>
      <c r="B112">
        <v>142.62</v>
      </c>
      <c r="C112">
        <v>406.58</v>
      </c>
      <c r="D112">
        <v>264.83999999999997</v>
      </c>
      <c r="E112">
        <f t="shared" si="6"/>
        <v>-3.1744316030402252E-2</v>
      </c>
      <c r="F112">
        <f t="shared" si="5"/>
        <v>-1.41645427686508E-2</v>
      </c>
      <c r="G112">
        <f t="shared" si="5"/>
        <v>-4.1824511316812477E-3</v>
      </c>
      <c r="J112" s="5"/>
      <c r="K112" s="5"/>
    </row>
    <row r="113" spans="1:7" x14ac:dyDescent="0.2">
      <c r="A113" s="1">
        <v>45684</v>
      </c>
      <c r="B113">
        <v>118.42</v>
      </c>
      <c r="C113">
        <v>397.15</v>
      </c>
      <c r="D113">
        <v>265.85000000000002</v>
      </c>
      <c r="E113">
        <f t="shared" si="6"/>
        <v>-0.18594612349652748</v>
      </c>
      <c r="F113">
        <f t="shared" si="5"/>
        <v>-2.3466668513776968E-2</v>
      </c>
      <c r="G113">
        <f t="shared" si="5"/>
        <v>3.8063698937022589E-3</v>
      </c>
    </row>
    <row r="114" spans="1:7" x14ac:dyDescent="0.2">
      <c r="A114" s="1">
        <v>45685</v>
      </c>
      <c r="B114">
        <v>128.99</v>
      </c>
      <c r="C114">
        <v>398.09</v>
      </c>
      <c r="D114">
        <v>267.14</v>
      </c>
      <c r="E114">
        <f t="shared" si="6"/>
        <v>8.5497254873414752E-2</v>
      </c>
      <c r="F114">
        <f t="shared" si="5"/>
        <v>2.3640672948804699E-3</v>
      </c>
      <c r="G114">
        <f t="shared" si="5"/>
        <v>4.840625598611579E-3</v>
      </c>
    </row>
    <row r="115" spans="1:7" x14ac:dyDescent="0.2">
      <c r="A115" s="1">
        <v>45686</v>
      </c>
      <c r="B115">
        <v>123.7</v>
      </c>
      <c r="C115">
        <v>389.1</v>
      </c>
      <c r="D115">
        <v>266.58</v>
      </c>
      <c r="E115">
        <f t="shared" si="6"/>
        <v>-4.1875602578602553E-2</v>
      </c>
      <c r="F115">
        <f t="shared" si="5"/>
        <v>-2.2841730383513555E-2</v>
      </c>
      <c r="G115">
        <f t="shared" si="5"/>
        <v>-2.0984793730871609E-3</v>
      </c>
    </row>
    <row r="116" spans="1:7" x14ac:dyDescent="0.2">
      <c r="A116" s="1">
        <v>45687</v>
      </c>
      <c r="B116">
        <v>124.65</v>
      </c>
      <c r="C116">
        <v>400.28</v>
      </c>
      <c r="D116">
        <v>268.23</v>
      </c>
      <c r="E116">
        <f t="shared" si="6"/>
        <v>7.6505305711246667E-3</v>
      </c>
      <c r="F116">
        <f t="shared" si="5"/>
        <v>2.8327922231747241E-2</v>
      </c>
      <c r="G116">
        <f t="shared" si="5"/>
        <v>6.1704352394644692E-3</v>
      </c>
    </row>
    <row r="117" spans="1:7" x14ac:dyDescent="0.2">
      <c r="A117" s="1">
        <v>45688</v>
      </c>
      <c r="B117">
        <v>120.07</v>
      </c>
      <c r="C117">
        <v>404.6</v>
      </c>
      <c r="D117">
        <v>267.3</v>
      </c>
      <c r="E117">
        <f t="shared" si="6"/>
        <v>-3.743490392694037E-2</v>
      </c>
      <c r="F117">
        <f t="shared" si="5"/>
        <v>1.0734622511389938E-2</v>
      </c>
      <c r="G117">
        <f t="shared" si="5"/>
        <v>-3.4731982704630966E-3</v>
      </c>
    </row>
    <row r="118" spans="1:7" x14ac:dyDescent="0.2">
      <c r="A118" s="1">
        <v>45691</v>
      </c>
      <c r="B118">
        <v>116.66</v>
      </c>
      <c r="C118">
        <v>383.68</v>
      </c>
      <c r="D118">
        <v>266.81</v>
      </c>
      <c r="E118">
        <f t="shared" si="6"/>
        <v>-2.8811184717135074E-2</v>
      </c>
      <c r="F118">
        <f t="shared" ref="F118:G130" si="7">LN(C118/C117)</f>
        <v>-5.3090052894495664E-2</v>
      </c>
      <c r="G118">
        <f t="shared" si="7"/>
        <v>-1.8348285464392696E-3</v>
      </c>
    </row>
    <row r="119" spans="1:7" x14ac:dyDescent="0.2">
      <c r="A119" s="1">
        <v>45692</v>
      </c>
      <c r="B119">
        <v>118.65</v>
      </c>
      <c r="C119">
        <v>392.21</v>
      </c>
      <c r="D119">
        <v>267.94</v>
      </c>
      <c r="E119">
        <f t="shared" si="6"/>
        <v>1.6914261556281014E-2</v>
      </c>
      <c r="F119">
        <f t="shared" si="7"/>
        <v>2.1988538793356979E-2</v>
      </c>
      <c r="G119">
        <f t="shared" si="7"/>
        <v>4.2262802504057376E-3</v>
      </c>
    </row>
    <row r="120" spans="1:7" x14ac:dyDescent="0.2">
      <c r="A120" s="1">
        <v>45693</v>
      </c>
      <c r="B120">
        <v>124.83</v>
      </c>
      <c r="C120">
        <v>378.17</v>
      </c>
      <c r="D120">
        <v>270.43</v>
      </c>
      <c r="E120">
        <f t="shared" si="6"/>
        <v>5.0774828781187074E-2</v>
      </c>
      <c r="F120">
        <f t="shared" si="7"/>
        <v>-3.6453580663859418E-2</v>
      </c>
      <c r="G120">
        <f t="shared" si="7"/>
        <v>9.250209911396523E-3</v>
      </c>
    </row>
    <row r="121" spans="1:7" x14ac:dyDescent="0.2">
      <c r="A121" s="1">
        <v>45694</v>
      </c>
      <c r="B121">
        <v>128.68</v>
      </c>
      <c r="C121">
        <v>374.32</v>
      </c>
      <c r="D121">
        <v>276.89999999999998</v>
      </c>
      <c r="E121">
        <f t="shared" si="6"/>
        <v>3.0375890707866154E-2</v>
      </c>
      <c r="F121">
        <f t="shared" si="7"/>
        <v>-1.0232783410686183E-2</v>
      </c>
      <c r="G121">
        <f t="shared" si="7"/>
        <v>2.3643145416679917E-2</v>
      </c>
    </row>
    <row r="122" spans="1:7" x14ac:dyDescent="0.2">
      <c r="A122" s="1">
        <v>45695</v>
      </c>
      <c r="B122">
        <v>129.84</v>
      </c>
      <c r="C122">
        <v>361.62</v>
      </c>
      <c r="D122">
        <v>275.8</v>
      </c>
      <c r="E122">
        <f t="shared" si="6"/>
        <v>8.974220835510088E-3</v>
      </c>
      <c r="F122">
        <f t="shared" si="7"/>
        <v>-3.4517109834953111E-2</v>
      </c>
      <c r="G122">
        <f t="shared" si="7"/>
        <v>-3.9804648177146048E-3</v>
      </c>
    </row>
    <row r="123" spans="1:7" x14ac:dyDescent="0.2">
      <c r="A123" s="1">
        <v>45698</v>
      </c>
      <c r="B123">
        <v>133.57</v>
      </c>
      <c r="C123">
        <v>350.73</v>
      </c>
      <c r="D123">
        <v>271.04000000000002</v>
      </c>
      <c r="E123">
        <f t="shared" si="6"/>
        <v>2.8322761782678136E-2</v>
      </c>
      <c r="F123">
        <f t="shared" si="7"/>
        <v>-3.0577240036170499E-2</v>
      </c>
      <c r="G123">
        <f t="shared" si="7"/>
        <v>-1.7409553895511826E-2</v>
      </c>
    </row>
    <row r="124" spans="1:7" x14ac:dyDescent="0.2">
      <c r="A124" s="1">
        <v>45699</v>
      </c>
      <c r="B124">
        <v>132.80000000000001</v>
      </c>
      <c r="C124">
        <v>328.5</v>
      </c>
      <c r="D124">
        <v>274.99</v>
      </c>
      <c r="E124">
        <f t="shared" si="6"/>
        <v>-5.7814479466803586E-3</v>
      </c>
      <c r="F124">
        <f t="shared" si="7"/>
        <v>-6.5479858762172063E-2</v>
      </c>
      <c r="G124">
        <f t="shared" si="7"/>
        <v>1.4468321905344965E-2</v>
      </c>
    </row>
    <row r="125" spans="1:7" x14ac:dyDescent="0.2">
      <c r="A125" s="1">
        <v>45700</v>
      </c>
      <c r="B125">
        <v>131.13999999999999</v>
      </c>
      <c r="C125">
        <v>336.51</v>
      </c>
      <c r="D125">
        <v>275.45</v>
      </c>
      <c r="E125">
        <f t="shared" si="6"/>
        <v>-1.2578782206860298E-2</v>
      </c>
      <c r="F125">
        <f t="shared" si="7"/>
        <v>2.4091028400576399E-2</v>
      </c>
      <c r="G125">
        <f t="shared" si="7"/>
        <v>1.6713905496908111E-3</v>
      </c>
    </row>
    <row r="126" spans="1:7" x14ac:dyDescent="0.2">
      <c r="A126" s="1">
        <v>45701</v>
      </c>
      <c r="B126">
        <v>135.29</v>
      </c>
      <c r="C126">
        <v>355.94</v>
      </c>
      <c r="D126">
        <v>276.32</v>
      </c>
      <c r="E126">
        <f t="shared" si="6"/>
        <v>3.1155167779795479E-2</v>
      </c>
      <c r="F126">
        <f t="shared" si="7"/>
        <v>5.613431099659786E-2</v>
      </c>
      <c r="G126">
        <f t="shared" si="7"/>
        <v>3.1534904796429457E-3</v>
      </c>
    </row>
    <row r="127" spans="1:7" x14ac:dyDescent="0.2">
      <c r="A127" s="1">
        <v>45702</v>
      </c>
      <c r="B127">
        <v>138.85</v>
      </c>
      <c r="C127">
        <v>355.84</v>
      </c>
      <c r="D127">
        <v>276.58999999999997</v>
      </c>
      <c r="E127">
        <f t="shared" si="6"/>
        <v>2.5973591137539755E-2</v>
      </c>
      <c r="F127">
        <f t="shared" si="7"/>
        <v>-2.8098569967676025E-4</v>
      </c>
      <c r="G127">
        <f t="shared" si="7"/>
        <v>9.7665088879386676E-4</v>
      </c>
    </row>
    <row r="128" spans="1:7" x14ac:dyDescent="0.2">
      <c r="A128" s="1">
        <v>45706</v>
      </c>
      <c r="B128">
        <v>139.4</v>
      </c>
      <c r="C128">
        <v>354.11</v>
      </c>
      <c r="D128">
        <v>279.95</v>
      </c>
      <c r="E128">
        <f t="shared" si="6"/>
        <v>3.953284573615142E-3</v>
      </c>
      <c r="F128">
        <f t="shared" si="7"/>
        <v>-4.8735922930660761E-3</v>
      </c>
      <c r="G128">
        <f t="shared" si="7"/>
        <v>1.2074750507739897E-2</v>
      </c>
    </row>
    <row r="129" spans="1:7" x14ac:dyDescent="0.2">
      <c r="A129" s="1">
        <v>45707</v>
      </c>
      <c r="B129">
        <v>139.22999999999999</v>
      </c>
      <c r="C129">
        <v>360.56</v>
      </c>
      <c r="D129">
        <v>279.25</v>
      </c>
      <c r="E129">
        <f t="shared" si="6"/>
        <v>-1.2202564052294857E-3</v>
      </c>
      <c r="F129">
        <f t="shared" si="7"/>
        <v>1.8050779053296055E-2</v>
      </c>
      <c r="G129">
        <f t="shared" si="7"/>
        <v>-2.5035778455922033E-3</v>
      </c>
    </row>
    <row r="130" spans="1:7" x14ac:dyDescent="0.2">
      <c r="A130" s="1">
        <v>45708</v>
      </c>
      <c r="B130">
        <v>140.11000000000001</v>
      </c>
      <c r="C130">
        <v>354.4</v>
      </c>
      <c r="D130">
        <v>266.8</v>
      </c>
      <c r="E130">
        <f t="shared" si="6"/>
        <v>6.3005864619461423E-3</v>
      </c>
      <c r="F130">
        <f t="shared" si="7"/>
        <v>-1.7232159651467047E-2</v>
      </c>
      <c r="G130">
        <f t="shared" si="7"/>
        <v>-4.5608123907841365E-2</v>
      </c>
    </row>
    <row r="131" spans="1:7" x14ac:dyDescent="0.2">
      <c r="A131" s="1"/>
    </row>
    <row r="132" spans="1:7" x14ac:dyDescent="0.2">
      <c r="A132" s="1"/>
    </row>
  </sheetData>
  <sortState xmlns:xlrd2="http://schemas.microsoft.com/office/spreadsheetml/2017/richdata2" ref="A4:D148">
    <sortCondition ref="A4:A148"/>
  </sortState>
  <mergeCells count="1">
    <mergeCell ref="L47:L48"/>
  </mergeCells>
  <phoneticPr fontId="3" type="noConversion"/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7be8240-149b-427d-8eba-7bb1ff6225d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603EFC6982A3E49B93B844C7FCD583B" ma:contentTypeVersion="9" ma:contentTypeDescription="Create a new document." ma:contentTypeScope="" ma:versionID="bfa76f71a6bac9aa5efdea2c79edc8f1">
  <xsd:schema xmlns:xsd="http://www.w3.org/2001/XMLSchema" xmlns:xs="http://www.w3.org/2001/XMLSchema" xmlns:p="http://schemas.microsoft.com/office/2006/metadata/properties" xmlns:ns3="b7be8240-149b-427d-8eba-7bb1ff6225dd" xmlns:ns4="869da506-bace-44af-a899-86cec871751e" targetNamespace="http://schemas.microsoft.com/office/2006/metadata/properties" ma:root="true" ma:fieldsID="646010ad1cfeae5d8c4cf618bea65764" ns3:_="" ns4:_="">
    <xsd:import namespace="b7be8240-149b-427d-8eba-7bb1ff6225dd"/>
    <xsd:import namespace="869da506-bace-44af-a899-86cec87175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be8240-149b-427d-8eba-7bb1ff6225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9da506-bace-44af-a899-86cec871751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1D1C0DD-D457-486D-A5A3-823616CB4D7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AEFA530-F775-4F76-914D-F6035DA00F6E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b7be8240-149b-427d-8eba-7bb1ff6225dd"/>
    <ds:schemaRef ds:uri="869da506-bace-44af-a899-86cec871751e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2D14996-811E-42F4-B367-DFC289D5954C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b7be8240-149b-427d-8eba-7bb1ff6225dd"/>
    <ds:schemaRef ds:uri="869da506-bace-44af-a899-86cec87175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NVDA</vt:lpstr>
      <vt:lpstr>TSLA</vt:lpstr>
      <vt:lpstr>JPM</vt:lpstr>
      <vt:lpstr>Q1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Allison Castillo Gutierrez</dc:creator>
  <cp:lastModifiedBy>Allison Castillo Gutierrez</cp:lastModifiedBy>
  <dcterms:created xsi:type="dcterms:W3CDTF">2025-03-07T12:07:19Z</dcterms:created>
  <dcterms:modified xsi:type="dcterms:W3CDTF">2025-03-12T11:59:36Z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0x010100B603EFC6982A3E49B93B844C7FCD583B</vt:lpwstr>
  </property>
</Properties>
</file>