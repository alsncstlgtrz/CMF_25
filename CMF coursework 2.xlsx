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westminster-my.sharepoint.com/personal/w1887215_westminster_ac_uk/Documents/Second year/Computational Methods for Finance/"/>
    </mc:Choice>
  </mc:AlternateContent>
  <xr:revisionPtr revIDLastSave="1557" documentId="8_{823F26F3-E586-49F2-BA1F-345E7B2435F4}" xr6:coauthVersionLast="47" xr6:coauthVersionMax="47" xr10:uidLastSave="{C1652EE9-5714-A944-BC0F-2BE86C8C0CED}"/>
  <bookViews>
    <workbookView xWindow="9740" yWindow="500" windowWidth="19060" windowHeight="16460" activeTab="2" xr2:uid="{00DAFC3E-CB10-4E0D-B604-8CC21CCF016F}"/>
  </bookViews>
  <sheets>
    <sheet name="AAPL" sheetId="1" r:id="rId1"/>
    <sheet name="S&amp;P 500" sheetId="9" r:id="rId2"/>
    <sheet name="Q1&amp;2" sheetId="11" r:id="rId3"/>
    <sheet name="MACD" sheetId="14" r:id="rId4"/>
    <sheet name="RSI" sheetId="15" r:id="rId5"/>
    <sheet name="BB" sheetId="16" r:id="rId6"/>
    <sheet name="SO (KD)" sheetId="17" r:id="rId7"/>
    <sheet name="Q4&amp;5" sheetId="18" r:id="rId8"/>
    <sheet name="Q6" sheetId="22" r:id="rId9"/>
    <sheet name="Simulation results frozen" sheetId="23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8" l="1"/>
  <c r="I3" i="18"/>
  <c r="I2" i="18"/>
  <c r="G2" i="18"/>
  <c r="L34" i="11"/>
  <c r="D17" i="17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3" i="11"/>
  <c r="L35" i="11" s="1"/>
  <c r="L38" i="11" s="1"/>
  <c r="D21" i="16"/>
  <c r="C23" i="16"/>
  <c r="K35" i="11"/>
  <c r="K34" i="11"/>
  <c r="G12" i="15" l="1"/>
  <c r="H11" i="15"/>
  <c r="I11" i="15"/>
  <c r="G17" i="14"/>
  <c r="C14" i="14"/>
  <c r="F11" i="15" l="1"/>
  <c r="C3" i="15"/>
  <c r="C189" i="17" l="1"/>
  <c r="C188" i="17"/>
  <c r="C187" i="17"/>
  <c r="C186" i="17"/>
  <c r="C185" i="17"/>
  <c r="C184" i="17"/>
  <c r="C183" i="17"/>
  <c r="C182" i="17"/>
  <c r="C181" i="17"/>
  <c r="C180" i="17"/>
  <c r="C179" i="17"/>
  <c r="C178" i="17"/>
  <c r="C177" i="17"/>
  <c r="C176" i="17"/>
  <c r="C175" i="17"/>
  <c r="C174" i="17"/>
  <c r="C173" i="17"/>
  <c r="C172" i="17"/>
  <c r="C171" i="17"/>
  <c r="C170" i="17"/>
  <c r="C169" i="17"/>
  <c r="C168" i="17"/>
  <c r="C167" i="17"/>
  <c r="C166" i="17"/>
  <c r="C165" i="17"/>
  <c r="C164" i="17"/>
  <c r="C163" i="17"/>
  <c r="C162" i="17"/>
  <c r="C161" i="17"/>
  <c r="C160" i="17"/>
  <c r="C159" i="17"/>
  <c r="C158" i="17"/>
  <c r="C157" i="17"/>
  <c r="C156" i="17"/>
  <c r="C155" i="17"/>
  <c r="C154" i="17"/>
  <c r="C153" i="17"/>
  <c r="C152" i="17"/>
  <c r="C151" i="17"/>
  <c r="C150" i="17"/>
  <c r="C149" i="17"/>
  <c r="C148" i="17"/>
  <c r="C147" i="17"/>
  <c r="C146" i="17"/>
  <c r="C145" i="17"/>
  <c r="C144" i="17"/>
  <c r="C143" i="17"/>
  <c r="C142" i="17"/>
  <c r="C141" i="17"/>
  <c r="C140" i="17"/>
  <c r="C139" i="17"/>
  <c r="C138" i="17"/>
  <c r="C137" i="17"/>
  <c r="C136" i="17"/>
  <c r="C135" i="17"/>
  <c r="C134" i="17"/>
  <c r="C133" i="17"/>
  <c r="C132" i="17"/>
  <c r="C131" i="17"/>
  <c r="C130" i="17"/>
  <c r="C129" i="17"/>
  <c r="C128" i="17"/>
  <c r="C127" i="17"/>
  <c r="C126" i="17"/>
  <c r="C125" i="17"/>
  <c r="C124" i="17"/>
  <c r="C123" i="17"/>
  <c r="C122" i="17"/>
  <c r="C121" i="17"/>
  <c r="C120" i="17"/>
  <c r="C119" i="17"/>
  <c r="C118" i="17"/>
  <c r="C117" i="17"/>
  <c r="C116" i="17"/>
  <c r="C115" i="17"/>
  <c r="C114" i="17"/>
  <c r="C113" i="17"/>
  <c r="C112" i="17"/>
  <c r="C111" i="17"/>
  <c r="C110" i="17"/>
  <c r="C109" i="17"/>
  <c r="C108" i="17"/>
  <c r="C107" i="17"/>
  <c r="C106" i="17"/>
  <c r="C105" i="17"/>
  <c r="C104" i="17"/>
  <c r="C103" i="17"/>
  <c r="C102" i="17"/>
  <c r="C101" i="17"/>
  <c r="C100" i="17"/>
  <c r="C99" i="17"/>
  <c r="C98" i="17"/>
  <c r="C97" i="17"/>
  <c r="C96" i="17"/>
  <c r="C95" i="17"/>
  <c r="C94" i="17"/>
  <c r="C93" i="17"/>
  <c r="C92" i="17"/>
  <c r="C91" i="17"/>
  <c r="C90" i="17"/>
  <c r="C89" i="17"/>
  <c r="C88" i="17"/>
  <c r="C87" i="17"/>
  <c r="C86" i="17"/>
  <c r="C85" i="17"/>
  <c r="C84" i="17"/>
  <c r="C83" i="17"/>
  <c r="C82" i="17"/>
  <c r="C81" i="17"/>
  <c r="C80" i="17"/>
  <c r="C79" i="17"/>
  <c r="C78" i="17"/>
  <c r="C77" i="17"/>
  <c r="C76" i="17"/>
  <c r="C75" i="17"/>
  <c r="C74" i="17"/>
  <c r="C73" i="17"/>
  <c r="C72" i="17"/>
  <c r="C71" i="17"/>
  <c r="C70" i="17"/>
  <c r="C69" i="17"/>
  <c r="C68" i="17"/>
  <c r="C67" i="17"/>
  <c r="C66" i="17"/>
  <c r="C65" i="17"/>
  <c r="C64" i="17"/>
  <c r="C63" i="17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25" i="17"/>
  <c r="C24" i="17"/>
  <c r="C23" i="17"/>
  <c r="C22" i="17"/>
  <c r="C21" i="17"/>
  <c r="C20" i="17"/>
  <c r="C19" i="17"/>
  <c r="C18" i="17"/>
  <c r="C17" i="17"/>
  <c r="C16" i="17"/>
  <c r="C15" i="17"/>
  <c r="D189" i="16"/>
  <c r="C189" i="16"/>
  <c r="D188" i="16"/>
  <c r="C188" i="16"/>
  <c r="D187" i="16"/>
  <c r="C187" i="16"/>
  <c r="D186" i="16"/>
  <c r="C186" i="16"/>
  <c r="D185" i="16"/>
  <c r="C185" i="16"/>
  <c r="D184" i="16"/>
  <c r="C184" i="16"/>
  <c r="D183" i="16"/>
  <c r="C183" i="16"/>
  <c r="D182" i="16"/>
  <c r="C182" i="16"/>
  <c r="D181" i="16"/>
  <c r="C181" i="16"/>
  <c r="D180" i="16"/>
  <c r="C180" i="16"/>
  <c r="D179" i="16"/>
  <c r="C179" i="16"/>
  <c r="D178" i="16"/>
  <c r="C178" i="16"/>
  <c r="D177" i="16"/>
  <c r="C177" i="16"/>
  <c r="D176" i="16"/>
  <c r="C176" i="16"/>
  <c r="D175" i="16"/>
  <c r="C175" i="16"/>
  <c r="D174" i="16"/>
  <c r="C174" i="16"/>
  <c r="D173" i="16"/>
  <c r="C173" i="16"/>
  <c r="D172" i="16"/>
  <c r="C172" i="16"/>
  <c r="D171" i="16"/>
  <c r="C171" i="16"/>
  <c r="D170" i="16"/>
  <c r="C170" i="16"/>
  <c r="D169" i="16"/>
  <c r="C169" i="16"/>
  <c r="D168" i="16"/>
  <c r="C168" i="16"/>
  <c r="D167" i="16"/>
  <c r="C167" i="16"/>
  <c r="D166" i="16"/>
  <c r="C166" i="16"/>
  <c r="D165" i="16"/>
  <c r="C165" i="16"/>
  <c r="D164" i="16"/>
  <c r="C164" i="16"/>
  <c r="D163" i="16"/>
  <c r="C163" i="16"/>
  <c r="D162" i="16"/>
  <c r="C162" i="16"/>
  <c r="D161" i="16"/>
  <c r="C161" i="16"/>
  <c r="D160" i="16"/>
  <c r="C160" i="16"/>
  <c r="D159" i="16"/>
  <c r="C159" i="16"/>
  <c r="D158" i="16"/>
  <c r="C158" i="16"/>
  <c r="D157" i="16"/>
  <c r="C157" i="16"/>
  <c r="D156" i="16"/>
  <c r="C156" i="16"/>
  <c r="D155" i="16"/>
  <c r="C155" i="16"/>
  <c r="D154" i="16"/>
  <c r="C154" i="16"/>
  <c r="D153" i="16"/>
  <c r="C153" i="16"/>
  <c r="D152" i="16"/>
  <c r="C152" i="16"/>
  <c r="D151" i="16"/>
  <c r="C151" i="16"/>
  <c r="D150" i="16"/>
  <c r="C150" i="16"/>
  <c r="D149" i="16"/>
  <c r="C149" i="16"/>
  <c r="D148" i="16"/>
  <c r="C148" i="16"/>
  <c r="D147" i="16"/>
  <c r="C147" i="16"/>
  <c r="D146" i="16"/>
  <c r="C146" i="16"/>
  <c r="D145" i="16"/>
  <c r="C145" i="16"/>
  <c r="D144" i="16"/>
  <c r="C144" i="16"/>
  <c r="D143" i="16"/>
  <c r="C143" i="16"/>
  <c r="D142" i="16"/>
  <c r="C142" i="16"/>
  <c r="D141" i="16"/>
  <c r="C141" i="16"/>
  <c r="D140" i="16"/>
  <c r="C140" i="16"/>
  <c r="D139" i="16"/>
  <c r="C139" i="16"/>
  <c r="D138" i="16"/>
  <c r="C138" i="16"/>
  <c r="D137" i="16"/>
  <c r="C137" i="16"/>
  <c r="D136" i="16"/>
  <c r="C136" i="16"/>
  <c r="D135" i="16"/>
  <c r="C135" i="16"/>
  <c r="D134" i="16"/>
  <c r="C134" i="16"/>
  <c r="D133" i="16"/>
  <c r="C133" i="16"/>
  <c r="D132" i="16"/>
  <c r="C132" i="16"/>
  <c r="D131" i="16"/>
  <c r="C131" i="16"/>
  <c r="D130" i="16"/>
  <c r="C130" i="16"/>
  <c r="D129" i="16"/>
  <c r="C129" i="16"/>
  <c r="D128" i="16"/>
  <c r="C128" i="16"/>
  <c r="D127" i="16"/>
  <c r="C127" i="16"/>
  <c r="D126" i="16"/>
  <c r="C126" i="16"/>
  <c r="D125" i="16"/>
  <c r="C125" i="16"/>
  <c r="D124" i="16"/>
  <c r="C124" i="16"/>
  <c r="D123" i="16"/>
  <c r="C123" i="16"/>
  <c r="D122" i="16"/>
  <c r="C122" i="16"/>
  <c r="D121" i="16"/>
  <c r="C121" i="16"/>
  <c r="D120" i="16"/>
  <c r="C120" i="16"/>
  <c r="D119" i="16"/>
  <c r="C119" i="16"/>
  <c r="D118" i="16"/>
  <c r="C118" i="16"/>
  <c r="D117" i="16"/>
  <c r="C117" i="16"/>
  <c r="D116" i="16"/>
  <c r="C116" i="16"/>
  <c r="D115" i="16"/>
  <c r="C115" i="16"/>
  <c r="D114" i="16"/>
  <c r="C114" i="16"/>
  <c r="D113" i="16"/>
  <c r="C113" i="16"/>
  <c r="D112" i="16"/>
  <c r="C112" i="16"/>
  <c r="D111" i="16"/>
  <c r="C111" i="16"/>
  <c r="D110" i="16"/>
  <c r="C110" i="16"/>
  <c r="D109" i="16"/>
  <c r="C109" i="16"/>
  <c r="D108" i="16"/>
  <c r="C108" i="16"/>
  <c r="D107" i="16"/>
  <c r="C107" i="16"/>
  <c r="D106" i="16"/>
  <c r="C106" i="16"/>
  <c r="D105" i="16"/>
  <c r="C105" i="16"/>
  <c r="D104" i="16"/>
  <c r="C104" i="16"/>
  <c r="D103" i="16"/>
  <c r="C103" i="16"/>
  <c r="D102" i="16"/>
  <c r="C102" i="16"/>
  <c r="D101" i="16"/>
  <c r="C101" i="16"/>
  <c r="D100" i="16"/>
  <c r="C100" i="16"/>
  <c r="D99" i="16"/>
  <c r="C99" i="16"/>
  <c r="D98" i="16"/>
  <c r="C98" i="16"/>
  <c r="D97" i="16"/>
  <c r="C97" i="16"/>
  <c r="D96" i="16"/>
  <c r="C96" i="16"/>
  <c r="D95" i="16"/>
  <c r="C95" i="16"/>
  <c r="D94" i="16"/>
  <c r="C94" i="16"/>
  <c r="D93" i="16"/>
  <c r="C93" i="16"/>
  <c r="D92" i="16"/>
  <c r="C92" i="16"/>
  <c r="D91" i="16"/>
  <c r="C91" i="16"/>
  <c r="D90" i="16"/>
  <c r="C90" i="16"/>
  <c r="D89" i="16"/>
  <c r="C89" i="16"/>
  <c r="D88" i="16"/>
  <c r="C88" i="16"/>
  <c r="D87" i="16"/>
  <c r="C87" i="16"/>
  <c r="D86" i="16"/>
  <c r="C86" i="16"/>
  <c r="D85" i="16"/>
  <c r="C85" i="16"/>
  <c r="D84" i="16"/>
  <c r="C84" i="16"/>
  <c r="D83" i="16"/>
  <c r="C83" i="16"/>
  <c r="D82" i="16"/>
  <c r="C82" i="16"/>
  <c r="D81" i="16"/>
  <c r="C81" i="16"/>
  <c r="D80" i="16"/>
  <c r="C80" i="16"/>
  <c r="D79" i="16"/>
  <c r="C79" i="16"/>
  <c r="D78" i="16"/>
  <c r="C78" i="16"/>
  <c r="D77" i="16"/>
  <c r="C77" i="16"/>
  <c r="D76" i="16"/>
  <c r="C76" i="16"/>
  <c r="D75" i="16"/>
  <c r="C75" i="16"/>
  <c r="D74" i="16"/>
  <c r="C74" i="16"/>
  <c r="D73" i="16"/>
  <c r="C73" i="16"/>
  <c r="D72" i="16"/>
  <c r="C72" i="16"/>
  <c r="D71" i="16"/>
  <c r="C71" i="16"/>
  <c r="D70" i="16"/>
  <c r="C70" i="16"/>
  <c r="D69" i="16"/>
  <c r="C69" i="16"/>
  <c r="D68" i="16"/>
  <c r="C68" i="16"/>
  <c r="D67" i="16"/>
  <c r="C67" i="16"/>
  <c r="D66" i="16"/>
  <c r="C66" i="16"/>
  <c r="D65" i="16"/>
  <c r="C65" i="16"/>
  <c r="D64" i="16"/>
  <c r="C64" i="16"/>
  <c r="D63" i="16"/>
  <c r="C63" i="16"/>
  <c r="D62" i="16"/>
  <c r="C62" i="16"/>
  <c r="D61" i="16"/>
  <c r="C61" i="16"/>
  <c r="D60" i="16"/>
  <c r="C60" i="16"/>
  <c r="D59" i="16"/>
  <c r="C59" i="16"/>
  <c r="D58" i="16"/>
  <c r="C58" i="16"/>
  <c r="D57" i="16"/>
  <c r="C57" i="16"/>
  <c r="D56" i="16"/>
  <c r="C56" i="16"/>
  <c r="D55" i="16"/>
  <c r="C55" i="16"/>
  <c r="D54" i="16"/>
  <c r="C54" i="16"/>
  <c r="D53" i="16"/>
  <c r="C53" i="16"/>
  <c r="D52" i="16"/>
  <c r="C52" i="16"/>
  <c r="D51" i="16"/>
  <c r="C51" i="16"/>
  <c r="D50" i="16"/>
  <c r="C50" i="16"/>
  <c r="D49" i="16"/>
  <c r="C49" i="16"/>
  <c r="D48" i="16"/>
  <c r="C48" i="16"/>
  <c r="D47" i="16"/>
  <c r="C47" i="16"/>
  <c r="D46" i="16"/>
  <c r="C46" i="16"/>
  <c r="D45" i="16"/>
  <c r="C45" i="16"/>
  <c r="D44" i="16"/>
  <c r="C44" i="16"/>
  <c r="D43" i="16"/>
  <c r="C43" i="16"/>
  <c r="D42" i="16"/>
  <c r="C42" i="16"/>
  <c r="D41" i="16"/>
  <c r="C41" i="16"/>
  <c r="D40" i="16"/>
  <c r="C40" i="16"/>
  <c r="D39" i="16"/>
  <c r="C39" i="16"/>
  <c r="D38" i="16"/>
  <c r="C38" i="16"/>
  <c r="D37" i="16"/>
  <c r="C37" i="16"/>
  <c r="D36" i="16"/>
  <c r="C36" i="16"/>
  <c r="D35" i="16"/>
  <c r="C35" i="16"/>
  <c r="D34" i="16"/>
  <c r="C34" i="16"/>
  <c r="D33" i="16"/>
  <c r="C33" i="16"/>
  <c r="D32" i="16"/>
  <c r="C32" i="16"/>
  <c r="D31" i="16"/>
  <c r="C31" i="16"/>
  <c r="D30" i="16"/>
  <c r="C30" i="16"/>
  <c r="D29" i="16"/>
  <c r="C29" i="16"/>
  <c r="D28" i="16"/>
  <c r="C28" i="16"/>
  <c r="D27" i="16"/>
  <c r="C27" i="16"/>
  <c r="D26" i="16"/>
  <c r="C26" i="16"/>
  <c r="D25" i="16"/>
  <c r="C25" i="16"/>
  <c r="D24" i="16"/>
  <c r="C24" i="16"/>
  <c r="D23" i="16"/>
  <c r="D22" i="16"/>
  <c r="C22" i="16"/>
  <c r="C21" i="16"/>
  <c r="D18" i="17" l="1"/>
  <c r="D22" i="17"/>
  <c r="D26" i="17"/>
  <c r="D30" i="17"/>
  <c r="D34" i="17"/>
  <c r="D38" i="17"/>
  <c r="D42" i="17"/>
  <c r="D46" i="17"/>
  <c r="D50" i="17"/>
  <c r="D54" i="17"/>
  <c r="D58" i="17"/>
  <c r="D62" i="17"/>
  <c r="D66" i="17"/>
  <c r="D70" i="17"/>
  <c r="D74" i="17"/>
  <c r="D78" i="17"/>
  <c r="D82" i="17"/>
  <c r="D86" i="17"/>
  <c r="D90" i="17"/>
  <c r="D94" i="17"/>
  <c r="D98" i="17"/>
  <c r="D102" i="17"/>
  <c r="D110" i="17"/>
  <c r="D122" i="17"/>
  <c r="D126" i="17"/>
  <c r="D130" i="17"/>
  <c r="D134" i="17"/>
  <c r="D138" i="17"/>
  <c r="D142" i="17"/>
  <c r="D106" i="17"/>
  <c r="D114" i="17"/>
  <c r="D118" i="17"/>
  <c r="D146" i="17"/>
  <c r="D150" i="17"/>
  <c r="D154" i="17"/>
  <c r="D158" i="17"/>
  <c r="D162" i="17"/>
  <c r="D166" i="17"/>
  <c r="D170" i="17"/>
  <c r="D174" i="17"/>
  <c r="D178" i="17"/>
  <c r="D182" i="17"/>
  <c r="D186" i="17"/>
  <c r="D47" i="17"/>
  <c r="D59" i="17"/>
  <c r="D99" i="17"/>
  <c r="D103" i="17"/>
  <c r="D111" i="17"/>
  <c r="D115" i="17"/>
  <c r="D119" i="17"/>
  <c r="D123" i="17"/>
  <c r="D127" i="17"/>
  <c r="D131" i="17"/>
  <c r="D135" i="17"/>
  <c r="D139" i="17"/>
  <c r="D143" i="17"/>
  <c r="D147" i="17"/>
  <c r="D151" i="17"/>
  <c r="D155" i="17"/>
  <c r="D159" i="17"/>
  <c r="D163" i="17"/>
  <c r="D167" i="17"/>
  <c r="D171" i="17"/>
  <c r="D175" i="17"/>
  <c r="D179" i="17"/>
  <c r="D183" i="17"/>
  <c r="D187" i="17"/>
  <c r="D20" i="17"/>
  <c r="D23" i="17"/>
  <c r="D31" i="17"/>
  <c r="D39" i="17"/>
  <c r="D55" i="17"/>
  <c r="D107" i="17"/>
  <c r="D24" i="17"/>
  <c r="D28" i="17"/>
  <c r="D32" i="17"/>
  <c r="D36" i="17"/>
  <c r="D40" i="17"/>
  <c r="D44" i="17"/>
  <c r="D48" i="17"/>
  <c r="D52" i="17"/>
  <c r="D51" i="17"/>
  <c r="D60" i="17"/>
  <c r="D68" i="17"/>
  <c r="D96" i="17"/>
  <c r="D25" i="17"/>
  <c r="D33" i="17"/>
  <c r="D41" i="17"/>
  <c r="D49" i="17"/>
  <c r="D57" i="17"/>
  <c r="D61" i="17"/>
  <c r="D65" i="17"/>
  <c r="D69" i="17"/>
  <c r="D73" i="17"/>
  <c r="D77" i="17"/>
  <c r="D81" i="17"/>
  <c r="D85" i="17"/>
  <c r="D89" i="17"/>
  <c r="D93" i="17"/>
  <c r="D97" i="17"/>
  <c r="D101" i="17"/>
  <c r="D105" i="17"/>
  <c r="D109" i="17"/>
  <c r="D113" i="17"/>
  <c r="D117" i="17"/>
  <c r="D121" i="17"/>
  <c r="D125" i="17"/>
  <c r="D129" i="17"/>
  <c r="D133" i="17"/>
  <c r="D137" i="17"/>
  <c r="D141" i="17"/>
  <c r="D145" i="17"/>
  <c r="D149" i="17"/>
  <c r="D153" i="17"/>
  <c r="D157" i="17"/>
  <c r="D161" i="17"/>
  <c r="D165" i="17"/>
  <c r="D169" i="17"/>
  <c r="D173" i="17"/>
  <c r="D177" i="17"/>
  <c r="D181" i="17"/>
  <c r="D185" i="17"/>
  <c r="D189" i="17"/>
  <c r="D21" i="17"/>
  <c r="D29" i="17"/>
  <c r="D37" i="17"/>
  <c r="D45" i="17"/>
  <c r="D53" i="17"/>
  <c r="D56" i="17"/>
  <c r="D63" i="17"/>
  <c r="D67" i="17"/>
  <c r="D71" i="17"/>
  <c r="D75" i="17"/>
  <c r="D79" i="17"/>
  <c r="D83" i="17"/>
  <c r="D87" i="17"/>
  <c r="D91" i="17"/>
  <c r="D95" i="17"/>
  <c r="D19" i="17"/>
  <c r="D27" i="17"/>
  <c r="D35" i="17"/>
  <c r="D43" i="17"/>
  <c r="D64" i="17"/>
  <c r="D72" i="17"/>
  <c r="D76" i="17"/>
  <c r="D80" i="17"/>
  <c r="D84" i="17"/>
  <c r="D88" i="17"/>
  <c r="D92" i="17"/>
  <c r="D100" i="17"/>
  <c r="D104" i="17"/>
  <c r="D108" i="17"/>
  <c r="D112" i="17"/>
  <c r="D116" i="17"/>
  <c r="D120" i="17"/>
  <c r="D124" i="17"/>
  <c r="D128" i="17"/>
  <c r="D132" i="17"/>
  <c r="D136" i="17"/>
  <c r="D140" i="17"/>
  <c r="D144" i="17"/>
  <c r="D148" i="17"/>
  <c r="D152" i="17"/>
  <c r="D156" i="17"/>
  <c r="D160" i="17"/>
  <c r="D164" i="17"/>
  <c r="D168" i="17"/>
  <c r="D172" i="17"/>
  <c r="D176" i="17"/>
  <c r="D180" i="17"/>
  <c r="D184" i="17"/>
  <c r="D188" i="17"/>
  <c r="F93" i="16"/>
  <c r="F95" i="16"/>
  <c r="F97" i="16"/>
  <c r="F99" i="16"/>
  <c r="F101" i="16"/>
  <c r="F103" i="16"/>
  <c r="E135" i="16"/>
  <c r="E143" i="16"/>
  <c r="E151" i="16"/>
  <c r="E159" i="16"/>
  <c r="E152" i="16"/>
  <c r="F154" i="16"/>
  <c r="F156" i="16"/>
  <c r="F164" i="16"/>
  <c r="E188" i="16"/>
  <c r="E22" i="16"/>
  <c r="F30" i="16"/>
  <c r="F169" i="16"/>
  <c r="F173" i="16"/>
  <c r="F177" i="16"/>
  <c r="E185" i="16"/>
  <c r="F24" i="16"/>
  <c r="E136" i="16"/>
  <c r="F138" i="16"/>
  <c r="F140" i="16"/>
  <c r="F146" i="16"/>
  <c r="F148" i="16"/>
  <c r="E177" i="16"/>
  <c r="E23" i="16"/>
  <c r="F25" i="16"/>
  <c r="E27" i="16"/>
  <c r="F117" i="16"/>
  <c r="F119" i="16"/>
  <c r="F121" i="16"/>
  <c r="F123" i="16"/>
  <c r="F129" i="16"/>
  <c r="E164" i="16"/>
  <c r="E180" i="16"/>
  <c r="E184" i="16"/>
  <c r="F21" i="16"/>
  <c r="E26" i="16"/>
  <c r="F28" i="16"/>
  <c r="F106" i="16"/>
  <c r="F108" i="16"/>
  <c r="F110" i="16"/>
  <c r="F112" i="16"/>
  <c r="F114" i="16"/>
  <c r="F116" i="16"/>
  <c r="F118" i="16"/>
  <c r="F120" i="16"/>
  <c r="F122" i="16"/>
  <c r="F124" i="16"/>
  <c r="F130" i="16"/>
  <c r="F132" i="16"/>
  <c r="F153" i="16"/>
  <c r="F161" i="16"/>
  <c r="E172" i="16"/>
  <c r="E176" i="16"/>
  <c r="F189" i="16"/>
  <c r="F29" i="16"/>
  <c r="F107" i="16"/>
  <c r="F109" i="16"/>
  <c r="F111" i="16"/>
  <c r="F113" i="16"/>
  <c r="F115" i="16"/>
  <c r="E132" i="16"/>
  <c r="E127" i="16"/>
  <c r="F137" i="16"/>
  <c r="F145" i="16"/>
  <c r="E148" i="16"/>
  <c r="E168" i="16"/>
  <c r="E169" i="16"/>
  <c r="F181" i="16"/>
  <c r="F185" i="16"/>
  <c r="E80" i="16"/>
  <c r="F92" i="16"/>
  <c r="F94" i="16"/>
  <c r="F96" i="16"/>
  <c r="F98" i="16"/>
  <c r="F100" i="16"/>
  <c r="F102" i="16"/>
  <c r="F104" i="16"/>
  <c r="F126" i="16"/>
  <c r="F128" i="16"/>
  <c r="E131" i="16"/>
  <c r="F133" i="16"/>
  <c r="F142" i="16"/>
  <c r="F144" i="16"/>
  <c r="E147" i="16"/>
  <c r="F149" i="16"/>
  <c r="F158" i="16"/>
  <c r="F160" i="16"/>
  <c r="E161" i="16"/>
  <c r="E163" i="16"/>
  <c r="E165" i="16"/>
  <c r="F170" i="16"/>
  <c r="F178" i="16"/>
  <c r="F186" i="16"/>
  <c r="E21" i="16"/>
  <c r="F23" i="16"/>
  <c r="E25" i="16"/>
  <c r="F27" i="16"/>
  <c r="E29" i="16"/>
  <c r="E106" i="16"/>
  <c r="E107" i="16"/>
  <c r="E108" i="16"/>
  <c r="E109" i="16"/>
  <c r="E110" i="16"/>
  <c r="E111" i="16"/>
  <c r="E112" i="16"/>
  <c r="E113" i="16"/>
  <c r="E114" i="16"/>
  <c r="E115" i="16"/>
  <c r="E116" i="16"/>
  <c r="E117" i="16"/>
  <c r="E118" i="16"/>
  <c r="E119" i="16"/>
  <c r="E120" i="16"/>
  <c r="E121" i="16"/>
  <c r="E122" i="16"/>
  <c r="E123" i="16"/>
  <c r="E124" i="16"/>
  <c r="E140" i="16"/>
  <c r="E156" i="16"/>
  <c r="E173" i="16"/>
  <c r="E181" i="16"/>
  <c r="E189" i="16"/>
  <c r="F22" i="16"/>
  <c r="E24" i="16"/>
  <c r="F26" i="16"/>
  <c r="E28" i="16"/>
  <c r="E30" i="16"/>
  <c r="F105" i="16"/>
  <c r="F125" i="16"/>
  <c r="E128" i="16"/>
  <c r="F134" i="16"/>
  <c r="F136" i="16"/>
  <c r="E139" i="16"/>
  <c r="F141" i="16"/>
  <c r="E144" i="16"/>
  <c r="F150" i="16"/>
  <c r="F152" i="16"/>
  <c r="E155" i="16"/>
  <c r="F157" i="16"/>
  <c r="E160" i="16"/>
  <c r="E162" i="16"/>
  <c r="E166" i="16"/>
  <c r="F174" i="16"/>
  <c r="F182" i="16"/>
  <c r="F32" i="16"/>
  <c r="E32" i="16"/>
  <c r="F34" i="16"/>
  <c r="E34" i="16"/>
  <c r="F36" i="16"/>
  <c r="E36" i="16"/>
  <c r="F38" i="16"/>
  <c r="E38" i="16"/>
  <c r="F40" i="16"/>
  <c r="E40" i="16"/>
  <c r="F42" i="16"/>
  <c r="E42" i="16"/>
  <c r="F44" i="16"/>
  <c r="E44" i="16"/>
  <c r="F46" i="16"/>
  <c r="E46" i="16"/>
  <c r="F48" i="16"/>
  <c r="E48" i="16"/>
  <c r="F50" i="16"/>
  <c r="E50" i="16"/>
  <c r="F52" i="16"/>
  <c r="E52" i="16"/>
  <c r="F54" i="16"/>
  <c r="E54" i="16"/>
  <c r="F56" i="16"/>
  <c r="E56" i="16"/>
  <c r="F58" i="16"/>
  <c r="E58" i="16"/>
  <c r="F60" i="16"/>
  <c r="E60" i="16"/>
  <c r="F62" i="16"/>
  <c r="E62" i="16"/>
  <c r="F64" i="16"/>
  <c r="F66" i="16"/>
  <c r="F68" i="16"/>
  <c r="F70" i="16"/>
  <c r="F72" i="16"/>
  <c r="F74" i="16"/>
  <c r="F76" i="16"/>
  <c r="F78" i="16"/>
  <c r="F80" i="16"/>
  <c r="F82" i="16"/>
  <c r="E82" i="16"/>
  <c r="F84" i="16"/>
  <c r="E84" i="16"/>
  <c r="F86" i="16"/>
  <c r="E86" i="16"/>
  <c r="F88" i="16"/>
  <c r="E88" i="16"/>
  <c r="F90" i="16"/>
  <c r="E90" i="16"/>
  <c r="F31" i="16"/>
  <c r="E31" i="16"/>
  <c r="F33" i="16"/>
  <c r="E33" i="16"/>
  <c r="F35" i="16"/>
  <c r="E35" i="16"/>
  <c r="F37" i="16"/>
  <c r="E37" i="16"/>
  <c r="F39" i="16"/>
  <c r="E39" i="16"/>
  <c r="F41" i="16"/>
  <c r="E41" i="16"/>
  <c r="F43" i="16"/>
  <c r="E43" i="16"/>
  <c r="F45" i="16"/>
  <c r="E45" i="16"/>
  <c r="F47" i="16"/>
  <c r="E47" i="16"/>
  <c r="F49" i="16"/>
  <c r="E49" i="16"/>
  <c r="F51" i="16"/>
  <c r="E51" i="16"/>
  <c r="F53" i="16"/>
  <c r="E53" i="16"/>
  <c r="F55" i="16"/>
  <c r="E55" i="16"/>
  <c r="F57" i="16"/>
  <c r="E57" i="16"/>
  <c r="F59" i="16"/>
  <c r="E59" i="16"/>
  <c r="F61" i="16"/>
  <c r="E61" i="16"/>
  <c r="F63" i="16"/>
  <c r="F65" i="16"/>
  <c r="F67" i="16"/>
  <c r="F69" i="16"/>
  <c r="F71" i="16"/>
  <c r="F73" i="16"/>
  <c r="F75" i="16"/>
  <c r="F77" i="16"/>
  <c r="F79" i="16"/>
  <c r="F81" i="16"/>
  <c r="E81" i="16"/>
  <c r="F83" i="16"/>
  <c r="E83" i="16"/>
  <c r="F85" i="16"/>
  <c r="E85" i="16"/>
  <c r="F87" i="16"/>
  <c r="E87" i="16"/>
  <c r="F89" i="16"/>
  <c r="E89" i="16"/>
  <c r="F91" i="16"/>
  <c r="E91" i="16"/>
  <c r="E63" i="16"/>
  <c r="E64" i="16"/>
  <c r="E65" i="16"/>
  <c r="E66" i="16"/>
  <c r="E67" i="16"/>
  <c r="E68" i="16"/>
  <c r="E69" i="16"/>
  <c r="E70" i="16"/>
  <c r="E71" i="16"/>
  <c r="E72" i="16"/>
  <c r="E73" i="16"/>
  <c r="E74" i="16"/>
  <c r="E75" i="16"/>
  <c r="E76" i="16"/>
  <c r="E77" i="16"/>
  <c r="E78" i="16"/>
  <c r="E79" i="16"/>
  <c r="E92" i="16"/>
  <c r="E93" i="16"/>
  <c r="E94" i="16"/>
  <c r="E95" i="16"/>
  <c r="E96" i="16"/>
  <c r="E97" i="16"/>
  <c r="E98" i="16"/>
  <c r="E99" i="16"/>
  <c r="E100" i="16"/>
  <c r="E101" i="16"/>
  <c r="E102" i="16"/>
  <c r="E103" i="16"/>
  <c r="E104" i="16"/>
  <c r="E105" i="16"/>
  <c r="F162" i="16"/>
  <c r="E126" i="16"/>
  <c r="E130" i="16"/>
  <c r="E134" i="16"/>
  <c r="E138" i="16"/>
  <c r="E142" i="16"/>
  <c r="E146" i="16"/>
  <c r="E150" i="16"/>
  <c r="E154" i="16"/>
  <c r="E158" i="16"/>
  <c r="E125" i="16"/>
  <c r="F127" i="16"/>
  <c r="E129" i="16"/>
  <c r="F131" i="16"/>
  <c r="E133" i="16"/>
  <c r="F135" i="16"/>
  <c r="E137" i="16"/>
  <c r="F139" i="16"/>
  <c r="E141" i="16"/>
  <c r="F143" i="16"/>
  <c r="E145" i="16"/>
  <c r="F147" i="16"/>
  <c r="E149" i="16"/>
  <c r="F151" i="16"/>
  <c r="E153" i="16"/>
  <c r="F155" i="16"/>
  <c r="E157" i="16"/>
  <c r="F159" i="16"/>
  <c r="F163" i="16"/>
  <c r="F165" i="16"/>
  <c r="F166" i="16"/>
  <c r="F168" i="16"/>
  <c r="E170" i="16"/>
  <c r="F172" i="16"/>
  <c r="E174" i="16"/>
  <c r="F176" i="16"/>
  <c r="E178" i="16"/>
  <c r="F180" i="16"/>
  <c r="E182" i="16"/>
  <c r="F184" i="16"/>
  <c r="E186" i="16"/>
  <c r="F188" i="16"/>
  <c r="F167" i="16"/>
  <c r="F171" i="16"/>
  <c r="F175" i="16"/>
  <c r="F179" i="16"/>
  <c r="F183" i="16"/>
  <c r="F187" i="16"/>
  <c r="E167" i="16"/>
  <c r="E171" i="16"/>
  <c r="E175" i="16"/>
  <c r="E179" i="16"/>
  <c r="E183" i="16"/>
  <c r="E187" i="16"/>
  <c r="D3" i="15" l="1"/>
  <c r="C4" i="15"/>
  <c r="C5" i="15"/>
  <c r="E5" i="15" s="1"/>
  <c r="C6" i="15"/>
  <c r="D6" i="15" s="1"/>
  <c r="C7" i="15"/>
  <c r="D7" i="15" s="1"/>
  <c r="C8" i="15"/>
  <c r="C9" i="15"/>
  <c r="E9" i="15" s="1"/>
  <c r="C10" i="15"/>
  <c r="D10" i="15" s="1"/>
  <c r="E10" i="15"/>
  <c r="C11" i="15"/>
  <c r="D11" i="15" s="1"/>
  <c r="C12" i="15"/>
  <c r="C13" i="15"/>
  <c r="E13" i="15" s="1"/>
  <c r="C14" i="15"/>
  <c r="D14" i="15" s="1"/>
  <c r="C15" i="15"/>
  <c r="D15" i="15" s="1"/>
  <c r="C16" i="15"/>
  <c r="C17" i="15"/>
  <c r="E17" i="15" s="1"/>
  <c r="C18" i="15"/>
  <c r="D18" i="15" s="1"/>
  <c r="C19" i="15"/>
  <c r="D19" i="15" s="1"/>
  <c r="C20" i="15"/>
  <c r="C21" i="15"/>
  <c r="E21" i="15" s="1"/>
  <c r="C22" i="15"/>
  <c r="D22" i="15" s="1"/>
  <c r="E22" i="15"/>
  <c r="C23" i="15"/>
  <c r="D23" i="15" s="1"/>
  <c r="C24" i="15"/>
  <c r="C25" i="15"/>
  <c r="E25" i="15" s="1"/>
  <c r="D25" i="15"/>
  <c r="C26" i="15"/>
  <c r="D26" i="15" s="1"/>
  <c r="C27" i="15"/>
  <c r="D27" i="15" s="1"/>
  <c r="C28" i="15"/>
  <c r="C29" i="15"/>
  <c r="E29" i="15" s="1"/>
  <c r="C30" i="15"/>
  <c r="D30" i="15" s="1"/>
  <c r="E30" i="15"/>
  <c r="C31" i="15"/>
  <c r="D31" i="15" s="1"/>
  <c r="C32" i="15"/>
  <c r="C33" i="15"/>
  <c r="E33" i="15" s="1"/>
  <c r="C34" i="15"/>
  <c r="D34" i="15" s="1"/>
  <c r="C35" i="15"/>
  <c r="D35" i="15" s="1"/>
  <c r="C36" i="15"/>
  <c r="C37" i="15"/>
  <c r="E37" i="15" s="1"/>
  <c r="C38" i="15"/>
  <c r="D38" i="15" s="1"/>
  <c r="C39" i="15"/>
  <c r="D39" i="15" s="1"/>
  <c r="C40" i="15"/>
  <c r="C41" i="15"/>
  <c r="E41" i="15" s="1"/>
  <c r="C42" i="15"/>
  <c r="D42" i="15" s="1"/>
  <c r="C43" i="15"/>
  <c r="D43" i="15" s="1"/>
  <c r="C44" i="15"/>
  <c r="C45" i="15"/>
  <c r="E45" i="15" s="1"/>
  <c r="C46" i="15"/>
  <c r="D46" i="15" s="1"/>
  <c r="C47" i="15"/>
  <c r="D47" i="15" s="1"/>
  <c r="C48" i="15"/>
  <c r="C49" i="15"/>
  <c r="E49" i="15" s="1"/>
  <c r="C50" i="15"/>
  <c r="D50" i="15" s="1"/>
  <c r="C51" i="15"/>
  <c r="D51" i="15" s="1"/>
  <c r="C52" i="15"/>
  <c r="C53" i="15"/>
  <c r="E53" i="15" s="1"/>
  <c r="C54" i="15"/>
  <c r="D54" i="15" s="1"/>
  <c r="C55" i="15"/>
  <c r="D55" i="15" s="1"/>
  <c r="C56" i="15"/>
  <c r="C57" i="15"/>
  <c r="E57" i="15" s="1"/>
  <c r="C58" i="15"/>
  <c r="D58" i="15"/>
  <c r="E58" i="15"/>
  <c r="C59" i="15"/>
  <c r="D59" i="15" s="1"/>
  <c r="C60" i="15"/>
  <c r="E60" i="15" s="1"/>
  <c r="C61" i="15"/>
  <c r="C62" i="15"/>
  <c r="D62" i="15" s="1"/>
  <c r="C63" i="15"/>
  <c r="C64" i="15"/>
  <c r="E64" i="15" s="1"/>
  <c r="C65" i="15"/>
  <c r="D65" i="15" s="1"/>
  <c r="C66" i="15"/>
  <c r="D66" i="15" s="1"/>
  <c r="C67" i="15"/>
  <c r="E67" i="15" s="1"/>
  <c r="C68" i="15"/>
  <c r="D68" i="15" s="1"/>
  <c r="C69" i="15"/>
  <c r="C70" i="15"/>
  <c r="E70" i="15" s="1"/>
  <c r="C71" i="15"/>
  <c r="E71" i="15" s="1"/>
  <c r="C72" i="15"/>
  <c r="D72" i="15" s="1"/>
  <c r="C73" i="15"/>
  <c r="C74" i="15"/>
  <c r="E74" i="15" s="1"/>
  <c r="C75" i="15"/>
  <c r="E75" i="15" s="1"/>
  <c r="C76" i="15"/>
  <c r="D76" i="15" s="1"/>
  <c r="C77" i="15"/>
  <c r="C78" i="15"/>
  <c r="E78" i="15" s="1"/>
  <c r="C79" i="15"/>
  <c r="E79" i="15" s="1"/>
  <c r="C80" i="15"/>
  <c r="D80" i="15" s="1"/>
  <c r="C81" i="15"/>
  <c r="C82" i="15"/>
  <c r="E82" i="15" s="1"/>
  <c r="C83" i="15"/>
  <c r="E83" i="15" s="1"/>
  <c r="C84" i="15"/>
  <c r="D84" i="15" s="1"/>
  <c r="C85" i="15"/>
  <c r="C86" i="15"/>
  <c r="E86" i="15" s="1"/>
  <c r="D86" i="15"/>
  <c r="C87" i="15"/>
  <c r="D87" i="15" s="1"/>
  <c r="C88" i="15"/>
  <c r="D88" i="15" s="1"/>
  <c r="C89" i="15"/>
  <c r="C90" i="15"/>
  <c r="E90" i="15" s="1"/>
  <c r="C91" i="15"/>
  <c r="D91" i="15" s="1"/>
  <c r="C92" i="15"/>
  <c r="D92" i="15" s="1"/>
  <c r="C93" i="15"/>
  <c r="C94" i="15"/>
  <c r="E94" i="15" s="1"/>
  <c r="C95" i="15"/>
  <c r="D95" i="15" s="1"/>
  <c r="E95" i="15"/>
  <c r="C96" i="15"/>
  <c r="D96" i="15" s="1"/>
  <c r="C97" i="15"/>
  <c r="C98" i="15"/>
  <c r="E98" i="15" s="1"/>
  <c r="D98" i="15"/>
  <c r="C99" i="15"/>
  <c r="E99" i="15" s="1"/>
  <c r="C100" i="15"/>
  <c r="D100" i="15" s="1"/>
  <c r="C101" i="15"/>
  <c r="C102" i="15"/>
  <c r="D102" i="15" s="1"/>
  <c r="C103" i="15"/>
  <c r="E103" i="15" s="1"/>
  <c r="C104" i="15"/>
  <c r="E104" i="15" s="1"/>
  <c r="C105" i="15"/>
  <c r="D105" i="15" s="1"/>
  <c r="C106" i="15"/>
  <c r="D106" i="15" s="1"/>
  <c r="C107" i="15"/>
  <c r="D107" i="15" s="1"/>
  <c r="C108" i="15"/>
  <c r="E108" i="15" s="1"/>
  <c r="C109" i="15"/>
  <c r="D109" i="15" s="1"/>
  <c r="C110" i="15"/>
  <c r="E110" i="15" s="1"/>
  <c r="C111" i="15"/>
  <c r="D111" i="15" s="1"/>
  <c r="C112" i="15"/>
  <c r="E112" i="15" s="1"/>
  <c r="C113" i="15"/>
  <c r="D113" i="15" s="1"/>
  <c r="C114" i="15"/>
  <c r="D114" i="15" s="1"/>
  <c r="C115" i="15"/>
  <c r="D115" i="15" s="1"/>
  <c r="C116" i="15"/>
  <c r="E116" i="15" s="1"/>
  <c r="C117" i="15"/>
  <c r="C118" i="15"/>
  <c r="D118" i="15" s="1"/>
  <c r="C119" i="15"/>
  <c r="D119" i="15" s="1"/>
  <c r="E119" i="15"/>
  <c r="C120" i="15"/>
  <c r="E120" i="15" s="1"/>
  <c r="C121" i="15"/>
  <c r="C122" i="15"/>
  <c r="D122" i="15" s="1"/>
  <c r="C123" i="15"/>
  <c r="D123" i="15" s="1"/>
  <c r="C124" i="15"/>
  <c r="C125" i="15"/>
  <c r="E125" i="15" s="1"/>
  <c r="C126" i="15"/>
  <c r="E126" i="15" s="1"/>
  <c r="C127" i="15"/>
  <c r="D127" i="15" s="1"/>
  <c r="C128" i="15"/>
  <c r="E128" i="15" s="1"/>
  <c r="C129" i="15"/>
  <c r="E129" i="15" s="1"/>
  <c r="C130" i="15"/>
  <c r="D130" i="15" s="1"/>
  <c r="C131" i="15"/>
  <c r="D131" i="15" s="1"/>
  <c r="C132" i="15"/>
  <c r="D132" i="15" s="1"/>
  <c r="C133" i="15"/>
  <c r="E133" i="15" s="1"/>
  <c r="C134" i="15"/>
  <c r="D134" i="15" s="1"/>
  <c r="C135" i="15"/>
  <c r="E135" i="15" s="1"/>
  <c r="C136" i="15"/>
  <c r="D136" i="15" s="1"/>
  <c r="C137" i="15"/>
  <c r="E137" i="15" s="1"/>
  <c r="C138" i="15"/>
  <c r="D138" i="15"/>
  <c r="E138" i="15"/>
  <c r="C139" i="15"/>
  <c r="E139" i="15" s="1"/>
  <c r="C140" i="15"/>
  <c r="D140" i="15" s="1"/>
  <c r="C141" i="15"/>
  <c r="E141" i="15" s="1"/>
  <c r="C142" i="15"/>
  <c r="E142" i="15" s="1"/>
  <c r="C143" i="15"/>
  <c r="D143" i="15" s="1"/>
  <c r="E143" i="15"/>
  <c r="C144" i="15"/>
  <c r="D144" i="15" s="1"/>
  <c r="C145" i="15"/>
  <c r="E145" i="15" s="1"/>
  <c r="C146" i="15"/>
  <c r="E146" i="15" s="1"/>
  <c r="C147" i="15"/>
  <c r="E147" i="15" s="1"/>
  <c r="D147" i="15"/>
  <c r="C148" i="15"/>
  <c r="D148" i="15" s="1"/>
  <c r="C149" i="15"/>
  <c r="E149" i="15" s="1"/>
  <c r="C150" i="15"/>
  <c r="D150" i="15" s="1"/>
  <c r="E150" i="15"/>
  <c r="C151" i="15"/>
  <c r="E151" i="15" s="1"/>
  <c r="C152" i="15"/>
  <c r="D152" i="15" s="1"/>
  <c r="C153" i="15"/>
  <c r="E153" i="15" s="1"/>
  <c r="C154" i="15"/>
  <c r="D154" i="15" s="1"/>
  <c r="C155" i="15"/>
  <c r="D155" i="15"/>
  <c r="E155" i="15"/>
  <c r="C156" i="15"/>
  <c r="D156" i="15" s="1"/>
  <c r="C157" i="15"/>
  <c r="E157" i="15" s="1"/>
  <c r="D157" i="15"/>
  <c r="C158" i="15"/>
  <c r="E158" i="15" s="1"/>
  <c r="D158" i="15"/>
  <c r="C159" i="15"/>
  <c r="D159" i="15"/>
  <c r="E159" i="15"/>
  <c r="C160" i="15"/>
  <c r="D160" i="15" s="1"/>
  <c r="C161" i="15"/>
  <c r="E161" i="15" s="1"/>
  <c r="C162" i="15"/>
  <c r="E162" i="15" s="1"/>
  <c r="C163" i="15"/>
  <c r="E163" i="15" s="1"/>
  <c r="C164" i="15"/>
  <c r="D164" i="15" s="1"/>
  <c r="C165" i="15"/>
  <c r="E165" i="15" s="1"/>
  <c r="C166" i="15"/>
  <c r="E166" i="15" s="1"/>
  <c r="C167" i="15"/>
  <c r="D167" i="15" s="1"/>
  <c r="C168" i="15"/>
  <c r="D168" i="15" s="1"/>
  <c r="C169" i="15"/>
  <c r="E169" i="15" s="1"/>
  <c r="C170" i="15"/>
  <c r="E170" i="15" s="1"/>
  <c r="C171" i="15"/>
  <c r="D171" i="15" s="1"/>
  <c r="E171" i="15"/>
  <c r="C172" i="15"/>
  <c r="D172" i="15" s="1"/>
  <c r="C173" i="15"/>
  <c r="E173" i="15" s="1"/>
  <c r="C174" i="15"/>
  <c r="D174" i="15" s="1"/>
  <c r="C175" i="15"/>
  <c r="D175" i="15" s="1"/>
  <c r="C176" i="15"/>
  <c r="D176" i="15" s="1"/>
  <c r="C177" i="15"/>
  <c r="E177" i="15" s="1"/>
  <c r="C178" i="15"/>
  <c r="D178" i="15" s="1"/>
  <c r="C179" i="15"/>
  <c r="D179" i="15" s="1"/>
  <c r="E179" i="15"/>
  <c r="C180" i="15"/>
  <c r="D180" i="15" s="1"/>
  <c r="C181" i="15"/>
  <c r="E181" i="15" s="1"/>
  <c r="C182" i="15"/>
  <c r="D182" i="15" s="1"/>
  <c r="C183" i="15"/>
  <c r="D183" i="15" s="1"/>
  <c r="C184" i="15"/>
  <c r="D184" i="15" s="1"/>
  <c r="C185" i="15"/>
  <c r="E185" i="15" s="1"/>
  <c r="C186" i="15"/>
  <c r="D186" i="15"/>
  <c r="E186" i="15"/>
  <c r="C187" i="15"/>
  <c r="D187" i="15" s="1"/>
  <c r="C188" i="15"/>
  <c r="D188" i="15" s="1"/>
  <c r="C189" i="15"/>
  <c r="E189" i="15" s="1"/>
  <c r="E182" i="15" l="1"/>
  <c r="E87" i="15"/>
  <c r="D79" i="15"/>
  <c r="D70" i="15"/>
  <c r="D173" i="15"/>
  <c r="D161" i="15"/>
  <c r="E134" i="15"/>
  <c r="E118" i="15"/>
  <c r="D99" i="15"/>
  <c r="E72" i="15"/>
  <c r="D57" i="15"/>
  <c r="E38" i="15"/>
  <c r="D29" i="15"/>
  <c r="E26" i="15"/>
  <c r="D21" i="15"/>
  <c r="E178" i="15"/>
  <c r="E175" i="15"/>
  <c r="E167" i="15"/>
  <c r="D142" i="15"/>
  <c r="E127" i="15"/>
  <c r="E80" i="15"/>
  <c r="D78" i="15"/>
  <c r="E65" i="15"/>
  <c r="E34" i="15"/>
  <c r="D17" i="15"/>
  <c r="E14" i="15"/>
  <c r="D166" i="15"/>
  <c r="D163" i="15"/>
  <c r="D145" i="15"/>
  <c r="D141" i="15"/>
  <c r="D139" i="15"/>
  <c r="E122" i="15"/>
  <c r="D71" i="15"/>
  <c r="E174" i="15"/>
  <c r="D170" i="15"/>
  <c r="E154" i="15"/>
  <c r="E106" i="15"/>
  <c r="E91" i="15"/>
  <c r="E84" i="15"/>
  <c r="D82" i="15"/>
  <c r="D75" i="15"/>
  <c r="E68" i="15"/>
  <c r="D53" i="15"/>
  <c r="E50" i="15"/>
  <c r="D45" i="15"/>
  <c r="E42" i="15"/>
  <c r="D37" i="15"/>
  <c r="E18" i="15"/>
  <c r="E187" i="15"/>
  <c r="E183" i="15"/>
  <c r="D149" i="15"/>
  <c r="E130" i="15"/>
  <c r="E54" i="15"/>
  <c r="D185" i="15"/>
  <c r="D177" i="15"/>
  <c r="E115" i="15"/>
  <c r="D90" i="15"/>
  <c r="D83" i="15"/>
  <c r="E76" i="15"/>
  <c r="D74" i="15"/>
  <c r="D67" i="15"/>
  <c r="D49" i="15"/>
  <c r="E46" i="15"/>
  <c r="D41" i="15"/>
  <c r="D33" i="15"/>
  <c r="D169" i="15"/>
  <c r="D162" i="15"/>
  <c r="D153" i="15"/>
  <c r="D151" i="15"/>
  <c r="D146" i="15"/>
  <c r="D137" i="15"/>
  <c r="D135" i="15"/>
  <c r="E131" i="15"/>
  <c r="D126" i="15"/>
  <c r="E123" i="15"/>
  <c r="E114" i="15"/>
  <c r="D110" i="15"/>
  <c r="E107" i="15"/>
  <c r="D103" i="15"/>
  <c r="E100" i="15"/>
  <c r="E96" i="15"/>
  <c r="E92" i="15"/>
  <c r="E88" i="15"/>
  <c r="D181" i="15"/>
  <c r="D165" i="15"/>
  <c r="D133" i="15"/>
  <c r="D129" i="15"/>
  <c r="E111" i="15"/>
  <c r="D94" i="15"/>
  <c r="E66" i="15"/>
  <c r="E62" i="15"/>
  <c r="E11" i="15"/>
  <c r="E6" i="15"/>
  <c r="E59" i="15"/>
  <c r="E55" i="15"/>
  <c r="E51" i="15"/>
  <c r="E47" i="15"/>
  <c r="E43" i="15"/>
  <c r="E39" i="15"/>
  <c r="E35" i="15"/>
  <c r="E31" i="15"/>
  <c r="E27" i="15"/>
  <c r="E23" i="15"/>
  <c r="E19" i="15"/>
  <c r="E15" i="15"/>
  <c r="E7" i="15"/>
  <c r="E3" i="15"/>
  <c r="D189" i="15"/>
  <c r="D128" i="15"/>
  <c r="D9" i="15"/>
  <c r="D117" i="15"/>
  <c r="E117" i="15"/>
  <c r="E188" i="15"/>
  <c r="E184" i="15"/>
  <c r="E180" i="15"/>
  <c r="E176" i="15"/>
  <c r="E172" i="15"/>
  <c r="E168" i="15"/>
  <c r="E164" i="15"/>
  <c r="E160" i="15"/>
  <c r="E156" i="15"/>
  <c r="E152" i="15"/>
  <c r="E148" i="15"/>
  <c r="E144" i="15"/>
  <c r="E140" i="15"/>
  <c r="E136" i="15"/>
  <c r="E132" i="15"/>
  <c r="D121" i="15"/>
  <c r="E121" i="15"/>
  <c r="D125" i="15"/>
  <c r="E124" i="15"/>
  <c r="D124" i="15"/>
  <c r="D120" i="15"/>
  <c r="D116" i="15"/>
  <c r="E113" i="15"/>
  <c r="D112" i="15"/>
  <c r="E109" i="15"/>
  <c r="D108" i="15"/>
  <c r="E105" i="15"/>
  <c r="D104" i="15"/>
  <c r="E102" i="15"/>
  <c r="D56" i="15"/>
  <c r="E56" i="15"/>
  <c r="D48" i="15"/>
  <c r="E48" i="15"/>
  <c r="D40" i="15"/>
  <c r="E40" i="15"/>
  <c r="D32" i="15"/>
  <c r="E32" i="15"/>
  <c r="D24" i="15"/>
  <c r="E24" i="15"/>
  <c r="D16" i="15"/>
  <c r="E16" i="15"/>
  <c r="D13" i="15"/>
  <c r="D61" i="15"/>
  <c r="E61" i="15"/>
  <c r="D101" i="15"/>
  <c r="E101" i="15"/>
  <c r="D97" i="15"/>
  <c r="E97" i="15"/>
  <c r="D93" i="15"/>
  <c r="E93" i="15"/>
  <c r="D89" i="15"/>
  <c r="E89" i="15"/>
  <c r="D85" i="15"/>
  <c r="E85" i="15"/>
  <c r="D81" i="15"/>
  <c r="E81" i="15"/>
  <c r="D77" i="15"/>
  <c r="E77" i="15"/>
  <c r="D73" i="15"/>
  <c r="E73" i="15"/>
  <c r="D69" i="15"/>
  <c r="E69" i="15"/>
  <c r="D63" i="15"/>
  <c r="E63" i="15"/>
  <c r="D52" i="15"/>
  <c r="E52" i="15"/>
  <c r="D44" i="15"/>
  <c r="E44" i="15"/>
  <c r="D36" i="15"/>
  <c r="E36" i="15"/>
  <c r="D28" i="15"/>
  <c r="E28" i="15"/>
  <c r="D20" i="15"/>
  <c r="E20" i="15"/>
  <c r="D12" i="15"/>
  <c r="E12" i="15"/>
  <c r="D60" i="15"/>
  <c r="D4" i="15"/>
  <c r="E4" i="15"/>
  <c r="D64" i="15"/>
  <c r="D5" i="15"/>
  <c r="D8" i="15"/>
  <c r="E8" i="15"/>
  <c r="G11" i="15" l="1"/>
  <c r="F12" i="15" l="1"/>
  <c r="G13" i="15"/>
  <c r="H12" i="15" l="1"/>
  <c r="I12" i="15" s="1"/>
  <c r="F13" i="15"/>
  <c r="G14" i="15"/>
  <c r="F14" i="15" l="1"/>
  <c r="H13" i="15"/>
  <c r="I13" i="15" s="1"/>
  <c r="G15" i="15"/>
  <c r="G16" i="15" l="1"/>
  <c r="H14" i="15"/>
  <c r="I14" i="15" s="1"/>
  <c r="F15" i="15"/>
  <c r="H15" i="15" l="1"/>
  <c r="I15" i="15" s="1"/>
  <c r="F16" i="15"/>
  <c r="G17" i="15"/>
  <c r="G18" i="15" l="1"/>
  <c r="H16" i="15"/>
  <c r="I16" i="15" s="1"/>
  <c r="F17" i="15"/>
  <c r="F18" i="15" l="1"/>
  <c r="H17" i="15"/>
  <c r="I17" i="15" s="1"/>
  <c r="G19" i="15"/>
  <c r="G20" i="15" l="1"/>
  <c r="H18" i="15"/>
  <c r="I18" i="15" s="1"/>
  <c r="F19" i="15"/>
  <c r="H19" i="15" l="1"/>
  <c r="I19" i="15" s="1"/>
  <c r="F20" i="15"/>
  <c r="G21" i="15"/>
  <c r="G22" i="15" l="1"/>
  <c r="H20" i="15"/>
  <c r="I20" i="15" s="1"/>
  <c r="F21" i="15"/>
  <c r="F22" i="15" l="1"/>
  <c r="H21" i="15"/>
  <c r="I21" i="15" s="1"/>
  <c r="G23" i="15"/>
  <c r="G24" i="15" l="1"/>
  <c r="H22" i="15"/>
  <c r="I22" i="15" s="1"/>
  <c r="F23" i="15"/>
  <c r="H23" i="15" l="1"/>
  <c r="I23" i="15" s="1"/>
  <c r="F24" i="15"/>
  <c r="G25" i="15"/>
  <c r="H24" i="15" l="1"/>
  <c r="I24" i="15" s="1"/>
  <c r="F25" i="15"/>
  <c r="G26" i="15"/>
  <c r="G27" i="15" l="1"/>
  <c r="F26" i="15"/>
  <c r="H25" i="15"/>
  <c r="I25" i="15" s="1"/>
  <c r="H26" i="15" l="1"/>
  <c r="I26" i="15" s="1"/>
  <c r="F27" i="15"/>
  <c r="G28" i="15"/>
  <c r="H27" i="15" l="1"/>
  <c r="I27" i="15" s="1"/>
  <c r="F28" i="15"/>
  <c r="G29" i="15"/>
  <c r="G30" i="15" l="1"/>
  <c r="H28" i="15"/>
  <c r="I28" i="15" s="1"/>
  <c r="F29" i="15"/>
  <c r="F30" i="15" l="1"/>
  <c r="H29" i="15"/>
  <c r="I29" i="15" s="1"/>
  <c r="G31" i="15"/>
  <c r="G32" i="15" l="1"/>
  <c r="H30" i="15"/>
  <c r="I30" i="15" s="1"/>
  <c r="F31" i="15"/>
  <c r="H31" i="15" l="1"/>
  <c r="I31" i="15" s="1"/>
  <c r="F32" i="15"/>
  <c r="G33" i="15"/>
  <c r="H32" i="15" l="1"/>
  <c r="I32" i="15" s="1"/>
  <c r="F33" i="15"/>
  <c r="G34" i="15"/>
  <c r="G35" i="15" l="1"/>
  <c r="F34" i="15"/>
  <c r="H33" i="15"/>
  <c r="I33" i="15" s="1"/>
  <c r="H34" i="15" l="1"/>
  <c r="I34" i="15" s="1"/>
  <c r="F35" i="15"/>
  <c r="G36" i="15"/>
  <c r="G37" i="15" l="1"/>
  <c r="H35" i="15"/>
  <c r="I35" i="15" s="1"/>
  <c r="F36" i="15"/>
  <c r="H36" i="15" l="1"/>
  <c r="I36" i="15" s="1"/>
  <c r="F37" i="15"/>
  <c r="G38" i="15"/>
  <c r="G39" i="15" l="1"/>
  <c r="F38" i="15"/>
  <c r="H37" i="15"/>
  <c r="I37" i="15" s="1"/>
  <c r="H38" i="15" l="1"/>
  <c r="I38" i="15" s="1"/>
  <c r="F39" i="15"/>
  <c r="G40" i="15"/>
  <c r="G41" i="15" l="1"/>
  <c r="H39" i="15"/>
  <c r="I39" i="15" s="1"/>
  <c r="F40" i="15"/>
  <c r="H40" i="15" l="1"/>
  <c r="I40" i="15" s="1"/>
  <c r="F41" i="15"/>
  <c r="G42" i="15"/>
  <c r="G43" i="15" l="1"/>
  <c r="F42" i="15"/>
  <c r="H41" i="15"/>
  <c r="I41" i="15" s="1"/>
  <c r="H42" i="15" l="1"/>
  <c r="I42" i="15" s="1"/>
  <c r="F43" i="15"/>
  <c r="G44" i="15"/>
  <c r="G45" i="15" l="1"/>
  <c r="H43" i="15"/>
  <c r="I43" i="15" s="1"/>
  <c r="F44" i="15"/>
  <c r="H44" i="15" l="1"/>
  <c r="I44" i="15" s="1"/>
  <c r="F45" i="15"/>
  <c r="G46" i="15"/>
  <c r="G47" i="15" l="1"/>
  <c r="F46" i="15"/>
  <c r="H45" i="15"/>
  <c r="I45" i="15" s="1"/>
  <c r="H46" i="15" l="1"/>
  <c r="I46" i="15" s="1"/>
  <c r="F47" i="15"/>
  <c r="G48" i="15"/>
  <c r="H47" i="15" l="1"/>
  <c r="I47" i="15" s="1"/>
  <c r="F48" i="15"/>
  <c r="G49" i="15"/>
  <c r="G50" i="15" l="1"/>
  <c r="H48" i="15"/>
  <c r="I48" i="15" s="1"/>
  <c r="F49" i="15"/>
  <c r="F50" i="15" l="1"/>
  <c r="H49" i="15"/>
  <c r="I49" i="15" s="1"/>
  <c r="G51" i="15"/>
  <c r="G52" i="15" l="1"/>
  <c r="H50" i="15"/>
  <c r="I50" i="15" s="1"/>
  <c r="F51" i="15"/>
  <c r="H51" i="15" l="1"/>
  <c r="I51" i="15" s="1"/>
  <c r="F52" i="15"/>
  <c r="G53" i="15"/>
  <c r="G54" i="15" l="1"/>
  <c r="H52" i="15"/>
  <c r="I52" i="15" s="1"/>
  <c r="F53" i="15"/>
  <c r="F54" i="15" l="1"/>
  <c r="H53" i="15"/>
  <c r="I53" i="15" s="1"/>
  <c r="G55" i="15"/>
  <c r="G56" i="15" l="1"/>
  <c r="H54" i="15"/>
  <c r="I54" i="15" s="1"/>
  <c r="F55" i="15"/>
  <c r="H55" i="15" l="1"/>
  <c r="I55" i="15" s="1"/>
  <c r="F56" i="15"/>
  <c r="G57" i="15"/>
  <c r="G58" i="15" l="1"/>
  <c r="H56" i="15"/>
  <c r="I56" i="15" s="1"/>
  <c r="F57" i="15"/>
  <c r="H57" i="15" l="1"/>
  <c r="I57" i="15" s="1"/>
  <c r="F58" i="15"/>
  <c r="G59" i="15"/>
  <c r="G60" i="15" l="1"/>
  <c r="F59" i="15"/>
  <c r="H58" i="15"/>
  <c r="I58" i="15" s="1"/>
  <c r="H59" i="15" l="1"/>
  <c r="I59" i="15" s="1"/>
  <c r="F60" i="15"/>
  <c r="G61" i="15"/>
  <c r="G62" i="15" l="1"/>
  <c r="F61" i="15"/>
  <c r="H60" i="15"/>
  <c r="I60" i="15" s="1"/>
  <c r="F62" i="15" l="1"/>
  <c r="H61" i="15"/>
  <c r="I61" i="15" s="1"/>
  <c r="G63" i="15"/>
  <c r="G64" i="15" l="1"/>
  <c r="H62" i="15"/>
  <c r="I62" i="15" s="1"/>
  <c r="F63" i="15"/>
  <c r="H63" i="15" l="1"/>
  <c r="I63" i="15" s="1"/>
  <c r="F64" i="15"/>
  <c r="G65" i="15"/>
  <c r="F65" i="15" l="1"/>
  <c r="H64" i="15"/>
  <c r="I64" i="15" s="1"/>
  <c r="G66" i="15"/>
  <c r="G67" i="15" l="1"/>
  <c r="H65" i="15"/>
  <c r="I65" i="15" s="1"/>
  <c r="F66" i="15"/>
  <c r="G68" i="15" l="1"/>
  <c r="F67" i="15"/>
  <c r="H66" i="15"/>
  <c r="I66" i="15" s="1"/>
  <c r="H67" i="15" l="1"/>
  <c r="I67" i="15" s="1"/>
  <c r="F68" i="15"/>
  <c r="G69" i="15"/>
  <c r="G70" i="15" l="1"/>
  <c r="H68" i="15"/>
  <c r="I68" i="15" s="1"/>
  <c r="F69" i="15"/>
  <c r="H69" i="15" l="1"/>
  <c r="I69" i="15" s="1"/>
  <c r="F70" i="15"/>
  <c r="G71" i="15"/>
  <c r="G72" i="15" l="1"/>
  <c r="F71" i="15"/>
  <c r="H70" i="15"/>
  <c r="I70" i="15" s="1"/>
  <c r="H71" i="15" l="1"/>
  <c r="I71" i="15" s="1"/>
  <c r="F72" i="15"/>
  <c r="G73" i="15"/>
  <c r="G74" i="15" l="1"/>
  <c r="H72" i="15"/>
  <c r="I72" i="15" s="1"/>
  <c r="F73" i="15"/>
  <c r="H73" i="15" l="1"/>
  <c r="I73" i="15" s="1"/>
  <c r="F74" i="15"/>
  <c r="G75" i="15"/>
  <c r="G76" i="15" l="1"/>
  <c r="F75" i="15"/>
  <c r="H74" i="15"/>
  <c r="I74" i="15" s="1"/>
  <c r="H75" i="15" l="1"/>
  <c r="I75" i="15" s="1"/>
  <c r="F76" i="15"/>
  <c r="G77" i="15"/>
  <c r="G78" i="15" l="1"/>
  <c r="H76" i="15"/>
  <c r="I76" i="15" s="1"/>
  <c r="F77" i="15"/>
  <c r="H77" i="15" l="1"/>
  <c r="I77" i="15" s="1"/>
  <c r="F78" i="15"/>
  <c r="G79" i="15"/>
  <c r="G80" i="15" l="1"/>
  <c r="F79" i="15"/>
  <c r="H78" i="15"/>
  <c r="I78" i="15" s="1"/>
  <c r="H79" i="15" l="1"/>
  <c r="I79" i="15" s="1"/>
  <c r="F80" i="15"/>
  <c r="G81" i="15"/>
  <c r="H80" i="15" l="1"/>
  <c r="I80" i="15" s="1"/>
  <c r="F81" i="15"/>
  <c r="G82" i="15"/>
  <c r="G83" i="15" l="1"/>
  <c r="H81" i="15"/>
  <c r="I81" i="15" s="1"/>
  <c r="F82" i="15"/>
  <c r="F83" i="15" l="1"/>
  <c r="H82" i="15"/>
  <c r="I82" i="15" s="1"/>
  <c r="G84" i="15"/>
  <c r="G85" i="15" l="1"/>
  <c r="H83" i="15"/>
  <c r="I83" i="15" s="1"/>
  <c r="F84" i="15"/>
  <c r="H84" i="15" l="1"/>
  <c r="I84" i="15" s="1"/>
  <c r="F85" i="15"/>
  <c r="G86" i="15"/>
  <c r="G87" i="15" l="1"/>
  <c r="H85" i="15"/>
  <c r="I85" i="15" s="1"/>
  <c r="F86" i="15"/>
  <c r="F87" i="15" l="1"/>
  <c r="H86" i="15"/>
  <c r="I86" i="15" s="1"/>
  <c r="G88" i="15"/>
  <c r="H87" i="15" l="1"/>
  <c r="I87" i="15" s="1"/>
  <c r="F88" i="15"/>
  <c r="G89" i="15"/>
  <c r="G90" i="15" l="1"/>
  <c r="H88" i="15"/>
  <c r="I88" i="15" s="1"/>
  <c r="F89" i="15"/>
  <c r="H89" i="15" l="1"/>
  <c r="I89" i="15" s="1"/>
  <c r="F90" i="15"/>
  <c r="G91" i="15"/>
  <c r="F91" i="15" l="1"/>
  <c r="H90" i="15"/>
  <c r="I90" i="15" s="1"/>
  <c r="G92" i="15"/>
  <c r="G93" i="15" l="1"/>
  <c r="H91" i="15"/>
  <c r="I91" i="15" s="1"/>
  <c r="F92" i="15"/>
  <c r="G94" i="15" l="1"/>
  <c r="H92" i="15"/>
  <c r="I92" i="15" s="1"/>
  <c r="F93" i="15"/>
  <c r="H93" i="15" l="1"/>
  <c r="I93" i="15" s="1"/>
  <c r="F94" i="15"/>
  <c r="G95" i="15"/>
  <c r="G96" i="15" l="1"/>
  <c r="F95" i="15"/>
  <c r="H94" i="15"/>
  <c r="I94" i="15" s="1"/>
  <c r="H95" i="15" l="1"/>
  <c r="I95" i="15" s="1"/>
  <c r="F96" i="15"/>
  <c r="G97" i="15"/>
  <c r="G98" i="15" l="1"/>
  <c r="H96" i="15"/>
  <c r="I96" i="15" s="1"/>
  <c r="F97" i="15"/>
  <c r="H97" i="15" l="1"/>
  <c r="I97" i="15" s="1"/>
  <c r="F98" i="15"/>
  <c r="G99" i="15"/>
  <c r="F99" i="15" l="1"/>
  <c r="H98" i="15"/>
  <c r="I98" i="15" s="1"/>
  <c r="G100" i="15"/>
  <c r="G101" i="15" l="1"/>
  <c r="H99" i="15"/>
  <c r="I99" i="15" s="1"/>
  <c r="F100" i="15"/>
  <c r="H100" i="15" l="1"/>
  <c r="I100" i="15" s="1"/>
  <c r="F101" i="15"/>
  <c r="G102" i="15"/>
  <c r="G103" i="15" l="1"/>
  <c r="F102" i="15"/>
  <c r="H101" i="15"/>
  <c r="I101" i="15" s="1"/>
  <c r="H102" i="15" l="1"/>
  <c r="I102" i="15" s="1"/>
  <c r="F103" i="15"/>
  <c r="G104" i="15"/>
  <c r="G105" i="15" l="1"/>
  <c r="H103" i="15"/>
  <c r="I103" i="15" s="1"/>
  <c r="F104" i="15"/>
  <c r="F105" i="15" l="1"/>
  <c r="H104" i="15"/>
  <c r="I104" i="15" s="1"/>
  <c r="G106" i="15"/>
  <c r="G107" i="15" l="1"/>
  <c r="H105" i="15"/>
  <c r="I105" i="15" s="1"/>
  <c r="F106" i="15"/>
  <c r="H106" i="15" l="1"/>
  <c r="I106" i="15" s="1"/>
  <c r="F107" i="15"/>
  <c r="G108" i="15"/>
  <c r="F3" i="22"/>
  <c r="G3" i="22" s="1"/>
  <c r="H3" i="22" s="1"/>
  <c r="I3" i="22" s="1"/>
  <c r="J3" i="22" s="1"/>
  <c r="K3" i="22" s="1"/>
  <c r="L3" i="22" s="1"/>
  <c r="M3" i="22" s="1"/>
  <c r="N3" i="22" s="1"/>
  <c r="O3" i="22" s="1"/>
  <c r="P3" i="22" s="1"/>
  <c r="Q3" i="22" s="1"/>
  <c r="R3" i="22" s="1"/>
  <c r="S3" i="22" s="1"/>
  <c r="T3" i="22" s="1"/>
  <c r="U3" i="22" s="1"/>
  <c r="V3" i="22" s="1"/>
  <c r="W3" i="22" s="1"/>
  <c r="X3" i="22" s="1"/>
  <c r="Y3" i="22" s="1"/>
  <c r="Z3" i="22" s="1"/>
  <c r="AA3" i="22" s="1"/>
  <c r="AB3" i="22" s="1"/>
  <c r="AC3" i="22" s="1"/>
  <c r="AD3" i="22" s="1"/>
  <c r="AE3" i="22" s="1"/>
  <c r="AF3" i="22" s="1"/>
  <c r="AG3" i="22" s="1"/>
  <c r="AH3" i="22" s="1"/>
  <c r="AI3" i="22" s="1"/>
  <c r="AJ3" i="22" s="1"/>
  <c r="AK3" i="22" s="1"/>
  <c r="AL3" i="22" s="1"/>
  <c r="AM3" i="22" s="1"/>
  <c r="AN3" i="22" s="1"/>
  <c r="AO3" i="22" s="1"/>
  <c r="AP3" i="22" s="1"/>
  <c r="AQ3" i="22" s="1"/>
  <c r="AR3" i="22" s="1"/>
  <c r="AS3" i="22" s="1"/>
  <c r="AT3" i="22" s="1"/>
  <c r="AU3" i="22" s="1"/>
  <c r="AV3" i="22" s="1"/>
  <c r="AW3" i="22" s="1"/>
  <c r="AX3" i="22" s="1"/>
  <c r="AY3" i="22" s="1"/>
  <c r="AZ3" i="22" s="1"/>
  <c r="BA3" i="22" s="1"/>
  <c r="BB3" i="22" s="1"/>
  <c r="BC3" i="22" s="1"/>
  <c r="BD3" i="22" s="1"/>
  <c r="BE3" i="22" s="1"/>
  <c r="BF3" i="22" s="1"/>
  <c r="BG3" i="22" s="1"/>
  <c r="BH3" i="22" s="1"/>
  <c r="BI3" i="22" s="1"/>
  <c r="BJ3" i="22" s="1"/>
  <c r="BK3" i="22" s="1"/>
  <c r="BL3" i="22" s="1"/>
  <c r="BM3" i="22" s="1"/>
  <c r="BN3" i="22" s="1"/>
  <c r="BO3" i="22" s="1"/>
  <c r="BP3" i="22" s="1"/>
  <c r="BQ3" i="22" s="1"/>
  <c r="BR3" i="22" s="1"/>
  <c r="BS3" i="22" s="1"/>
  <c r="BT3" i="22" s="1"/>
  <c r="BU3" i="22" s="1"/>
  <c r="BV3" i="22" s="1"/>
  <c r="BW3" i="22" s="1"/>
  <c r="BX3" i="22" s="1"/>
  <c r="BY3" i="22" s="1"/>
  <c r="BZ3" i="22" s="1"/>
  <c r="CA3" i="22" s="1"/>
  <c r="CB3" i="22" s="1"/>
  <c r="CC3" i="22" s="1"/>
  <c r="CD3" i="22" s="1"/>
  <c r="CE3" i="22" s="1"/>
  <c r="CF3" i="22" s="1"/>
  <c r="CG3" i="22" s="1"/>
  <c r="CH3" i="22" s="1"/>
  <c r="CI3" i="22" s="1"/>
  <c r="CJ3" i="22" s="1"/>
  <c r="CK3" i="22" s="1"/>
  <c r="CL3" i="22" s="1"/>
  <c r="CM3" i="22" s="1"/>
  <c r="CN3" i="22" s="1"/>
  <c r="CO3" i="22" s="1"/>
  <c r="CP3" i="22" s="1"/>
  <c r="CQ3" i="22" s="1"/>
  <c r="CR3" i="22" s="1"/>
  <c r="CS3" i="22" s="1"/>
  <c r="CT3" i="22" s="1"/>
  <c r="CU3" i="22" s="1"/>
  <c r="CV3" i="22" s="1"/>
  <c r="CW3" i="22" s="1"/>
  <c r="F4" i="22"/>
  <c r="G4" i="22" s="1"/>
  <c r="H4" i="22" s="1"/>
  <c r="I4" i="22" s="1"/>
  <c r="J4" i="22" s="1"/>
  <c r="K4" i="22" s="1"/>
  <c r="L4" i="22" s="1"/>
  <c r="M4" i="22" s="1"/>
  <c r="N4" i="22" s="1"/>
  <c r="O4" i="22" s="1"/>
  <c r="P4" i="22" s="1"/>
  <c r="Q4" i="22" s="1"/>
  <c r="R4" i="22" s="1"/>
  <c r="S4" i="22" s="1"/>
  <c r="T4" i="22" s="1"/>
  <c r="U4" i="22" s="1"/>
  <c r="V4" i="22" s="1"/>
  <c r="W4" i="22" s="1"/>
  <c r="X4" i="22" s="1"/>
  <c r="Y4" i="22" s="1"/>
  <c r="Z4" i="22" s="1"/>
  <c r="AA4" i="22" s="1"/>
  <c r="AB4" i="22" s="1"/>
  <c r="AC4" i="22" s="1"/>
  <c r="AD4" i="22" s="1"/>
  <c r="AE4" i="22" s="1"/>
  <c r="AF4" i="22" s="1"/>
  <c r="AG4" i="22" s="1"/>
  <c r="AH4" i="22" s="1"/>
  <c r="AI4" i="22" s="1"/>
  <c r="AJ4" i="22" s="1"/>
  <c r="AK4" i="22" s="1"/>
  <c r="AL4" i="22" s="1"/>
  <c r="AM4" i="22" s="1"/>
  <c r="AN4" i="22" s="1"/>
  <c r="AO4" i="22" s="1"/>
  <c r="AP4" i="22" s="1"/>
  <c r="AQ4" i="22" s="1"/>
  <c r="AR4" i="22" s="1"/>
  <c r="AS4" i="22" s="1"/>
  <c r="AT4" i="22" s="1"/>
  <c r="AU4" i="22" s="1"/>
  <c r="AV4" i="22" s="1"/>
  <c r="AW4" i="22" s="1"/>
  <c r="AX4" i="22" s="1"/>
  <c r="AY4" i="22" s="1"/>
  <c r="AZ4" i="22" s="1"/>
  <c r="BA4" i="22" s="1"/>
  <c r="BB4" i="22" s="1"/>
  <c r="BC4" i="22" s="1"/>
  <c r="BD4" i="22" s="1"/>
  <c r="BE4" i="22" s="1"/>
  <c r="BF4" i="22" s="1"/>
  <c r="BG4" i="22" s="1"/>
  <c r="BH4" i="22" s="1"/>
  <c r="BI4" i="22" s="1"/>
  <c r="BJ4" i="22" s="1"/>
  <c r="BK4" i="22" s="1"/>
  <c r="BL4" i="22" s="1"/>
  <c r="BM4" i="22" s="1"/>
  <c r="BN4" i="22" s="1"/>
  <c r="BO4" i="22" s="1"/>
  <c r="BP4" i="22" s="1"/>
  <c r="BQ4" i="22" s="1"/>
  <c r="BR4" i="22" s="1"/>
  <c r="BS4" i="22" s="1"/>
  <c r="BT4" i="22" s="1"/>
  <c r="BU4" i="22" s="1"/>
  <c r="BV4" i="22" s="1"/>
  <c r="BW4" i="22" s="1"/>
  <c r="BX4" i="22" s="1"/>
  <c r="BY4" i="22" s="1"/>
  <c r="BZ4" i="22" s="1"/>
  <c r="CA4" i="22" s="1"/>
  <c r="CB4" i="22" s="1"/>
  <c r="CC4" i="22" s="1"/>
  <c r="CD4" i="22" s="1"/>
  <c r="CE4" i="22" s="1"/>
  <c r="CF4" i="22" s="1"/>
  <c r="CG4" i="22" s="1"/>
  <c r="CH4" i="22" s="1"/>
  <c r="CI4" i="22" s="1"/>
  <c r="CJ4" i="22" s="1"/>
  <c r="CK4" i="22" s="1"/>
  <c r="CL4" i="22" s="1"/>
  <c r="CM4" i="22" s="1"/>
  <c r="CN4" i="22" s="1"/>
  <c r="CO4" i="22" s="1"/>
  <c r="CP4" i="22" s="1"/>
  <c r="CQ4" i="22" s="1"/>
  <c r="CR4" i="22" s="1"/>
  <c r="CS4" i="22" s="1"/>
  <c r="CT4" i="22" s="1"/>
  <c r="CU4" i="22" s="1"/>
  <c r="CV4" i="22" s="1"/>
  <c r="CW4" i="22" s="1"/>
  <c r="F5" i="22"/>
  <c r="G5" i="22" s="1"/>
  <c r="H5" i="22" s="1"/>
  <c r="I5" i="22" s="1"/>
  <c r="J5" i="22" s="1"/>
  <c r="K5" i="22" s="1"/>
  <c r="L5" i="22" s="1"/>
  <c r="M5" i="22" s="1"/>
  <c r="N5" i="22" s="1"/>
  <c r="O5" i="22" s="1"/>
  <c r="P5" i="22" s="1"/>
  <c r="Q5" i="22" s="1"/>
  <c r="R5" i="22" s="1"/>
  <c r="S5" i="22" s="1"/>
  <c r="T5" i="22" s="1"/>
  <c r="U5" i="22" s="1"/>
  <c r="V5" i="22" s="1"/>
  <c r="W5" i="22" s="1"/>
  <c r="X5" i="22" s="1"/>
  <c r="Y5" i="22" s="1"/>
  <c r="Z5" i="22" s="1"/>
  <c r="AA5" i="22" s="1"/>
  <c r="AB5" i="22" s="1"/>
  <c r="AC5" i="22" s="1"/>
  <c r="AD5" i="22" s="1"/>
  <c r="AE5" i="22" s="1"/>
  <c r="AF5" i="22" s="1"/>
  <c r="AG5" i="22" s="1"/>
  <c r="AH5" i="22" s="1"/>
  <c r="AI5" i="22" s="1"/>
  <c r="AJ5" i="22" s="1"/>
  <c r="AK5" i="22" s="1"/>
  <c r="AL5" i="22" s="1"/>
  <c r="AM5" i="22" s="1"/>
  <c r="AN5" i="22" s="1"/>
  <c r="AO5" i="22" s="1"/>
  <c r="AP5" i="22" s="1"/>
  <c r="AQ5" i="22" s="1"/>
  <c r="AR5" i="22" s="1"/>
  <c r="AS5" i="22" s="1"/>
  <c r="AT5" i="22" s="1"/>
  <c r="AU5" i="22" s="1"/>
  <c r="AV5" i="22" s="1"/>
  <c r="AW5" i="22" s="1"/>
  <c r="AX5" i="22" s="1"/>
  <c r="AY5" i="22" s="1"/>
  <c r="AZ5" i="22" s="1"/>
  <c r="BA5" i="22" s="1"/>
  <c r="BB5" i="22" s="1"/>
  <c r="BC5" i="22" s="1"/>
  <c r="BD5" i="22" s="1"/>
  <c r="BE5" i="22" s="1"/>
  <c r="BF5" i="22" s="1"/>
  <c r="BG5" i="22" s="1"/>
  <c r="BH5" i="22" s="1"/>
  <c r="BI5" i="22" s="1"/>
  <c r="BJ5" i="22" s="1"/>
  <c r="BK5" i="22" s="1"/>
  <c r="BL5" i="22" s="1"/>
  <c r="BM5" i="22" s="1"/>
  <c r="BN5" i="22" s="1"/>
  <c r="BO5" i="22" s="1"/>
  <c r="BP5" i="22" s="1"/>
  <c r="BQ5" i="22" s="1"/>
  <c r="BR5" i="22" s="1"/>
  <c r="BS5" i="22" s="1"/>
  <c r="BT5" i="22" s="1"/>
  <c r="BU5" i="22" s="1"/>
  <c r="BV5" i="22" s="1"/>
  <c r="BW5" i="22" s="1"/>
  <c r="BX5" i="22" s="1"/>
  <c r="BY5" i="22" s="1"/>
  <c r="BZ5" i="22" s="1"/>
  <c r="CA5" i="22" s="1"/>
  <c r="CB5" i="22" s="1"/>
  <c r="CC5" i="22" s="1"/>
  <c r="CD5" i="22" s="1"/>
  <c r="CE5" i="22" s="1"/>
  <c r="CF5" i="22" s="1"/>
  <c r="CG5" i="22" s="1"/>
  <c r="CH5" i="22" s="1"/>
  <c r="CI5" i="22" s="1"/>
  <c r="CJ5" i="22" s="1"/>
  <c r="CK5" i="22" s="1"/>
  <c r="CL5" i="22" s="1"/>
  <c r="CM5" i="22" s="1"/>
  <c r="CN5" i="22" s="1"/>
  <c r="CO5" i="22" s="1"/>
  <c r="CP5" i="22" s="1"/>
  <c r="CQ5" i="22" s="1"/>
  <c r="CR5" i="22" s="1"/>
  <c r="CS5" i="22" s="1"/>
  <c r="CT5" i="22" s="1"/>
  <c r="CU5" i="22" s="1"/>
  <c r="CV5" i="22" s="1"/>
  <c r="CW5" i="22" s="1"/>
  <c r="F6" i="22"/>
  <c r="G6" i="22" s="1"/>
  <c r="H6" i="22" s="1"/>
  <c r="I6" i="22" s="1"/>
  <c r="J6" i="22" s="1"/>
  <c r="K6" i="22" s="1"/>
  <c r="L6" i="22" s="1"/>
  <c r="M6" i="22" s="1"/>
  <c r="N6" i="22" s="1"/>
  <c r="O6" i="22" s="1"/>
  <c r="P6" i="22" s="1"/>
  <c r="Q6" i="22" s="1"/>
  <c r="R6" i="22" s="1"/>
  <c r="S6" i="22" s="1"/>
  <c r="T6" i="22" s="1"/>
  <c r="U6" i="22" s="1"/>
  <c r="V6" i="22" s="1"/>
  <c r="W6" i="22" s="1"/>
  <c r="X6" i="22" s="1"/>
  <c r="Y6" i="22" s="1"/>
  <c r="Z6" i="22" s="1"/>
  <c r="AA6" i="22" s="1"/>
  <c r="AB6" i="22" s="1"/>
  <c r="AC6" i="22" s="1"/>
  <c r="AD6" i="22" s="1"/>
  <c r="AE6" i="22" s="1"/>
  <c r="AF6" i="22" s="1"/>
  <c r="AG6" i="22" s="1"/>
  <c r="AH6" i="22" s="1"/>
  <c r="AI6" i="22" s="1"/>
  <c r="AJ6" i="22" s="1"/>
  <c r="AK6" i="22" s="1"/>
  <c r="AL6" i="22" s="1"/>
  <c r="AM6" i="22" s="1"/>
  <c r="AN6" i="22" s="1"/>
  <c r="AO6" i="22" s="1"/>
  <c r="AP6" i="22" s="1"/>
  <c r="AQ6" i="22" s="1"/>
  <c r="AR6" i="22" s="1"/>
  <c r="AS6" i="22" s="1"/>
  <c r="AT6" i="22" s="1"/>
  <c r="AU6" i="22" s="1"/>
  <c r="AV6" i="22" s="1"/>
  <c r="AW6" i="22" s="1"/>
  <c r="AX6" i="22" s="1"/>
  <c r="AY6" i="22" s="1"/>
  <c r="AZ6" i="22" s="1"/>
  <c r="BA6" i="22" s="1"/>
  <c r="BB6" i="22" s="1"/>
  <c r="BC6" i="22" s="1"/>
  <c r="BD6" i="22" s="1"/>
  <c r="BE6" i="22" s="1"/>
  <c r="BF6" i="22" s="1"/>
  <c r="BG6" i="22" s="1"/>
  <c r="BH6" i="22" s="1"/>
  <c r="BI6" i="22" s="1"/>
  <c r="BJ6" i="22" s="1"/>
  <c r="BK6" i="22" s="1"/>
  <c r="BL6" i="22" s="1"/>
  <c r="BM6" i="22" s="1"/>
  <c r="BN6" i="22" s="1"/>
  <c r="BO6" i="22" s="1"/>
  <c r="BP6" i="22" s="1"/>
  <c r="BQ6" i="22" s="1"/>
  <c r="BR6" i="22" s="1"/>
  <c r="BS6" i="22" s="1"/>
  <c r="BT6" i="22" s="1"/>
  <c r="BU6" i="22" s="1"/>
  <c r="BV6" i="22" s="1"/>
  <c r="BW6" i="22" s="1"/>
  <c r="BX6" i="22" s="1"/>
  <c r="BY6" i="22" s="1"/>
  <c r="BZ6" i="22" s="1"/>
  <c r="CA6" i="22" s="1"/>
  <c r="CB6" i="22" s="1"/>
  <c r="CC6" i="22" s="1"/>
  <c r="CD6" i="22" s="1"/>
  <c r="CE6" i="22" s="1"/>
  <c r="CF6" i="22" s="1"/>
  <c r="CG6" i="22" s="1"/>
  <c r="CH6" i="22" s="1"/>
  <c r="CI6" i="22" s="1"/>
  <c r="CJ6" i="22" s="1"/>
  <c r="CK6" i="22" s="1"/>
  <c r="CL6" i="22" s="1"/>
  <c r="CM6" i="22" s="1"/>
  <c r="CN6" i="22" s="1"/>
  <c r="CO6" i="22" s="1"/>
  <c r="CP6" i="22" s="1"/>
  <c r="CQ6" i="22" s="1"/>
  <c r="CR6" i="22" s="1"/>
  <c r="CS6" i="22" s="1"/>
  <c r="CT6" i="22" s="1"/>
  <c r="CU6" i="22" s="1"/>
  <c r="CV6" i="22" s="1"/>
  <c r="CW6" i="22" s="1"/>
  <c r="F7" i="22"/>
  <c r="G7" i="22" s="1"/>
  <c r="H7" i="22" s="1"/>
  <c r="I7" i="22" s="1"/>
  <c r="J7" i="22" s="1"/>
  <c r="K7" i="22" s="1"/>
  <c r="L7" i="22" s="1"/>
  <c r="M7" i="22" s="1"/>
  <c r="N7" i="22" s="1"/>
  <c r="O7" i="22" s="1"/>
  <c r="P7" i="22" s="1"/>
  <c r="Q7" i="22" s="1"/>
  <c r="R7" i="22" s="1"/>
  <c r="S7" i="22" s="1"/>
  <c r="T7" i="22" s="1"/>
  <c r="U7" i="22" s="1"/>
  <c r="V7" i="22" s="1"/>
  <c r="W7" i="22" s="1"/>
  <c r="X7" i="22" s="1"/>
  <c r="Y7" i="22" s="1"/>
  <c r="Z7" i="22" s="1"/>
  <c r="AA7" i="22" s="1"/>
  <c r="AB7" i="22" s="1"/>
  <c r="AC7" i="22" s="1"/>
  <c r="AD7" i="22" s="1"/>
  <c r="AE7" i="22" s="1"/>
  <c r="AF7" i="22" s="1"/>
  <c r="AG7" i="22" s="1"/>
  <c r="AH7" i="22" s="1"/>
  <c r="AI7" i="22" s="1"/>
  <c r="AJ7" i="22" s="1"/>
  <c r="AK7" i="22" s="1"/>
  <c r="AL7" i="22" s="1"/>
  <c r="AM7" i="22" s="1"/>
  <c r="AN7" i="22" s="1"/>
  <c r="AO7" i="22" s="1"/>
  <c r="AP7" i="22" s="1"/>
  <c r="AQ7" i="22" s="1"/>
  <c r="AR7" i="22" s="1"/>
  <c r="AS7" i="22" s="1"/>
  <c r="AT7" i="22" s="1"/>
  <c r="AU7" i="22" s="1"/>
  <c r="AV7" i="22" s="1"/>
  <c r="AW7" i="22" s="1"/>
  <c r="AX7" i="22" s="1"/>
  <c r="AY7" i="22" s="1"/>
  <c r="AZ7" i="22" s="1"/>
  <c r="BA7" i="22" s="1"/>
  <c r="BB7" i="22" s="1"/>
  <c r="BC7" i="22" s="1"/>
  <c r="BD7" i="22" s="1"/>
  <c r="BE7" i="22" s="1"/>
  <c r="BF7" i="22" s="1"/>
  <c r="BG7" i="22" s="1"/>
  <c r="BH7" i="22" s="1"/>
  <c r="BI7" i="22" s="1"/>
  <c r="BJ7" i="22" s="1"/>
  <c r="BK7" i="22" s="1"/>
  <c r="BL7" i="22" s="1"/>
  <c r="BM7" i="22" s="1"/>
  <c r="BN7" i="22" s="1"/>
  <c r="BO7" i="22" s="1"/>
  <c r="BP7" i="22" s="1"/>
  <c r="BQ7" i="22" s="1"/>
  <c r="BR7" i="22" s="1"/>
  <c r="BS7" i="22" s="1"/>
  <c r="BT7" i="22" s="1"/>
  <c r="BU7" i="22" s="1"/>
  <c r="BV7" i="22" s="1"/>
  <c r="BW7" i="22" s="1"/>
  <c r="BX7" i="22" s="1"/>
  <c r="BY7" i="22" s="1"/>
  <c r="BZ7" i="22" s="1"/>
  <c r="CA7" i="22" s="1"/>
  <c r="CB7" i="22" s="1"/>
  <c r="CC7" i="22" s="1"/>
  <c r="CD7" i="22" s="1"/>
  <c r="CE7" i="22" s="1"/>
  <c r="CF7" i="22" s="1"/>
  <c r="CG7" i="22" s="1"/>
  <c r="CH7" i="22" s="1"/>
  <c r="CI7" i="22" s="1"/>
  <c r="CJ7" i="22" s="1"/>
  <c r="CK7" i="22" s="1"/>
  <c r="CL7" i="22" s="1"/>
  <c r="CM7" i="22" s="1"/>
  <c r="CN7" i="22" s="1"/>
  <c r="CO7" i="22" s="1"/>
  <c r="CP7" i="22" s="1"/>
  <c r="CQ7" i="22" s="1"/>
  <c r="CR7" i="22" s="1"/>
  <c r="CS7" i="22" s="1"/>
  <c r="CT7" i="22" s="1"/>
  <c r="CU7" i="22" s="1"/>
  <c r="CV7" i="22" s="1"/>
  <c r="CW7" i="22" s="1"/>
  <c r="F8" i="22"/>
  <c r="G8" i="22" s="1"/>
  <c r="H8" i="22" s="1"/>
  <c r="I8" i="22" s="1"/>
  <c r="J8" i="22" s="1"/>
  <c r="K8" i="22" s="1"/>
  <c r="L8" i="22" s="1"/>
  <c r="M8" i="22" s="1"/>
  <c r="N8" i="22" s="1"/>
  <c r="O8" i="22" s="1"/>
  <c r="P8" i="22" s="1"/>
  <c r="Q8" i="22" s="1"/>
  <c r="R8" i="22" s="1"/>
  <c r="S8" i="22" s="1"/>
  <c r="T8" i="22" s="1"/>
  <c r="U8" i="22" s="1"/>
  <c r="V8" i="22" s="1"/>
  <c r="W8" i="22" s="1"/>
  <c r="X8" i="22" s="1"/>
  <c r="Y8" i="22" s="1"/>
  <c r="Z8" i="22" s="1"/>
  <c r="AA8" i="22" s="1"/>
  <c r="AB8" i="22" s="1"/>
  <c r="AC8" i="22" s="1"/>
  <c r="AD8" i="22" s="1"/>
  <c r="AE8" i="22" s="1"/>
  <c r="AF8" i="22" s="1"/>
  <c r="AG8" i="22" s="1"/>
  <c r="AH8" i="22" s="1"/>
  <c r="AI8" i="22" s="1"/>
  <c r="AJ8" i="22" s="1"/>
  <c r="AK8" i="22" s="1"/>
  <c r="AL8" i="22" s="1"/>
  <c r="AM8" i="22" s="1"/>
  <c r="AN8" i="22" s="1"/>
  <c r="AO8" i="22" s="1"/>
  <c r="AP8" i="22" s="1"/>
  <c r="AQ8" i="22" s="1"/>
  <c r="AR8" i="22" s="1"/>
  <c r="AS8" i="22" s="1"/>
  <c r="AT8" i="22" s="1"/>
  <c r="AU8" i="22" s="1"/>
  <c r="AV8" i="22" s="1"/>
  <c r="AW8" i="22" s="1"/>
  <c r="AX8" i="22" s="1"/>
  <c r="AY8" i="22" s="1"/>
  <c r="AZ8" i="22" s="1"/>
  <c r="BA8" i="22" s="1"/>
  <c r="BB8" i="22" s="1"/>
  <c r="BC8" i="22" s="1"/>
  <c r="BD8" i="22" s="1"/>
  <c r="BE8" i="22" s="1"/>
  <c r="BF8" i="22" s="1"/>
  <c r="BG8" i="22" s="1"/>
  <c r="BH8" i="22" s="1"/>
  <c r="BI8" i="22" s="1"/>
  <c r="BJ8" i="22" s="1"/>
  <c r="BK8" i="22" s="1"/>
  <c r="BL8" i="22" s="1"/>
  <c r="BM8" i="22" s="1"/>
  <c r="BN8" i="22" s="1"/>
  <c r="BO8" i="22" s="1"/>
  <c r="BP8" i="22" s="1"/>
  <c r="BQ8" i="22" s="1"/>
  <c r="BR8" i="22" s="1"/>
  <c r="BS8" i="22" s="1"/>
  <c r="BT8" i="22" s="1"/>
  <c r="BU8" i="22" s="1"/>
  <c r="BV8" i="22" s="1"/>
  <c r="BW8" i="22" s="1"/>
  <c r="BX8" i="22" s="1"/>
  <c r="BY8" i="22" s="1"/>
  <c r="BZ8" i="22" s="1"/>
  <c r="CA8" i="22" s="1"/>
  <c r="CB8" i="22" s="1"/>
  <c r="CC8" i="22" s="1"/>
  <c r="CD8" i="22" s="1"/>
  <c r="CE8" i="22" s="1"/>
  <c r="CF8" i="22" s="1"/>
  <c r="CG8" i="22" s="1"/>
  <c r="CH8" i="22" s="1"/>
  <c r="CI8" i="22" s="1"/>
  <c r="CJ8" i="22" s="1"/>
  <c r="CK8" i="22" s="1"/>
  <c r="CL8" i="22" s="1"/>
  <c r="CM8" i="22" s="1"/>
  <c r="CN8" i="22" s="1"/>
  <c r="CO8" i="22" s="1"/>
  <c r="CP8" i="22" s="1"/>
  <c r="CQ8" i="22" s="1"/>
  <c r="CR8" i="22" s="1"/>
  <c r="CS8" i="22" s="1"/>
  <c r="CT8" i="22" s="1"/>
  <c r="CU8" i="22" s="1"/>
  <c r="CV8" i="22" s="1"/>
  <c r="CW8" i="22" s="1"/>
  <c r="F9" i="22"/>
  <c r="G9" i="22" s="1"/>
  <c r="H9" i="22" s="1"/>
  <c r="I9" i="22" s="1"/>
  <c r="J9" i="22" s="1"/>
  <c r="K9" i="22" s="1"/>
  <c r="L9" i="22" s="1"/>
  <c r="M9" i="22" s="1"/>
  <c r="N9" i="22" s="1"/>
  <c r="O9" i="22" s="1"/>
  <c r="P9" i="22" s="1"/>
  <c r="Q9" i="22" s="1"/>
  <c r="R9" i="22" s="1"/>
  <c r="S9" i="22" s="1"/>
  <c r="T9" i="22" s="1"/>
  <c r="U9" i="22" s="1"/>
  <c r="V9" i="22" s="1"/>
  <c r="W9" i="22" s="1"/>
  <c r="X9" i="22" s="1"/>
  <c r="Y9" i="22" s="1"/>
  <c r="Z9" i="22" s="1"/>
  <c r="AA9" i="22" s="1"/>
  <c r="AB9" i="22" s="1"/>
  <c r="AC9" i="22" s="1"/>
  <c r="AD9" i="22" s="1"/>
  <c r="AE9" i="22" s="1"/>
  <c r="AF9" i="22" s="1"/>
  <c r="AG9" i="22" s="1"/>
  <c r="AH9" i="22" s="1"/>
  <c r="AI9" i="22" s="1"/>
  <c r="AJ9" i="22" s="1"/>
  <c r="AK9" i="22" s="1"/>
  <c r="AL9" i="22" s="1"/>
  <c r="AM9" i="22" s="1"/>
  <c r="AN9" i="22" s="1"/>
  <c r="AO9" i="22" s="1"/>
  <c r="AP9" i="22" s="1"/>
  <c r="AQ9" i="22" s="1"/>
  <c r="AR9" i="22" s="1"/>
  <c r="AS9" i="22" s="1"/>
  <c r="AT9" i="22" s="1"/>
  <c r="AU9" i="22" s="1"/>
  <c r="AV9" i="22" s="1"/>
  <c r="AW9" i="22" s="1"/>
  <c r="AX9" i="22" s="1"/>
  <c r="AY9" i="22" s="1"/>
  <c r="AZ9" i="22" s="1"/>
  <c r="BA9" i="22" s="1"/>
  <c r="BB9" i="22" s="1"/>
  <c r="BC9" i="22" s="1"/>
  <c r="BD9" i="22" s="1"/>
  <c r="BE9" i="22" s="1"/>
  <c r="BF9" i="22" s="1"/>
  <c r="BG9" i="22" s="1"/>
  <c r="BH9" i="22" s="1"/>
  <c r="BI9" i="22" s="1"/>
  <c r="BJ9" i="22" s="1"/>
  <c r="BK9" i="22" s="1"/>
  <c r="BL9" i="22" s="1"/>
  <c r="BM9" i="22" s="1"/>
  <c r="BN9" i="22" s="1"/>
  <c r="BO9" i="22" s="1"/>
  <c r="BP9" i="22" s="1"/>
  <c r="BQ9" i="22" s="1"/>
  <c r="BR9" i="22" s="1"/>
  <c r="BS9" i="22" s="1"/>
  <c r="BT9" i="22" s="1"/>
  <c r="BU9" i="22" s="1"/>
  <c r="BV9" i="22" s="1"/>
  <c r="BW9" i="22" s="1"/>
  <c r="BX9" i="22" s="1"/>
  <c r="BY9" i="22" s="1"/>
  <c r="BZ9" i="22" s="1"/>
  <c r="CA9" i="22" s="1"/>
  <c r="CB9" i="22" s="1"/>
  <c r="CC9" i="22" s="1"/>
  <c r="CD9" i="22" s="1"/>
  <c r="CE9" i="22" s="1"/>
  <c r="CF9" i="22" s="1"/>
  <c r="CG9" i="22" s="1"/>
  <c r="CH9" i="22" s="1"/>
  <c r="CI9" i="22" s="1"/>
  <c r="CJ9" i="22" s="1"/>
  <c r="CK9" i="22" s="1"/>
  <c r="CL9" i="22" s="1"/>
  <c r="CM9" i="22" s="1"/>
  <c r="CN9" i="22" s="1"/>
  <c r="CO9" i="22" s="1"/>
  <c r="CP9" i="22" s="1"/>
  <c r="CQ9" i="22" s="1"/>
  <c r="CR9" i="22" s="1"/>
  <c r="CS9" i="22" s="1"/>
  <c r="CT9" i="22" s="1"/>
  <c r="CU9" i="22" s="1"/>
  <c r="CV9" i="22" s="1"/>
  <c r="CW9" i="22" s="1"/>
  <c r="F10" i="22"/>
  <c r="G10" i="22" s="1"/>
  <c r="H10" i="22" s="1"/>
  <c r="I10" i="22" s="1"/>
  <c r="J10" i="22" s="1"/>
  <c r="K10" i="22" s="1"/>
  <c r="L10" i="22" s="1"/>
  <c r="M10" i="22" s="1"/>
  <c r="N10" i="22" s="1"/>
  <c r="O10" i="22" s="1"/>
  <c r="P10" i="22" s="1"/>
  <c r="Q10" i="22" s="1"/>
  <c r="R10" i="22" s="1"/>
  <c r="S10" i="22" s="1"/>
  <c r="T10" i="22" s="1"/>
  <c r="U10" i="22" s="1"/>
  <c r="V10" i="22" s="1"/>
  <c r="W10" i="22" s="1"/>
  <c r="X10" i="22" s="1"/>
  <c r="Y10" i="22" s="1"/>
  <c r="Z10" i="22" s="1"/>
  <c r="AA10" i="22" s="1"/>
  <c r="AB10" i="22" s="1"/>
  <c r="AC10" i="22" s="1"/>
  <c r="AD10" i="22" s="1"/>
  <c r="AE10" i="22" s="1"/>
  <c r="AF10" i="22" s="1"/>
  <c r="AG10" i="22" s="1"/>
  <c r="AH10" i="22" s="1"/>
  <c r="AI10" i="22" s="1"/>
  <c r="AJ10" i="22" s="1"/>
  <c r="AK10" i="22" s="1"/>
  <c r="AL10" i="22" s="1"/>
  <c r="AM10" i="22" s="1"/>
  <c r="AN10" i="22" s="1"/>
  <c r="AO10" i="22" s="1"/>
  <c r="AP10" i="22" s="1"/>
  <c r="AQ10" i="22" s="1"/>
  <c r="AR10" i="22" s="1"/>
  <c r="AS10" i="22" s="1"/>
  <c r="AT10" i="22" s="1"/>
  <c r="AU10" i="22" s="1"/>
  <c r="AV10" i="22" s="1"/>
  <c r="AW10" i="22" s="1"/>
  <c r="AX10" i="22" s="1"/>
  <c r="AY10" i="22" s="1"/>
  <c r="AZ10" i="22" s="1"/>
  <c r="BA10" i="22" s="1"/>
  <c r="BB10" i="22" s="1"/>
  <c r="BC10" i="22" s="1"/>
  <c r="BD10" i="22" s="1"/>
  <c r="BE10" i="22" s="1"/>
  <c r="BF10" i="22" s="1"/>
  <c r="BG10" i="22" s="1"/>
  <c r="BH10" i="22" s="1"/>
  <c r="BI10" i="22" s="1"/>
  <c r="BJ10" i="22" s="1"/>
  <c r="BK10" i="22" s="1"/>
  <c r="BL10" i="22" s="1"/>
  <c r="BM10" i="22" s="1"/>
  <c r="BN10" i="22" s="1"/>
  <c r="BO10" i="22" s="1"/>
  <c r="BP10" i="22" s="1"/>
  <c r="BQ10" i="22" s="1"/>
  <c r="BR10" i="22" s="1"/>
  <c r="BS10" i="22" s="1"/>
  <c r="BT10" i="22" s="1"/>
  <c r="BU10" i="22" s="1"/>
  <c r="BV10" i="22" s="1"/>
  <c r="BW10" i="22" s="1"/>
  <c r="BX10" i="22" s="1"/>
  <c r="BY10" i="22" s="1"/>
  <c r="BZ10" i="22" s="1"/>
  <c r="CA10" i="22" s="1"/>
  <c r="CB10" i="22" s="1"/>
  <c r="CC10" i="22" s="1"/>
  <c r="CD10" i="22" s="1"/>
  <c r="CE10" i="22" s="1"/>
  <c r="CF10" i="22" s="1"/>
  <c r="CG10" i="22" s="1"/>
  <c r="CH10" i="22" s="1"/>
  <c r="CI10" i="22" s="1"/>
  <c r="CJ10" i="22" s="1"/>
  <c r="CK10" i="22" s="1"/>
  <c r="CL10" i="22" s="1"/>
  <c r="CM10" i="22" s="1"/>
  <c r="CN10" i="22" s="1"/>
  <c r="CO10" i="22" s="1"/>
  <c r="CP10" i="22" s="1"/>
  <c r="CQ10" i="22" s="1"/>
  <c r="CR10" i="22" s="1"/>
  <c r="CS10" i="22" s="1"/>
  <c r="CT10" i="22" s="1"/>
  <c r="CU10" i="22" s="1"/>
  <c r="CV10" i="22" s="1"/>
  <c r="CW10" i="22" s="1"/>
  <c r="F11" i="22"/>
  <c r="G11" i="22" s="1"/>
  <c r="H11" i="22" s="1"/>
  <c r="I11" i="22" s="1"/>
  <c r="J11" i="22" s="1"/>
  <c r="K11" i="22" s="1"/>
  <c r="L11" i="22" s="1"/>
  <c r="M11" i="22" s="1"/>
  <c r="N11" i="22" s="1"/>
  <c r="O11" i="22" s="1"/>
  <c r="P11" i="22" s="1"/>
  <c r="Q11" i="22" s="1"/>
  <c r="R11" i="22" s="1"/>
  <c r="S11" i="22" s="1"/>
  <c r="T11" i="22" s="1"/>
  <c r="U11" i="22" s="1"/>
  <c r="V11" i="22" s="1"/>
  <c r="W11" i="22" s="1"/>
  <c r="X11" i="22" s="1"/>
  <c r="Y11" i="22" s="1"/>
  <c r="Z11" i="22" s="1"/>
  <c r="AA11" i="22" s="1"/>
  <c r="AB11" i="22" s="1"/>
  <c r="AC11" i="22" s="1"/>
  <c r="AD11" i="22" s="1"/>
  <c r="AE11" i="22" s="1"/>
  <c r="AF11" i="22" s="1"/>
  <c r="AG11" i="22" s="1"/>
  <c r="AH11" i="22" s="1"/>
  <c r="AI11" i="22" s="1"/>
  <c r="AJ11" i="22" s="1"/>
  <c r="AK11" i="22" s="1"/>
  <c r="AL11" i="22" s="1"/>
  <c r="AM11" i="22" s="1"/>
  <c r="AN11" i="22" s="1"/>
  <c r="AO11" i="22" s="1"/>
  <c r="AP11" i="22" s="1"/>
  <c r="AQ11" i="22" s="1"/>
  <c r="AR11" i="22" s="1"/>
  <c r="AS11" i="22" s="1"/>
  <c r="AT11" i="22" s="1"/>
  <c r="AU11" i="22" s="1"/>
  <c r="AV11" i="22" s="1"/>
  <c r="AW11" i="22" s="1"/>
  <c r="AX11" i="22" s="1"/>
  <c r="AY11" i="22" s="1"/>
  <c r="AZ11" i="22" s="1"/>
  <c r="BA11" i="22" s="1"/>
  <c r="BB11" i="22" s="1"/>
  <c r="BC11" i="22" s="1"/>
  <c r="BD11" i="22" s="1"/>
  <c r="BE11" i="22" s="1"/>
  <c r="BF11" i="22" s="1"/>
  <c r="BG11" i="22" s="1"/>
  <c r="BH11" i="22" s="1"/>
  <c r="BI11" i="22" s="1"/>
  <c r="BJ11" i="22" s="1"/>
  <c r="BK11" i="22" s="1"/>
  <c r="BL11" i="22" s="1"/>
  <c r="BM11" i="22" s="1"/>
  <c r="BN11" i="22" s="1"/>
  <c r="BO11" i="22" s="1"/>
  <c r="BP11" i="22" s="1"/>
  <c r="BQ11" i="22" s="1"/>
  <c r="BR11" i="22" s="1"/>
  <c r="BS11" i="22" s="1"/>
  <c r="BT11" i="22" s="1"/>
  <c r="BU11" i="22" s="1"/>
  <c r="BV11" i="22" s="1"/>
  <c r="BW11" i="22" s="1"/>
  <c r="BX11" i="22" s="1"/>
  <c r="BY11" i="22" s="1"/>
  <c r="BZ11" i="22" s="1"/>
  <c r="CA11" i="22" s="1"/>
  <c r="CB11" i="22" s="1"/>
  <c r="CC11" i="22" s="1"/>
  <c r="CD11" i="22" s="1"/>
  <c r="CE11" i="22" s="1"/>
  <c r="CF11" i="22" s="1"/>
  <c r="CG11" i="22" s="1"/>
  <c r="CH11" i="22" s="1"/>
  <c r="CI11" i="22" s="1"/>
  <c r="CJ11" i="22" s="1"/>
  <c r="CK11" i="22" s="1"/>
  <c r="CL11" i="22" s="1"/>
  <c r="CM11" i="22" s="1"/>
  <c r="CN11" i="22" s="1"/>
  <c r="CO11" i="22" s="1"/>
  <c r="CP11" i="22" s="1"/>
  <c r="CQ11" i="22" s="1"/>
  <c r="CR11" i="22" s="1"/>
  <c r="CS11" i="22" s="1"/>
  <c r="CT11" i="22" s="1"/>
  <c r="CU11" i="22" s="1"/>
  <c r="CV11" i="22" s="1"/>
  <c r="CW11" i="22" s="1"/>
  <c r="F12" i="22"/>
  <c r="G12" i="22" s="1"/>
  <c r="H12" i="22" s="1"/>
  <c r="I12" i="22" s="1"/>
  <c r="J12" i="22" s="1"/>
  <c r="K12" i="22" s="1"/>
  <c r="L12" i="22" s="1"/>
  <c r="M12" i="22" s="1"/>
  <c r="N12" i="22" s="1"/>
  <c r="O12" i="22" s="1"/>
  <c r="P12" i="22" s="1"/>
  <c r="Q12" i="22" s="1"/>
  <c r="R12" i="22" s="1"/>
  <c r="S12" i="22" s="1"/>
  <c r="T12" i="22" s="1"/>
  <c r="U12" i="22" s="1"/>
  <c r="V12" i="22" s="1"/>
  <c r="W12" i="22" s="1"/>
  <c r="X12" i="22" s="1"/>
  <c r="Y12" i="22" s="1"/>
  <c r="Z12" i="22" s="1"/>
  <c r="AA12" i="22" s="1"/>
  <c r="AB12" i="22" s="1"/>
  <c r="AC12" i="22" s="1"/>
  <c r="AD12" i="22" s="1"/>
  <c r="AE12" i="22" s="1"/>
  <c r="AF12" i="22" s="1"/>
  <c r="AG12" i="22" s="1"/>
  <c r="AH12" i="22" s="1"/>
  <c r="AI12" i="22" s="1"/>
  <c r="AJ12" i="22" s="1"/>
  <c r="AK12" i="22" s="1"/>
  <c r="AL12" i="22" s="1"/>
  <c r="AM12" i="22" s="1"/>
  <c r="AN12" i="22" s="1"/>
  <c r="AO12" i="22" s="1"/>
  <c r="AP12" i="22" s="1"/>
  <c r="AQ12" i="22" s="1"/>
  <c r="AR12" i="22" s="1"/>
  <c r="AS12" i="22" s="1"/>
  <c r="AT12" i="22" s="1"/>
  <c r="AU12" i="22" s="1"/>
  <c r="AV12" i="22" s="1"/>
  <c r="AW12" i="22" s="1"/>
  <c r="AX12" i="22" s="1"/>
  <c r="AY12" i="22" s="1"/>
  <c r="AZ12" i="22" s="1"/>
  <c r="BA12" i="22" s="1"/>
  <c r="BB12" i="22" s="1"/>
  <c r="BC12" i="22" s="1"/>
  <c r="BD12" i="22" s="1"/>
  <c r="BE12" i="22" s="1"/>
  <c r="BF12" i="22" s="1"/>
  <c r="BG12" i="22" s="1"/>
  <c r="BH12" i="22" s="1"/>
  <c r="BI12" i="22" s="1"/>
  <c r="BJ12" i="22" s="1"/>
  <c r="BK12" i="22" s="1"/>
  <c r="BL12" i="22" s="1"/>
  <c r="BM12" i="22" s="1"/>
  <c r="BN12" i="22" s="1"/>
  <c r="BO12" i="22" s="1"/>
  <c r="BP12" i="22" s="1"/>
  <c r="BQ12" i="22" s="1"/>
  <c r="BR12" i="22" s="1"/>
  <c r="BS12" i="22" s="1"/>
  <c r="BT12" i="22" s="1"/>
  <c r="BU12" i="22" s="1"/>
  <c r="BV12" i="22" s="1"/>
  <c r="BW12" i="22" s="1"/>
  <c r="BX12" i="22" s="1"/>
  <c r="BY12" i="22" s="1"/>
  <c r="BZ12" i="22" s="1"/>
  <c r="CA12" i="22" s="1"/>
  <c r="CB12" i="22" s="1"/>
  <c r="CC12" i="22" s="1"/>
  <c r="CD12" i="22" s="1"/>
  <c r="CE12" i="22" s="1"/>
  <c r="CF12" i="22" s="1"/>
  <c r="CG12" i="22" s="1"/>
  <c r="CH12" i="22" s="1"/>
  <c r="CI12" i="22" s="1"/>
  <c r="CJ12" i="22" s="1"/>
  <c r="CK12" i="22" s="1"/>
  <c r="CL12" i="22" s="1"/>
  <c r="CM12" i="22" s="1"/>
  <c r="CN12" i="22" s="1"/>
  <c r="CO12" i="22" s="1"/>
  <c r="CP12" i="22" s="1"/>
  <c r="CQ12" i="22" s="1"/>
  <c r="CR12" i="22" s="1"/>
  <c r="CS12" i="22" s="1"/>
  <c r="CT12" i="22" s="1"/>
  <c r="CU12" i="22" s="1"/>
  <c r="CV12" i="22" s="1"/>
  <c r="CW12" i="22" s="1"/>
  <c r="F13" i="22"/>
  <c r="G13" i="22" s="1"/>
  <c r="H13" i="22" s="1"/>
  <c r="I13" i="22" s="1"/>
  <c r="J13" i="22" s="1"/>
  <c r="K13" i="22" s="1"/>
  <c r="L13" i="22" s="1"/>
  <c r="M13" i="22" s="1"/>
  <c r="N13" i="22" s="1"/>
  <c r="O13" i="22" s="1"/>
  <c r="P13" i="22" s="1"/>
  <c r="Q13" i="22" s="1"/>
  <c r="R13" i="22" s="1"/>
  <c r="S13" i="22" s="1"/>
  <c r="T13" i="22" s="1"/>
  <c r="U13" i="22" s="1"/>
  <c r="V13" i="22" s="1"/>
  <c r="W13" i="22" s="1"/>
  <c r="X13" i="22" s="1"/>
  <c r="Y13" i="22" s="1"/>
  <c r="Z13" i="22" s="1"/>
  <c r="AA13" i="22" s="1"/>
  <c r="AB13" i="22" s="1"/>
  <c r="AC13" i="22" s="1"/>
  <c r="AD13" i="22" s="1"/>
  <c r="AE13" i="22" s="1"/>
  <c r="AF13" i="22" s="1"/>
  <c r="AG13" i="22" s="1"/>
  <c r="AH13" i="22" s="1"/>
  <c r="AI13" i="22" s="1"/>
  <c r="AJ13" i="22" s="1"/>
  <c r="AK13" i="22" s="1"/>
  <c r="AL13" i="22" s="1"/>
  <c r="AM13" i="22" s="1"/>
  <c r="AN13" i="22" s="1"/>
  <c r="AO13" i="22" s="1"/>
  <c r="AP13" i="22" s="1"/>
  <c r="AQ13" i="22" s="1"/>
  <c r="AR13" i="22" s="1"/>
  <c r="AS13" i="22" s="1"/>
  <c r="AT13" i="22" s="1"/>
  <c r="AU13" i="22" s="1"/>
  <c r="AV13" i="22" s="1"/>
  <c r="AW13" i="22" s="1"/>
  <c r="AX13" i="22" s="1"/>
  <c r="AY13" i="22" s="1"/>
  <c r="AZ13" i="22" s="1"/>
  <c r="BA13" i="22" s="1"/>
  <c r="BB13" i="22" s="1"/>
  <c r="BC13" i="22" s="1"/>
  <c r="BD13" i="22" s="1"/>
  <c r="BE13" i="22" s="1"/>
  <c r="BF13" i="22" s="1"/>
  <c r="BG13" i="22" s="1"/>
  <c r="BH13" i="22" s="1"/>
  <c r="BI13" i="22" s="1"/>
  <c r="BJ13" i="22" s="1"/>
  <c r="BK13" i="22" s="1"/>
  <c r="BL13" i="22" s="1"/>
  <c r="BM13" i="22" s="1"/>
  <c r="BN13" i="22" s="1"/>
  <c r="BO13" i="22" s="1"/>
  <c r="BP13" i="22" s="1"/>
  <c r="BQ13" i="22" s="1"/>
  <c r="BR13" i="22" s="1"/>
  <c r="BS13" i="22" s="1"/>
  <c r="BT13" i="22" s="1"/>
  <c r="BU13" i="22" s="1"/>
  <c r="BV13" i="22" s="1"/>
  <c r="BW13" i="22" s="1"/>
  <c r="BX13" i="22" s="1"/>
  <c r="BY13" i="22" s="1"/>
  <c r="BZ13" i="22" s="1"/>
  <c r="CA13" i="22" s="1"/>
  <c r="CB13" i="22" s="1"/>
  <c r="CC13" i="22" s="1"/>
  <c r="CD13" i="22" s="1"/>
  <c r="CE13" i="22" s="1"/>
  <c r="CF13" i="22" s="1"/>
  <c r="CG13" i="22" s="1"/>
  <c r="CH13" i="22" s="1"/>
  <c r="CI13" i="22" s="1"/>
  <c r="CJ13" i="22" s="1"/>
  <c r="CK13" i="22" s="1"/>
  <c r="CL13" i="22" s="1"/>
  <c r="CM13" i="22" s="1"/>
  <c r="CN13" i="22" s="1"/>
  <c r="CO13" i="22" s="1"/>
  <c r="CP13" i="22" s="1"/>
  <c r="CQ13" i="22" s="1"/>
  <c r="CR13" i="22" s="1"/>
  <c r="CS13" i="22" s="1"/>
  <c r="CT13" i="22" s="1"/>
  <c r="CU13" i="22" s="1"/>
  <c r="CV13" i="22" s="1"/>
  <c r="CW13" i="22" s="1"/>
  <c r="F14" i="22"/>
  <c r="G14" i="22" s="1"/>
  <c r="H14" i="22" s="1"/>
  <c r="I14" i="22" s="1"/>
  <c r="J14" i="22" s="1"/>
  <c r="K14" i="22" s="1"/>
  <c r="L14" i="22" s="1"/>
  <c r="M14" i="22" s="1"/>
  <c r="N14" i="22" s="1"/>
  <c r="O14" i="22" s="1"/>
  <c r="P14" i="22" s="1"/>
  <c r="Q14" i="22" s="1"/>
  <c r="R14" i="22" s="1"/>
  <c r="S14" i="22" s="1"/>
  <c r="T14" i="22" s="1"/>
  <c r="U14" i="22" s="1"/>
  <c r="V14" i="22" s="1"/>
  <c r="W14" i="22" s="1"/>
  <c r="X14" i="22" s="1"/>
  <c r="Y14" i="22" s="1"/>
  <c r="Z14" i="22" s="1"/>
  <c r="AA14" i="22" s="1"/>
  <c r="AB14" i="22" s="1"/>
  <c r="AC14" i="22" s="1"/>
  <c r="AD14" i="22" s="1"/>
  <c r="AE14" i="22" s="1"/>
  <c r="AF14" i="22" s="1"/>
  <c r="AG14" i="22" s="1"/>
  <c r="AH14" i="22" s="1"/>
  <c r="AI14" i="22" s="1"/>
  <c r="AJ14" i="22" s="1"/>
  <c r="AK14" i="22" s="1"/>
  <c r="AL14" i="22" s="1"/>
  <c r="AM14" i="22" s="1"/>
  <c r="AN14" i="22" s="1"/>
  <c r="AO14" i="22" s="1"/>
  <c r="AP14" i="22" s="1"/>
  <c r="AQ14" i="22" s="1"/>
  <c r="AR14" i="22" s="1"/>
  <c r="AS14" i="22" s="1"/>
  <c r="AT14" i="22" s="1"/>
  <c r="AU14" i="22" s="1"/>
  <c r="AV14" i="22" s="1"/>
  <c r="AW14" i="22" s="1"/>
  <c r="AX14" i="22" s="1"/>
  <c r="AY14" i="22" s="1"/>
  <c r="AZ14" i="22" s="1"/>
  <c r="BA14" i="22" s="1"/>
  <c r="BB14" i="22" s="1"/>
  <c r="BC14" i="22" s="1"/>
  <c r="BD14" i="22" s="1"/>
  <c r="BE14" i="22" s="1"/>
  <c r="BF14" i="22" s="1"/>
  <c r="BG14" i="22" s="1"/>
  <c r="BH14" i="22" s="1"/>
  <c r="BI14" i="22" s="1"/>
  <c r="BJ14" i="22" s="1"/>
  <c r="BK14" i="22" s="1"/>
  <c r="BL14" i="22" s="1"/>
  <c r="BM14" i="22" s="1"/>
  <c r="BN14" i="22" s="1"/>
  <c r="BO14" i="22" s="1"/>
  <c r="BP14" i="22" s="1"/>
  <c r="BQ14" i="22" s="1"/>
  <c r="BR14" i="22" s="1"/>
  <c r="BS14" i="22" s="1"/>
  <c r="BT14" i="22" s="1"/>
  <c r="BU14" i="22" s="1"/>
  <c r="BV14" i="22" s="1"/>
  <c r="BW14" i="22" s="1"/>
  <c r="BX14" i="22" s="1"/>
  <c r="BY14" i="22" s="1"/>
  <c r="BZ14" i="22" s="1"/>
  <c r="CA14" i="22" s="1"/>
  <c r="CB14" i="22" s="1"/>
  <c r="CC14" i="22" s="1"/>
  <c r="CD14" i="22" s="1"/>
  <c r="CE14" i="22" s="1"/>
  <c r="CF14" i="22" s="1"/>
  <c r="CG14" i="22" s="1"/>
  <c r="CH14" i="22" s="1"/>
  <c r="CI14" i="22" s="1"/>
  <c r="CJ14" i="22" s="1"/>
  <c r="CK14" i="22" s="1"/>
  <c r="CL14" i="22" s="1"/>
  <c r="CM14" i="22" s="1"/>
  <c r="CN14" i="22" s="1"/>
  <c r="CO14" i="22" s="1"/>
  <c r="CP14" i="22" s="1"/>
  <c r="CQ14" i="22" s="1"/>
  <c r="CR14" i="22" s="1"/>
  <c r="CS14" i="22" s="1"/>
  <c r="CT14" i="22" s="1"/>
  <c r="CU14" i="22" s="1"/>
  <c r="CV14" i="22" s="1"/>
  <c r="CW14" i="22" s="1"/>
  <c r="F15" i="22"/>
  <c r="G15" i="22" s="1"/>
  <c r="H15" i="22" s="1"/>
  <c r="I15" i="22" s="1"/>
  <c r="J15" i="22" s="1"/>
  <c r="K15" i="22" s="1"/>
  <c r="L15" i="22" s="1"/>
  <c r="M15" i="22" s="1"/>
  <c r="N15" i="22" s="1"/>
  <c r="O15" i="22" s="1"/>
  <c r="P15" i="22" s="1"/>
  <c r="Q15" i="22" s="1"/>
  <c r="R15" i="22" s="1"/>
  <c r="S15" i="22" s="1"/>
  <c r="T15" i="22" s="1"/>
  <c r="U15" i="22" s="1"/>
  <c r="V15" i="22" s="1"/>
  <c r="W15" i="22" s="1"/>
  <c r="X15" i="22" s="1"/>
  <c r="Y15" i="22" s="1"/>
  <c r="Z15" i="22" s="1"/>
  <c r="AA15" i="22" s="1"/>
  <c r="AB15" i="22" s="1"/>
  <c r="AC15" i="22" s="1"/>
  <c r="AD15" i="22" s="1"/>
  <c r="AE15" i="22" s="1"/>
  <c r="AF15" i="22" s="1"/>
  <c r="AG15" i="22" s="1"/>
  <c r="AH15" i="22" s="1"/>
  <c r="AI15" i="22" s="1"/>
  <c r="AJ15" i="22" s="1"/>
  <c r="AK15" i="22" s="1"/>
  <c r="AL15" i="22" s="1"/>
  <c r="AM15" i="22" s="1"/>
  <c r="AN15" i="22" s="1"/>
  <c r="AO15" i="22" s="1"/>
  <c r="AP15" i="22" s="1"/>
  <c r="AQ15" i="22" s="1"/>
  <c r="AR15" i="22" s="1"/>
  <c r="AS15" i="22" s="1"/>
  <c r="AT15" i="22" s="1"/>
  <c r="AU15" i="22" s="1"/>
  <c r="AV15" i="22" s="1"/>
  <c r="AW15" i="22" s="1"/>
  <c r="AX15" i="22" s="1"/>
  <c r="AY15" i="22" s="1"/>
  <c r="AZ15" i="22" s="1"/>
  <c r="BA15" i="22" s="1"/>
  <c r="BB15" i="22" s="1"/>
  <c r="BC15" i="22" s="1"/>
  <c r="BD15" i="22" s="1"/>
  <c r="BE15" i="22" s="1"/>
  <c r="BF15" i="22" s="1"/>
  <c r="BG15" i="22" s="1"/>
  <c r="BH15" i="22" s="1"/>
  <c r="BI15" i="22" s="1"/>
  <c r="BJ15" i="22" s="1"/>
  <c r="BK15" i="22" s="1"/>
  <c r="BL15" i="22" s="1"/>
  <c r="BM15" i="22" s="1"/>
  <c r="BN15" i="22" s="1"/>
  <c r="BO15" i="22" s="1"/>
  <c r="BP15" i="22" s="1"/>
  <c r="BQ15" i="22" s="1"/>
  <c r="BR15" i="22" s="1"/>
  <c r="BS15" i="22" s="1"/>
  <c r="BT15" i="22" s="1"/>
  <c r="BU15" i="22" s="1"/>
  <c r="BV15" i="22" s="1"/>
  <c r="BW15" i="22" s="1"/>
  <c r="BX15" i="22" s="1"/>
  <c r="BY15" i="22" s="1"/>
  <c r="BZ15" i="22" s="1"/>
  <c r="CA15" i="22" s="1"/>
  <c r="CB15" i="22" s="1"/>
  <c r="CC15" i="22" s="1"/>
  <c r="CD15" i="22" s="1"/>
  <c r="CE15" i="22" s="1"/>
  <c r="CF15" i="22" s="1"/>
  <c r="CG15" i="22" s="1"/>
  <c r="CH15" i="22" s="1"/>
  <c r="CI15" i="22" s="1"/>
  <c r="CJ15" i="22" s="1"/>
  <c r="CK15" i="22" s="1"/>
  <c r="CL15" i="22" s="1"/>
  <c r="CM15" i="22" s="1"/>
  <c r="CN15" i="22" s="1"/>
  <c r="CO15" i="22" s="1"/>
  <c r="CP15" i="22" s="1"/>
  <c r="CQ15" i="22" s="1"/>
  <c r="CR15" i="22" s="1"/>
  <c r="CS15" i="22" s="1"/>
  <c r="CT15" i="22" s="1"/>
  <c r="CU15" i="22" s="1"/>
  <c r="CV15" i="22" s="1"/>
  <c r="CW15" i="22" s="1"/>
  <c r="F16" i="22"/>
  <c r="G16" i="22" s="1"/>
  <c r="H16" i="22" s="1"/>
  <c r="I16" i="22" s="1"/>
  <c r="J16" i="22" s="1"/>
  <c r="K16" i="22" s="1"/>
  <c r="L16" i="22" s="1"/>
  <c r="M16" i="22" s="1"/>
  <c r="N16" i="22" s="1"/>
  <c r="O16" i="22" s="1"/>
  <c r="P16" i="22" s="1"/>
  <c r="Q16" i="22" s="1"/>
  <c r="R16" i="22" s="1"/>
  <c r="S16" i="22" s="1"/>
  <c r="T16" i="22" s="1"/>
  <c r="U16" i="22" s="1"/>
  <c r="V16" i="22" s="1"/>
  <c r="W16" i="22" s="1"/>
  <c r="X16" i="22" s="1"/>
  <c r="Y16" i="22" s="1"/>
  <c r="Z16" i="22" s="1"/>
  <c r="AA16" i="22" s="1"/>
  <c r="AB16" i="22" s="1"/>
  <c r="AC16" i="22" s="1"/>
  <c r="AD16" i="22" s="1"/>
  <c r="AE16" i="22" s="1"/>
  <c r="AF16" i="22" s="1"/>
  <c r="AG16" i="22" s="1"/>
  <c r="AH16" i="22" s="1"/>
  <c r="AI16" i="22" s="1"/>
  <c r="AJ16" i="22" s="1"/>
  <c r="AK16" i="22" s="1"/>
  <c r="AL16" i="22" s="1"/>
  <c r="AM16" i="22" s="1"/>
  <c r="AN16" i="22" s="1"/>
  <c r="AO16" i="22" s="1"/>
  <c r="AP16" i="22" s="1"/>
  <c r="AQ16" i="22" s="1"/>
  <c r="AR16" i="22" s="1"/>
  <c r="AS16" i="22" s="1"/>
  <c r="AT16" i="22" s="1"/>
  <c r="AU16" i="22" s="1"/>
  <c r="AV16" i="22" s="1"/>
  <c r="AW16" i="22" s="1"/>
  <c r="AX16" i="22" s="1"/>
  <c r="AY16" i="22" s="1"/>
  <c r="AZ16" i="22" s="1"/>
  <c r="BA16" i="22" s="1"/>
  <c r="BB16" i="22" s="1"/>
  <c r="BC16" i="22" s="1"/>
  <c r="BD16" i="22" s="1"/>
  <c r="BE16" i="22" s="1"/>
  <c r="BF16" i="22" s="1"/>
  <c r="BG16" i="22" s="1"/>
  <c r="BH16" i="22" s="1"/>
  <c r="BI16" i="22" s="1"/>
  <c r="BJ16" i="22" s="1"/>
  <c r="BK16" i="22" s="1"/>
  <c r="BL16" i="22" s="1"/>
  <c r="BM16" i="22" s="1"/>
  <c r="BN16" i="22" s="1"/>
  <c r="BO16" i="22" s="1"/>
  <c r="BP16" i="22" s="1"/>
  <c r="BQ16" i="22" s="1"/>
  <c r="BR16" i="22" s="1"/>
  <c r="BS16" i="22" s="1"/>
  <c r="BT16" i="22" s="1"/>
  <c r="BU16" i="22" s="1"/>
  <c r="BV16" i="22" s="1"/>
  <c r="BW16" i="22" s="1"/>
  <c r="BX16" i="22" s="1"/>
  <c r="BY16" i="22" s="1"/>
  <c r="BZ16" i="22" s="1"/>
  <c r="CA16" i="22" s="1"/>
  <c r="CB16" i="22" s="1"/>
  <c r="CC16" i="22" s="1"/>
  <c r="CD16" i="22" s="1"/>
  <c r="CE16" i="22" s="1"/>
  <c r="CF16" i="22" s="1"/>
  <c r="CG16" i="22" s="1"/>
  <c r="CH16" i="22" s="1"/>
  <c r="CI16" i="22" s="1"/>
  <c r="CJ16" i="22" s="1"/>
  <c r="CK16" i="22" s="1"/>
  <c r="CL16" i="22" s="1"/>
  <c r="CM16" i="22" s="1"/>
  <c r="CN16" i="22" s="1"/>
  <c r="CO16" i="22" s="1"/>
  <c r="CP16" i="22" s="1"/>
  <c r="CQ16" i="22" s="1"/>
  <c r="CR16" i="22" s="1"/>
  <c r="CS16" i="22" s="1"/>
  <c r="CT16" i="22" s="1"/>
  <c r="CU16" i="22" s="1"/>
  <c r="CV16" i="22" s="1"/>
  <c r="CW16" i="22" s="1"/>
  <c r="F17" i="22"/>
  <c r="G17" i="22" s="1"/>
  <c r="H17" i="22" s="1"/>
  <c r="I17" i="22" s="1"/>
  <c r="J17" i="22" s="1"/>
  <c r="K17" i="22" s="1"/>
  <c r="L17" i="22" s="1"/>
  <c r="M17" i="22" s="1"/>
  <c r="N17" i="22" s="1"/>
  <c r="O17" i="22" s="1"/>
  <c r="P17" i="22" s="1"/>
  <c r="Q17" i="22" s="1"/>
  <c r="R17" i="22" s="1"/>
  <c r="S17" i="22" s="1"/>
  <c r="T17" i="22" s="1"/>
  <c r="U17" i="22" s="1"/>
  <c r="V17" i="22" s="1"/>
  <c r="W17" i="22" s="1"/>
  <c r="X17" i="22" s="1"/>
  <c r="Y17" i="22" s="1"/>
  <c r="Z17" i="22" s="1"/>
  <c r="AA17" i="22" s="1"/>
  <c r="AB17" i="22" s="1"/>
  <c r="AC17" i="22" s="1"/>
  <c r="AD17" i="22" s="1"/>
  <c r="AE17" i="22" s="1"/>
  <c r="AF17" i="22" s="1"/>
  <c r="AG17" i="22" s="1"/>
  <c r="AH17" i="22" s="1"/>
  <c r="AI17" i="22" s="1"/>
  <c r="AJ17" i="22" s="1"/>
  <c r="AK17" i="22" s="1"/>
  <c r="AL17" i="22" s="1"/>
  <c r="AM17" i="22" s="1"/>
  <c r="AN17" i="22" s="1"/>
  <c r="AO17" i="22" s="1"/>
  <c r="AP17" i="22" s="1"/>
  <c r="AQ17" i="22" s="1"/>
  <c r="AR17" i="22" s="1"/>
  <c r="AS17" i="22" s="1"/>
  <c r="AT17" i="22" s="1"/>
  <c r="AU17" i="22" s="1"/>
  <c r="AV17" i="22" s="1"/>
  <c r="AW17" i="22" s="1"/>
  <c r="AX17" i="22" s="1"/>
  <c r="AY17" i="22" s="1"/>
  <c r="AZ17" i="22" s="1"/>
  <c r="BA17" i="22" s="1"/>
  <c r="BB17" i="22" s="1"/>
  <c r="BC17" i="22" s="1"/>
  <c r="BD17" i="22" s="1"/>
  <c r="BE17" i="22" s="1"/>
  <c r="BF17" i="22" s="1"/>
  <c r="BG17" i="22" s="1"/>
  <c r="BH17" i="22" s="1"/>
  <c r="BI17" i="22" s="1"/>
  <c r="BJ17" i="22" s="1"/>
  <c r="BK17" i="22" s="1"/>
  <c r="BL17" i="22" s="1"/>
  <c r="BM17" i="22" s="1"/>
  <c r="BN17" i="22" s="1"/>
  <c r="BO17" i="22" s="1"/>
  <c r="BP17" i="22" s="1"/>
  <c r="BQ17" i="22" s="1"/>
  <c r="BR17" i="22" s="1"/>
  <c r="BS17" i="22" s="1"/>
  <c r="BT17" i="22" s="1"/>
  <c r="BU17" i="22" s="1"/>
  <c r="BV17" i="22" s="1"/>
  <c r="BW17" i="22" s="1"/>
  <c r="BX17" i="22" s="1"/>
  <c r="BY17" i="22" s="1"/>
  <c r="BZ17" i="22" s="1"/>
  <c r="CA17" i="22" s="1"/>
  <c r="CB17" i="22" s="1"/>
  <c r="CC17" i="22" s="1"/>
  <c r="CD17" i="22" s="1"/>
  <c r="CE17" i="22" s="1"/>
  <c r="CF17" i="22" s="1"/>
  <c r="CG17" i="22" s="1"/>
  <c r="CH17" i="22" s="1"/>
  <c r="CI17" i="22" s="1"/>
  <c r="CJ17" i="22" s="1"/>
  <c r="CK17" i="22" s="1"/>
  <c r="CL17" i="22" s="1"/>
  <c r="CM17" i="22" s="1"/>
  <c r="CN17" i="22" s="1"/>
  <c r="CO17" i="22" s="1"/>
  <c r="CP17" i="22" s="1"/>
  <c r="CQ17" i="22" s="1"/>
  <c r="CR17" i="22" s="1"/>
  <c r="CS17" i="22" s="1"/>
  <c r="CT17" i="22" s="1"/>
  <c r="CU17" i="22" s="1"/>
  <c r="CV17" i="22" s="1"/>
  <c r="CW17" i="22" s="1"/>
  <c r="F18" i="22"/>
  <c r="G18" i="22" s="1"/>
  <c r="H18" i="22" s="1"/>
  <c r="I18" i="22" s="1"/>
  <c r="J18" i="22" s="1"/>
  <c r="K18" i="22" s="1"/>
  <c r="L18" i="22" s="1"/>
  <c r="M18" i="22" s="1"/>
  <c r="N18" i="22" s="1"/>
  <c r="O18" i="22" s="1"/>
  <c r="P18" i="22" s="1"/>
  <c r="Q18" i="22" s="1"/>
  <c r="R18" i="22" s="1"/>
  <c r="S18" i="22" s="1"/>
  <c r="T18" i="22" s="1"/>
  <c r="U18" i="22" s="1"/>
  <c r="V18" i="22" s="1"/>
  <c r="W18" i="22" s="1"/>
  <c r="X18" i="22" s="1"/>
  <c r="Y18" i="22" s="1"/>
  <c r="Z18" i="22" s="1"/>
  <c r="AA18" i="22" s="1"/>
  <c r="AB18" i="22" s="1"/>
  <c r="AC18" i="22" s="1"/>
  <c r="AD18" i="22" s="1"/>
  <c r="AE18" i="22" s="1"/>
  <c r="AF18" i="22" s="1"/>
  <c r="AG18" i="22" s="1"/>
  <c r="AH18" i="22" s="1"/>
  <c r="AI18" i="22" s="1"/>
  <c r="AJ18" i="22" s="1"/>
  <c r="AK18" i="22" s="1"/>
  <c r="AL18" i="22" s="1"/>
  <c r="AM18" i="22" s="1"/>
  <c r="AN18" i="22" s="1"/>
  <c r="AO18" i="22" s="1"/>
  <c r="AP18" i="22" s="1"/>
  <c r="AQ18" i="22" s="1"/>
  <c r="AR18" i="22" s="1"/>
  <c r="AS18" i="22" s="1"/>
  <c r="AT18" i="22" s="1"/>
  <c r="AU18" i="22" s="1"/>
  <c r="AV18" i="22" s="1"/>
  <c r="AW18" i="22" s="1"/>
  <c r="AX18" i="22" s="1"/>
  <c r="AY18" i="22" s="1"/>
  <c r="AZ18" i="22" s="1"/>
  <c r="BA18" i="22" s="1"/>
  <c r="BB18" i="22" s="1"/>
  <c r="BC18" i="22" s="1"/>
  <c r="BD18" i="22" s="1"/>
  <c r="BE18" i="22" s="1"/>
  <c r="BF18" i="22" s="1"/>
  <c r="BG18" i="22" s="1"/>
  <c r="BH18" i="22" s="1"/>
  <c r="BI18" i="22" s="1"/>
  <c r="BJ18" i="22" s="1"/>
  <c r="BK18" i="22" s="1"/>
  <c r="BL18" i="22" s="1"/>
  <c r="BM18" i="22" s="1"/>
  <c r="BN18" i="22" s="1"/>
  <c r="BO18" i="22" s="1"/>
  <c r="BP18" i="22" s="1"/>
  <c r="BQ18" i="22" s="1"/>
  <c r="BR18" i="22" s="1"/>
  <c r="BS18" i="22" s="1"/>
  <c r="BT18" i="22" s="1"/>
  <c r="BU18" i="22" s="1"/>
  <c r="BV18" i="22" s="1"/>
  <c r="BW18" i="22" s="1"/>
  <c r="BX18" i="22" s="1"/>
  <c r="BY18" i="22" s="1"/>
  <c r="BZ18" i="22" s="1"/>
  <c r="CA18" i="22" s="1"/>
  <c r="CB18" i="22" s="1"/>
  <c r="CC18" i="22" s="1"/>
  <c r="CD18" i="22" s="1"/>
  <c r="CE18" i="22" s="1"/>
  <c r="CF18" i="22" s="1"/>
  <c r="CG18" i="22" s="1"/>
  <c r="CH18" i="22" s="1"/>
  <c r="CI18" i="22" s="1"/>
  <c r="CJ18" i="22" s="1"/>
  <c r="CK18" i="22" s="1"/>
  <c r="CL18" i="22" s="1"/>
  <c r="CM18" i="22" s="1"/>
  <c r="CN18" i="22" s="1"/>
  <c r="CO18" i="22" s="1"/>
  <c r="CP18" i="22" s="1"/>
  <c r="CQ18" i="22" s="1"/>
  <c r="CR18" i="22" s="1"/>
  <c r="CS18" i="22" s="1"/>
  <c r="CT18" i="22" s="1"/>
  <c r="CU18" i="22" s="1"/>
  <c r="CV18" i="22" s="1"/>
  <c r="CW18" i="22" s="1"/>
  <c r="F19" i="22"/>
  <c r="G19" i="22" s="1"/>
  <c r="H19" i="22" s="1"/>
  <c r="I19" i="22" s="1"/>
  <c r="J19" i="22" s="1"/>
  <c r="K19" i="22" s="1"/>
  <c r="L19" i="22" s="1"/>
  <c r="M19" i="22" s="1"/>
  <c r="N19" i="22" s="1"/>
  <c r="O19" i="22" s="1"/>
  <c r="P19" i="22" s="1"/>
  <c r="Q19" i="22" s="1"/>
  <c r="R19" i="22" s="1"/>
  <c r="S19" i="22" s="1"/>
  <c r="T19" i="22" s="1"/>
  <c r="U19" i="22" s="1"/>
  <c r="V19" i="22" s="1"/>
  <c r="W19" i="22" s="1"/>
  <c r="X19" i="22" s="1"/>
  <c r="Y19" i="22" s="1"/>
  <c r="Z19" i="22" s="1"/>
  <c r="AA19" i="22" s="1"/>
  <c r="AB19" i="22" s="1"/>
  <c r="AC19" i="22" s="1"/>
  <c r="AD19" i="22" s="1"/>
  <c r="AE19" i="22" s="1"/>
  <c r="AF19" i="22" s="1"/>
  <c r="AG19" i="22" s="1"/>
  <c r="AH19" i="22" s="1"/>
  <c r="AI19" i="22" s="1"/>
  <c r="AJ19" i="22" s="1"/>
  <c r="AK19" i="22" s="1"/>
  <c r="AL19" i="22" s="1"/>
  <c r="AM19" i="22" s="1"/>
  <c r="AN19" i="22" s="1"/>
  <c r="AO19" i="22" s="1"/>
  <c r="AP19" i="22" s="1"/>
  <c r="AQ19" i="22" s="1"/>
  <c r="AR19" i="22" s="1"/>
  <c r="AS19" i="22" s="1"/>
  <c r="AT19" i="22" s="1"/>
  <c r="AU19" i="22" s="1"/>
  <c r="AV19" i="22" s="1"/>
  <c r="AW19" i="22" s="1"/>
  <c r="AX19" i="22" s="1"/>
  <c r="AY19" i="22" s="1"/>
  <c r="AZ19" i="22" s="1"/>
  <c r="BA19" i="22" s="1"/>
  <c r="BB19" i="22" s="1"/>
  <c r="BC19" i="22" s="1"/>
  <c r="BD19" i="22" s="1"/>
  <c r="BE19" i="22" s="1"/>
  <c r="BF19" i="22" s="1"/>
  <c r="BG19" i="22" s="1"/>
  <c r="BH19" i="22" s="1"/>
  <c r="BI19" i="22" s="1"/>
  <c r="BJ19" i="22" s="1"/>
  <c r="BK19" i="22" s="1"/>
  <c r="BL19" i="22" s="1"/>
  <c r="BM19" i="22" s="1"/>
  <c r="BN19" i="22" s="1"/>
  <c r="BO19" i="22" s="1"/>
  <c r="BP19" i="22" s="1"/>
  <c r="BQ19" i="22" s="1"/>
  <c r="BR19" i="22" s="1"/>
  <c r="BS19" i="22" s="1"/>
  <c r="BT19" i="22" s="1"/>
  <c r="BU19" i="22" s="1"/>
  <c r="BV19" i="22" s="1"/>
  <c r="BW19" i="22" s="1"/>
  <c r="BX19" i="22" s="1"/>
  <c r="BY19" i="22" s="1"/>
  <c r="BZ19" i="22" s="1"/>
  <c r="CA19" i="22" s="1"/>
  <c r="CB19" i="22" s="1"/>
  <c r="CC19" i="22" s="1"/>
  <c r="CD19" i="22" s="1"/>
  <c r="CE19" i="22" s="1"/>
  <c r="CF19" i="22" s="1"/>
  <c r="CG19" i="22" s="1"/>
  <c r="CH19" i="22" s="1"/>
  <c r="CI19" i="22" s="1"/>
  <c r="CJ19" i="22" s="1"/>
  <c r="CK19" i="22" s="1"/>
  <c r="CL19" i="22" s="1"/>
  <c r="CM19" i="22" s="1"/>
  <c r="CN19" i="22" s="1"/>
  <c r="CO19" i="22" s="1"/>
  <c r="CP19" i="22" s="1"/>
  <c r="CQ19" i="22" s="1"/>
  <c r="CR19" i="22" s="1"/>
  <c r="CS19" i="22" s="1"/>
  <c r="CT19" i="22" s="1"/>
  <c r="CU19" i="22" s="1"/>
  <c r="CV19" i="22" s="1"/>
  <c r="CW19" i="22" s="1"/>
  <c r="F20" i="22"/>
  <c r="G20" i="22" s="1"/>
  <c r="H20" i="22" s="1"/>
  <c r="I20" i="22" s="1"/>
  <c r="J20" i="22" s="1"/>
  <c r="K20" i="22" s="1"/>
  <c r="L20" i="22" s="1"/>
  <c r="M20" i="22" s="1"/>
  <c r="N20" i="22" s="1"/>
  <c r="O20" i="22" s="1"/>
  <c r="P20" i="22" s="1"/>
  <c r="Q20" i="22" s="1"/>
  <c r="R20" i="22" s="1"/>
  <c r="S20" i="22" s="1"/>
  <c r="T20" i="22" s="1"/>
  <c r="U20" i="22" s="1"/>
  <c r="V20" i="22" s="1"/>
  <c r="W20" i="22" s="1"/>
  <c r="X20" i="22" s="1"/>
  <c r="Y20" i="22" s="1"/>
  <c r="Z20" i="22" s="1"/>
  <c r="AA20" i="22" s="1"/>
  <c r="AB20" i="22" s="1"/>
  <c r="AC20" i="22" s="1"/>
  <c r="AD20" i="22" s="1"/>
  <c r="AE20" i="22" s="1"/>
  <c r="AF20" i="22" s="1"/>
  <c r="AG20" i="22" s="1"/>
  <c r="AH20" i="22" s="1"/>
  <c r="AI20" i="22" s="1"/>
  <c r="AJ20" i="22" s="1"/>
  <c r="AK20" i="22" s="1"/>
  <c r="AL20" i="22" s="1"/>
  <c r="AM20" i="22" s="1"/>
  <c r="AN20" i="22" s="1"/>
  <c r="AO20" i="22" s="1"/>
  <c r="AP20" i="22" s="1"/>
  <c r="AQ20" i="22" s="1"/>
  <c r="AR20" i="22" s="1"/>
  <c r="AS20" i="22" s="1"/>
  <c r="AT20" i="22" s="1"/>
  <c r="AU20" i="22" s="1"/>
  <c r="AV20" i="22" s="1"/>
  <c r="AW20" i="22" s="1"/>
  <c r="AX20" i="22" s="1"/>
  <c r="AY20" i="22" s="1"/>
  <c r="AZ20" i="22" s="1"/>
  <c r="BA20" i="22" s="1"/>
  <c r="BB20" i="22" s="1"/>
  <c r="BC20" i="22" s="1"/>
  <c r="BD20" i="22" s="1"/>
  <c r="BE20" i="22" s="1"/>
  <c r="BF20" i="22" s="1"/>
  <c r="BG20" i="22" s="1"/>
  <c r="BH20" i="22" s="1"/>
  <c r="BI20" i="22" s="1"/>
  <c r="BJ20" i="22" s="1"/>
  <c r="BK20" i="22" s="1"/>
  <c r="BL20" i="22" s="1"/>
  <c r="BM20" i="22" s="1"/>
  <c r="BN20" i="22" s="1"/>
  <c r="BO20" i="22" s="1"/>
  <c r="BP20" i="22" s="1"/>
  <c r="BQ20" i="22" s="1"/>
  <c r="BR20" i="22" s="1"/>
  <c r="BS20" i="22" s="1"/>
  <c r="BT20" i="22" s="1"/>
  <c r="BU20" i="22" s="1"/>
  <c r="BV20" i="22" s="1"/>
  <c r="BW20" i="22" s="1"/>
  <c r="BX20" i="22" s="1"/>
  <c r="BY20" i="22" s="1"/>
  <c r="BZ20" i="22" s="1"/>
  <c r="CA20" i="22" s="1"/>
  <c r="CB20" i="22" s="1"/>
  <c r="CC20" i="22" s="1"/>
  <c r="CD20" i="22" s="1"/>
  <c r="CE20" i="22" s="1"/>
  <c r="CF20" i="22" s="1"/>
  <c r="CG20" i="22" s="1"/>
  <c r="CH20" i="22" s="1"/>
  <c r="CI20" i="22" s="1"/>
  <c r="CJ20" i="22" s="1"/>
  <c r="CK20" i="22" s="1"/>
  <c r="CL20" i="22" s="1"/>
  <c r="CM20" i="22" s="1"/>
  <c r="CN20" i="22" s="1"/>
  <c r="CO20" i="22" s="1"/>
  <c r="CP20" i="22" s="1"/>
  <c r="CQ20" i="22" s="1"/>
  <c r="CR20" i="22" s="1"/>
  <c r="CS20" i="22" s="1"/>
  <c r="CT20" i="22" s="1"/>
  <c r="CU20" i="22" s="1"/>
  <c r="CV20" i="22" s="1"/>
  <c r="CW20" i="22" s="1"/>
  <c r="F21" i="22"/>
  <c r="G21" i="22" s="1"/>
  <c r="H21" i="22" s="1"/>
  <c r="I21" i="22" s="1"/>
  <c r="J21" i="22" s="1"/>
  <c r="K21" i="22" s="1"/>
  <c r="L21" i="22" s="1"/>
  <c r="M21" i="22" s="1"/>
  <c r="N21" i="22" s="1"/>
  <c r="O21" i="22" s="1"/>
  <c r="P21" i="22" s="1"/>
  <c r="Q21" i="22" s="1"/>
  <c r="R21" i="22" s="1"/>
  <c r="S21" i="22" s="1"/>
  <c r="T21" i="22" s="1"/>
  <c r="U21" i="22" s="1"/>
  <c r="V21" i="22" s="1"/>
  <c r="W21" i="22" s="1"/>
  <c r="X21" i="22" s="1"/>
  <c r="Y21" i="22" s="1"/>
  <c r="Z21" i="22" s="1"/>
  <c r="AA21" i="22" s="1"/>
  <c r="AB21" i="22" s="1"/>
  <c r="AC21" i="22" s="1"/>
  <c r="AD21" i="22" s="1"/>
  <c r="AE21" i="22" s="1"/>
  <c r="AF21" i="22" s="1"/>
  <c r="AG21" i="22" s="1"/>
  <c r="AH21" i="22" s="1"/>
  <c r="AI21" i="22" s="1"/>
  <c r="AJ21" i="22" s="1"/>
  <c r="AK21" i="22" s="1"/>
  <c r="AL21" i="22" s="1"/>
  <c r="AM21" i="22" s="1"/>
  <c r="AN21" i="22" s="1"/>
  <c r="AO21" i="22" s="1"/>
  <c r="AP21" i="22" s="1"/>
  <c r="AQ21" i="22" s="1"/>
  <c r="AR21" i="22" s="1"/>
  <c r="AS21" i="22" s="1"/>
  <c r="AT21" i="22" s="1"/>
  <c r="AU21" i="22" s="1"/>
  <c r="AV21" i="22" s="1"/>
  <c r="AW21" i="22" s="1"/>
  <c r="AX21" i="22" s="1"/>
  <c r="AY21" i="22" s="1"/>
  <c r="AZ21" i="22" s="1"/>
  <c r="BA21" i="22" s="1"/>
  <c r="BB21" i="22" s="1"/>
  <c r="BC21" i="22" s="1"/>
  <c r="BD21" i="22" s="1"/>
  <c r="BE21" i="22" s="1"/>
  <c r="BF21" i="22" s="1"/>
  <c r="BG21" i="22" s="1"/>
  <c r="BH21" i="22" s="1"/>
  <c r="BI21" i="22" s="1"/>
  <c r="BJ21" i="22" s="1"/>
  <c r="BK21" i="22" s="1"/>
  <c r="BL21" i="22" s="1"/>
  <c r="BM21" i="22" s="1"/>
  <c r="BN21" i="22" s="1"/>
  <c r="BO21" i="22" s="1"/>
  <c r="BP21" i="22" s="1"/>
  <c r="BQ21" i="22" s="1"/>
  <c r="BR21" i="22" s="1"/>
  <c r="BS21" i="22" s="1"/>
  <c r="BT21" i="22" s="1"/>
  <c r="BU21" i="22" s="1"/>
  <c r="BV21" i="22" s="1"/>
  <c r="BW21" i="22" s="1"/>
  <c r="BX21" i="22" s="1"/>
  <c r="BY21" i="22" s="1"/>
  <c r="BZ21" i="22" s="1"/>
  <c r="CA21" i="22" s="1"/>
  <c r="CB21" i="22" s="1"/>
  <c r="CC21" i="22" s="1"/>
  <c r="CD21" i="22" s="1"/>
  <c r="CE21" i="22" s="1"/>
  <c r="CF21" i="22" s="1"/>
  <c r="CG21" i="22" s="1"/>
  <c r="CH21" i="22" s="1"/>
  <c r="CI21" i="22" s="1"/>
  <c r="CJ21" i="22" s="1"/>
  <c r="CK21" i="22" s="1"/>
  <c r="CL21" i="22" s="1"/>
  <c r="CM21" i="22" s="1"/>
  <c r="CN21" i="22" s="1"/>
  <c r="CO21" i="22" s="1"/>
  <c r="CP21" i="22" s="1"/>
  <c r="CQ21" i="22" s="1"/>
  <c r="CR21" i="22" s="1"/>
  <c r="CS21" i="22" s="1"/>
  <c r="CT21" i="22" s="1"/>
  <c r="CU21" i="22" s="1"/>
  <c r="CV21" i="22" s="1"/>
  <c r="CW21" i="22" s="1"/>
  <c r="F22" i="22"/>
  <c r="G22" i="22" s="1"/>
  <c r="H22" i="22" s="1"/>
  <c r="I22" i="22" s="1"/>
  <c r="J22" i="22" s="1"/>
  <c r="K22" i="22" s="1"/>
  <c r="L22" i="22" s="1"/>
  <c r="M22" i="22" s="1"/>
  <c r="N22" i="22" s="1"/>
  <c r="O22" i="22" s="1"/>
  <c r="P22" i="22" s="1"/>
  <c r="Q22" i="22" s="1"/>
  <c r="R22" i="22" s="1"/>
  <c r="S22" i="22" s="1"/>
  <c r="T22" i="22" s="1"/>
  <c r="U22" i="22" s="1"/>
  <c r="V22" i="22" s="1"/>
  <c r="W22" i="22" s="1"/>
  <c r="X22" i="22" s="1"/>
  <c r="Y22" i="22" s="1"/>
  <c r="Z22" i="22" s="1"/>
  <c r="AA22" i="22" s="1"/>
  <c r="AB22" i="22" s="1"/>
  <c r="AC22" i="22" s="1"/>
  <c r="AD22" i="22" s="1"/>
  <c r="AE22" i="22" s="1"/>
  <c r="AF22" i="22" s="1"/>
  <c r="AG22" i="22" s="1"/>
  <c r="AH22" i="22" s="1"/>
  <c r="AI22" i="22" s="1"/>
  <c r="AJ22" i="22" s="1"/>
  <c r="AK22" i="22" s="1"/>
  <c r="AL22" i="22" s="1"/>
  <c r="AM22" i="22" s="1"/>
  <c r="AN22" i="22" s="1"/>
  <c r="AO22" i="22" s="1"/>
  <c r="AP22" i="22" s="1"/>
  <c r="AQ22" i="22" s="1"/>
  <c r="AR22" i="22" s="1"/>
  <c r="AS22" i="22" s="1"/>
  <c r="AT22" i="22" s="1"/>
  <c r="AU22" i="22" s="1"/>
  <c r="AV22" i="22" s="1"/>
  <c r="AW22" i="22" s="1"/>
  <c r="AX22" i="22" s="1"/>
  <c r="AY22" i="22" s="1"/>
  <c r="AZ22" i="22" s="1"/>
  <c r="BA22" i="22" s="1"/>
  <c r="BB22" i="22" s="1"/>
  <c r="BC22" i="22" s="1"/>
  <c r="BD22" i="22" s="1"/>
  <c r="BE22" i="22" s="1"/>
  <c r="BF22" i="22" s="1"/>
  <c r="BG22" i="22" s="1"/>
  <c r="BH22" i="22" s="1"/>
  <c r="BI22" i="22" s="1"/>
  <c r="BJ22" i="22" s="1"/>
  <c r="BK22" i="22" s="1"/>
  <c r="BL22" i="22" s="1"/>
  <c r="BM22" i="22" s="1"/>
  <c r="BN22" i="22" s="1"/>
  <c r="BO22" i="22" s="1"/>
  <c r="BP22" i="22" s="1"/>
  <c r="BQ22" i="22" s="1"/>
  <c r="BR22" i="22" s="1"/>
  <c r="BS22" i="22" s="1"/>
  <c r="BT22" i="22" s="1"/>
  <c r="BU22" i="22" s="1"/>
  <c r="BV22" i="22" s="1"/>
  <c r="BW22" i="22" s="1"/>
  <c r="BX22" i="22" s="1"/>
  <c r="BY22" i="22" s="1"/>
  <c r="BZ22" i="22" s="1"/>
  <c r="CA22" i="22" s="1"/>
  <c r="CB22" i="22" s="1"/>
  <c r="CC22" i="22" s="1"/>
  <c r="CD22" i="22" s="1"/>
  <c r="CE22" i="22" s="1"/>
  <c r="CF22" i="22" s="1"/>
  <c r="CG22" i="22" s="1"/>
  <c r="CH22" i="22" s="1"/>
  <c r="CI22" i="22" s="1"/>
  <c r="CJ22" i="22" s="1"/>
  <c r="CK22" i="22" s="1"/>
  <c r="CL22" i="22" s="1"/>
  <c r="CM22" i="22" s="1"/>
  <c r="CN22" i="22" s="1"/>
  <c r="CO22" i="22" s="1"/>
  <c r="CP22" i="22" s="1"/>
  <c r="CQ22" i="22" s="1"/>
  <c r="CR22" i="22" s="1"/>
  <c r="CS22" i="22" s="1"/>
  <c r="CT22" i="22" s="1"/>
  <c r="CU22" i="22" s="1"/>
  <c r="CV22" i="22" s="1"/>
  <c r="CW22" i="22" s="1"/>
  <c r="F23" i="22"/>
  <c r="G23" i="22" s="1"/>
  <c r="H23" i="22" s="1"/>
  <c r="I23" i="22" s="1"/>
  <c r="J23" i="22" s="1"/>
  <c r="K23" i="22" s="1"/>
  <c r="L23" i="22" s="1"/>
  <c r="M23" i="22" s="1"/>
  <c r="N23" i="22" s="1"/>
  <c r="O23" i="22" s="1"/>
  <c r="P23" i="22" s="1"/>
  <c r="Q23" i="22" s="1"/>
  <c r="R23" i="22" s="1"/>
  <c r="S23" i="22" s="1"/>
  <c r="T23" i="22" s="1"/>
  <c r="U23" i="22" s="1"/>
  <c r="V23" i="22" s="1"/>
  <c r="W23" i="22" s="1"/>
  <c r="X23" i="22" s="1"/>
  <c r="Y23" i="22" s="1"/>
  <c r="Z23" i="22" s="1"/>
  <c r="AA23" i="22" s="1"/>
  <c r="AB23" i="22" s="1"/>
  <c r="AC23" i="22" s="1"/>
  <c r="AD23" i="22" s="1"/>
  <c r="AE23" i="22" s="1"/>
  <c r="AF23" i="22" s="1"/>
  <c r="AG23" i="22" s="1"/>
  <c r="AH23" i="22" s="1"/>
  <c r="AI23" i="22" s="1"/>
  <c r="AJ23" i="22" s="1"/>
  <c r="AK23" i="22" s="1"/>
  <c r="AL23" i="22" s="1"/>
  <c r="AM23" i="22" s="1"/>
  <c r="AN23" i="22" s="1"/>
  <c r="AO23" i="22" s="1"/>
  <c r="AP23" i="22" s="1"/>
  <c r="AQ23" i="22" s="1"/>
  <c r="AR23" i="22" s="1"/>
  <c r="AS23" i="22" s="1"/>
  <c r="AT23" i="22" s="1"/>
  <c r="AU23" i="22" s="1"/>
  <c r="AV23" i="22" s="1"/>
  <c r="AW23" i="22" s="1"/>
  <c r="AX23" i="22" s="1"/>
  <c r="AY23" i="22" s="1"/>
  <c r="AZ23" i="22" s="1"/>
  <c r="BA23" i="22" s="1"/>
  <c r="BB23" i="22" s="1"/>
  <c r="BC23" i="22" s="1"/>
  <c r="BD23" i="22" s="1"/>
  <c r="BE23" i="22" s="1"/>
  <c r="BF23" i="22" s="1"/>
  <c r="BG23" i="22" s="1"/>
  <c r="BH23" i="22" s="1"/>
  <c r="BI23" i="22" s="1"/>
  <c r="BJ23" i="22" s="1"/>
  <c r="BK23" i="22" s="1"/>
  <c r="BL23" i="22" s="1"/>
  <c r="BM23" i="22" s="1"/>
  <c r="BN23" i="22" s="1"/>
  <c r="BO23" i="22" s="1"/>
  <c r="BP23" i="22" s="1"/>
  <c r="BQ23" i="22" s="1"/>
  <c r="BR23" i="22" s="1"/>
  <c r="BS23" i="22" s="1"/>
  <c r="BT23" i="22" s="1"/>
  <c r="BU23" i="22" s="1"/>
  <c r="BV23" i="22" s="1"/>
  <c r="BW23" i="22" s="1"/>
  <c r="BX23" i="22" s="1"/>
  <c r="BY23" i="22" s="1"/>
  <c r="BZ23" i="22" s="1"/>
  <c r="CA23" i="22" s="1"/>
  <c r="CB23" i="22" s="1"/>
  <c r="CC23" i="22" s="1"/>
  <c r="CD23" i="22" s="1"/>
  <c r="CE23" i="22" s="1"/>
  <c r="CF23" i="22" s="1"/>
  <c r="CG23" i="22" s="1"/>
  <c r="CH23" i="22" s="1"/>
  <c r="CI23" i="22" s="1"/>
  <c r="CJ23" i="22" s="1"/>
  <c r="CK23" i="22" s="1"/>
  <c r="CL23" i="22" s="1"/>
  <c r="CM23" i="22" s="1"/>
  <c r="CN23" i="22" s="1"/>
  <c r="CO23" i="22" s="1"/>
  <c r="CP23" i="22" s="1"/>
  <c r="CQ23" i="22" s="1"/>
  <c r="CR23" i="22" s="1"/>
  <c r="CS23" i="22" s="1"/>
  <c r="CT23" i="22" s="1"/>
  <c r="CU23" i="22" s="1"/>
  <c r="CV23" i="22" s="1"/>
  <c r="CW23" i="22" s="1"/>
  <c r="F24" i="22"/>
  <c r="G24" i="22" s="1"/>
  <c r="H24" i="22" s="1"/>
  <c r="I24" i="22" s="1"/>
  <c r="J24" i="22" s="1"/>
  <c r="K24" i="22" s="1"/>
  <c r="L24" i="22" s="1"/>
  <c r="M24" i="22" s="1"/>
  <c r="N24" i="22" s="1"/>
  <c r="O24" i="22" s="1"/>
  <c r="P24" i="22" s="1"/>
  <c r="Q24" i="22" s="1"/>
  <c r="R24" i="22" s="1"/>
  <c r="S24" i="22" s="1"/>
  <c r="T24" i="22" s="1"/>
  <c r="U24" i="22" s="1"/>
  <c r="V24" i="22" s="1"/>
  <c r="W24" i="22" s="1"/>
  <c r="X24" i="22" s="1"/>
  <c r="Y24" i="22" s="1"/>
  <c r="Z24" i="22" s="1"/>
  <c r="AA24" i="22" s="1"/>
  <c r="AB24" i="22" s="1"/>
  <c r="AC24" i="22" s="1"/>
  <c r="AD24" i="22" s="1"/>
  <c r="AE24" i="22" s="1"/>
  <c r="AF24" i="22" s="1"/>
  <c r="AG24" i="22" s="1"/>
  <c r="AH24" i="22" s="1"/>
  <c r="AI24" i="22" s="1"/>
  <c r="AJ24" i="22" s="1"/>
  <c r="AK24" i="22" s="1"/>
  <c r="AL24" i="22" s="1"/>
  <c r="AM24" i="22" s="1"/>
  <c r="AN24" i="22" s="1"/>
  <c r="AO24" i="22" s="1"/>
  <c r="AP24" i="22" s="1"/>
  <c r="AQ24" i="22" s="1"/>
  <c r="AR24" i="22" s="1"/>
  <c r="AS24" i="22" s="1"/>
  <c r="AT24" i="22" s="1"/>
  <c r="AU24" i="22" s="1"/>
  <c r="AV24" i="22" s="1"/>
  <c r="AW24" i="22" s="1"/>
  <c r="AX24" i="22" s="1"/>
  <c r="AY24" i="22" s="1"/>
  <c r="AZ24" i="22" s="1"/>
  <c r="BA24" i="22" s="1"/>
  <c r="BB24" i="22" s="1"/>
  <c r="BC24" i="22" s="1"/>
  <c r="BD24" i="22" s="1"/>
  <c r="BE24" i="22" s="1"/>
  <c r="BF24" i="22" s="1"/>
  <c r="BG24" i="22" s="1"/>
  <c r="BH24" i="22" s="1"/>
  <c r="BI24" i="22" s="1"/>
  <c r="BJ24" i="22" s="1"/>
  <c r="BK24" i="22" s="1"/>
  <c r="BL24" i="22" s="1"/>
  <c r="BM24" i="22" s="1"/>
  <c r="BN24" i="22" s="1"/>
  <c r="BO24" i="22" s="1"/>
  <c r="BP24" i="22" s="1"/>
  <c r="BQ24" i="22" s="1"/>
  <c r="BR24" i="22" s="1"/>
  <c r="BS24" i="22" s="1"/>
  <c r="BT24" i="22" s="1"/>
  <c r="BU24" i="22" s="1"/>
  <c r="BV24" i="22" s="1"/>
  <c r="BW24" i="22" s="1"/>
  <c r="BX24" i="22" s="1"/>
  <c r="BY24" i="22" s="1"/>
  <c r="BZ24" i="22" s="1"/>
  <c r="CA24" i="22" s="1"/>
  <c r="CB24" i="22" s="1"/>
  <c r="CC24" i="22" s="1"/>
  <c r="CD24" i="22" s="1"/>
  <c r="CE24" i="22" s="1"/>
  <c r="CF24" i="22" s="1"/>
  <c r="CG24" i="22" s="1"/>
  <c r="CH24" i="22" s="1"/>
  <c r="CI24" i="22" s="1"/>
  <c r="CJ24" i="22" s="1"/>
  <c r="CK24" i="22" s="1"/>
  <c r="CL24" i="22" s="1"/>
  <c r="CM24" i="22" s="1"/>
  <c r="CN24" i="22" s="1"/>
  <c r="CO24" i="22" s="1"/>
  <c r="CP24" i="22" s="1"/>
  <c r="CQ24" i="22" s="1"/>
  <c r="CR24" i="22" s="1"/>
  <c r="CS24" i="22" s="1"/>
  <c r="CT24" i="22" s="1"/>
  <c r="CU24" i="22" s="1"/>
  <c r="CV24" i="22" s="1"/>
  <c r="CW24" i="22" s="1"/>
  <c r="F25" i="22"/>
  <c r="G25" i="22" s="1"/>
  <c r="H25" i="22" s="1"/>
  <c r="I25" i="22" s="1"/>
  <c r="J25" i="22" s="1"/>
  <c r="K25" i="22" s="1"/>
  <c r="L25" i="22" s="1"/>
  <c r="M25" i="22" s="1"/>
  <c r="N25" i="22" s="1"/>
  <c r="O25" i="22" s="1"/>
  <c r="P25" i="22" s="1"/>
  <c r="Q25" i="22" s="1"/>
  <c r="R25" i="22" s="1"/>
  <c r="S25" i="22" s="1"/>
  <c r="T25" i="22" s="1"/>
  <c r="U25" i="22" s="1"/>
  <c r="V25" i="22" s="1"/>
  <c r="W25" i="22" s="1"/>
  <c r="X25" i="22" s="1"/>
  <c r="Y25" i="22" s="1"/>
  <c r="Z25" i="22" s="1"/>
  <c r="AA25" i="22" s="1"/>
  <c r="AB25" i="22" s="1"/>
  <c r="AC25" i="22" s="1"/>
  <c r="AD25" i="22" s="1"/>
  <c r="AE25" i="22" s="1"/>
  <c r="AF25" i="22" s="1"/>
  <c r="AG25" i="22" s="1"/>
  <c r="AH25" i="22" s="1"/>
  <c r="AI25" i="22" s="1"/>
  <c r="AJ25" i="22" s="1"/>
  <c r="AK25" i="22" s="1"/>
  <c r="AL25" i="22" s="1"/>
  <c r="AM25" i="22" s="1"/>
  <c r="AN25" i="22" s="1"/>
  <c r="AO25" i="22" s="1"/>
  <c r="AP25" i="22" s="1"/>
  <c r="AQ25" i="22" s="1"/>
  <c r="AR25" i="22" s="1"/>
  <c r="AS25" i="22" s="1"/>
  <c r="AT25" i="22" s="1"/>
  <c r="AU25" i="22" s="1"/>
  <c r="AV25" i="22" s="1"/>
  <c r="AW25" i="22" s="1"/>
  <c r="AX25" i="22" s="1"/>
  <c r="AY25" i="22" s="1"/>
  <c r="AZ25" i="22" s="1"/>
  <c r="BA25" i="22" s="1"/>
  <c r="BB25" i="22" s="1"/>
  <c r="BC25" i="22" s="1"/>
  <c r="BD25" i="22" s="1"/>
  <c r="BE25" i="22" s="1"/>
  <c r="BF25" i="22" s="1"/>
  <c r="BG25" i="22" s="1"/>
  <c r="BH25" i="22" s="1"/>
  <c r="BI25" i="22" s="1"/>
  <c r="BJ25" i="22" s="1"/>
  <c r="BK25" i="22" s="1"/>
  <c r="BL25" i="22" s="1"/>
  <c r="BM25" i="22" s="1"/>
  <c r="BN25" i="22" s="1"/>
  <c r="BO25" i="22" s="1"/>
  <c r="BP25" i="22" s="1"/>
  <c r="BQ25" i="22" s="1"/>
  <c r="BR25" i="22" s="1"/>
  <c r="BS25" i="22" s="1"/>
  <c r="BT25" i="22" s="1"/>
  <c r="BU25" i="22" s="1"/>
  <c r="BV25" i="22" s="1"/>
  <c r="BW25" i="22" s="1"/>
  <c r="BX25" i="22" s="1"/>
  <c r="BY25" i="22" s="1"/>
  <c r="BZ25" i="22" s="1"/>
  <c r="CA25" i="22" s="1"/>
  <c r="CB25" i="22" s="1"/>
  <c r="CC25" i="22" s="1"/>
  <c r="CD25" i="22" s="1"/>
  <c r="CE25" i="22" s="1"/>
  <c r="CF25" i="22" s="1"/>
  <c r="CG25" i="22" s="1"/>
  <c r="CH25" i="22" s="1"/>
  <c r="CI25" i="22" s="1"/>
  <c r="CJ25" i="22" s="1"/>
  <c r="CK25" i="22" s="1"/>
  <c r="CL25" i="22" s="1"/>
  <c r="CM25" i="22" s="1"/>
  <c r="CN25" i="22" s="1"/>
  <c r="CO25" i="22" s="1"/>
  <c r="CP25" i="22" s="1"/>
  <c r="CQ25" i="22" s="1"/>
  <c r="CR25" i="22" s="1"/>
  <c r="CS25" i="22" s="1"/>
  <c r="CT25" i="22" s="1"/>
  <c r="CU25" i="22" s="1"/>
  <c r="CV25" i="22" s="1"/>
  <c r="CW25" i="22" s="1"/>
  <c r="F26" i="22"/>
  <c r="G26" i="22" s="1"/>
  <c r="H26" i="22" s="1"/>
  <c r="I26" i="22" s="1"/>
  <c r="J26" i="22" s="1"/>
  <c r="K26" i="22" s="1"/>
  <c r="L26" i="22" s="1"/>
  <c r="M26" i="22" s="1"/>
  <c r="N26" i="22" s="1"/>
  <c r="O26" i="22" s="1"/>
  <c r="P26" i="22" s="1"/>
  <c r="Q26" i="22" s="1"/>
  <c r="R26" i="22" s="1"/>
  <c r="S26" i="22" s="1"/>
  <c r="T26" i="22" s="1"/>
  <c r="U26" i="22" s="1"/>
  <c r="V26" i="22" s="1"/>
  <c r="W26" i="22" s="1"/>
  <c r="X26" i="22" s="1"/>
  <c r="Y26" i="22" s="1"/>
  <c r="Z26" i="22" s="1"/>
  <c r="AA26" i="22" s="1"/>
  <c r="AB26" i="22" s="1"/>
  <c r="AC26" i="22" s="1"/>
  <c r="AD26" i="22" s="1"/>
  <c r="AE26" i="22" s="1"/>
  <c r="AF26" i="22" s="1"/>
  <c r="AG26" i="22" s="1"/>
  <c r="AH26" i="22" s="1"/>
  <c r="AI26" i="22" s="1"/>
  <c r="AJ26" i="22" s="1"/>
  <c r="AK26" i="22" s="1"/>
  <c r="AL26" i="22" s="1"/>
  <c r="AM26" i="22" s="1"/>
  <c r="AN26" i="22" s="1"/>
  <c r="AO26" i="22" s="1"/>
  <c r="AP26" i="22" s="1"/>
  <c r="AQ26" i="22" s="1"/>
  <c r="AR26" i="22" s="1"/>
  <c r="AS26" i="22" s="1"/>
  <c r="AT26" i="22" s="1"/>
  <c r="AU26" i="22" s="1"/>
  <c r="AV26" i="22" s="1"/>
  <c r="AW26" i="22" s="1"/>
  <c r="AX26" i="22" s="1"/>
  <c r="AY26" i="22" s="1"/>
  <c r="AZ26" i="22" s="1"/>
  <c r="BA26" i="22" s="1"/>
  <c r="BB26" i="22" s="1"/>
  <c r="BC26" i="22" s="1"/>
  <c r="BD26" i="22" s="1"/>
  <c r="BE26" i="22" s="1"/>
  <c r="BF26" i="22" s="1"/>
  <c r="BG26" i="22" s="1"/>
  <c r="BH26" i="22" s="1"/>
  <c r="BI26" i="22" s="1"/>
  <c r="BJ26" i="22" s="1"/>
  <c r="BK26" i="22" s="1"/>
  <c r="BL26" i="22" s="1"/>
  <c r="BM26" i="22" s="1"/>
  <c r="BN26" i="22" s="1"/>
  <c r="BO26" i="22" s="1"/>
  <c r="BP26" i="22" s="1"/>
  <c r="BQ26" i="22" s="1"/>
  <c r="BR26" i="22" s="1"/>
  <c r="BS26" i="22" s="1"/>
  <c r="BT26" i="22" s="1"/>
  <c r="BU26" i="22" s="1"/>
  <c r="BV26" i="22" s="1"/>
  <c r="BW26" i="22" s="1"/>
  <c r="BX26" i="22" s="1"/>
  <c r="BY26" i="22" s="1"/>
  <c r="BZ26" i="22" s="1"/>
  <c r="CA26" i="22" s="1"/>
  <c r="CB26" i="22" s="1"/>
  <c r="CC26" i="22" s="1"/>
  <c r="CD26" i="22" s="1"/>
  <c r="CE26" i="22" s="1"/>
  <c r="CF26" i="22" s="1"/>
  <c r="CG26" i="22" s="1"/>
  <c r="CH26" i="22" s="1"/>
  <c r="CI26" i="22" s="1"/>
  <c r="CJ26" i="22" s="1"/>
  <c r="CK26" i="22" s="1"/>
  <c r="CL26" i="22" s="1"/>
  <c r="CM26" i="22" s="1"/>
  <c r="CN26" i="22" s="1"/>
  <c r="CO26" i="22" s="1"/>
  <c r="CP26" i="22" s="1"/>
  <c r="CQ26" i="22" s="1"/>
  <c r="CR26" i="22" s="1"/>
  <c r="CS26" i="22" s="1"/>
  <c r="CT26" i="22" s="1"/>
  <c r="CU26" i="22" s="1"/>
  <c r="CV26" i="22" s="1"/>
  <c r="CW26" i="22" s="1"/>
  <c r="F27" i="22"/>
  <c r="G27" i="22" s="1"/>
  <c r="H27" i="22" s="1"/>
  <c r="I27" i="22" s="1"/>
  <c r="J27" i="22" s="1"/>
  <c r="K27" i="22" s="1"/>
  <c r="L27" i="22" s="1"/>
  <c r="M27" i="22" s="1"/>
  <c r="N27" i="22" s="1"/>
  <c r="O27" i="22" s="1"/>
  <c r="P27" i="22" s="1"/>
  <c r="Q27" i="22" s="1"/>
  <c r="R27" i="22" s="1"/>
  <c r="S27" i="22" s="1"/>
  <c r="T27" i="22" s="1"/>
  <c r="U27" i="22" s="1"/>
  <c r="V27" i="22" s="1"/>
  <c r="W27" i="22" s="1"/>
  <c r="X27" i="22" s="1"/>
  <c r="Y27" i="22" s="1"/>
  <c r="Z27" i="22" s="1"/>
  <c r="AA27" i="22" s="1"/>
  <c r="AB27" i="22" s="1"/>
  <c r="AC27" i="22" s="1"/>
  <c r="AD27" i="22" s="1"/>
  <c r="AE27" i="22" s="1"/>
  <c r="AF27" i="22" s="1"/>
  <c r="AG27" i="22" s="1"/>
  <c r="AH27" i="22" s="1"/>
  <c r="AI27" i="22" s="1"/>
  <c r="AJ27" i="22" s="1"/>
  <c r="AK27" i="22" s="1"/>
  <c r="AL27" i="22" s="1"/>
  <c r="AM27" i="22" s="1"/>
  <c r="AN27" i="22" s="1"/>
  <c r="AO27" i="22" s="1"/>
  <c r="AP27" i="22" s="1"/>
  <c r="AQ27" i="22" s="1"/>
  <c r="AR27" i="22" s="1"/>
  <c r="AS27" i="22" s="1"/>
  <c r="AT27" i="22" s="1"/>
  <c r="AU27" i="22" s="1"/>
  <c r="AV27" i="22" s="1"/>
  <c r="AW27" i="22" s="1"/>
  <c r="AX27" i="22" s="1"/>
  <c r="AY27" i="22" s="1"/>
  <c r="AZ27" i="22" s="1"/>
  <c r="BA27" i="22" s="1"/>
  <c r="BB27" i="22" s="1"/>
  <c r="BC27" i="22" s="1"/>
  <c r="BD27" i="22" s="1"/>
  <c r="BE27" i="22" s="1"/>
  <c r="BF27" i="22" s="1"/>
  <c r="BG27" i="22" s="1"/>
  <c r="BH27" i="22" s="1"/>
  <c r="BI27" i="22" s="1"/>
  <c r="BJ27" i="22" s="1"/>
  <c r="BK27" i="22" s="1"/>
  <c r="BL27" i="22" s="1"/>
  <c r="BM27" i="22" s="1"/>
  <c r="BN27" i="22" s="1"/>
  <c r="BO27" i="22" s="1"/>
  <c r="BP27" i="22" s="1"/>
  <c r="BQ27" i="22" s="1"/>
  <c r="BR27" i="22" s="1"/>
  <c r="BS27" i="22" s="1"/>
  <c r="BT27" i="22" s="1"/>
  <c r="BU27" i="22" s="1"/>
  <c r="BV27" i="22" s="1"/>
  <c r="BW27" i="22" s="1"/>
  <c r="BX27" i="22" s="1"/>
  <c r="BY27" i="22" s="1"/>
  <c r="BZ27" i="22" s="1"/>
  <c r="CA27" i="22" s="1"/>
  <c r="CB27" i="22" s="1"/>
  <c r="CC27" i="22" s="1"/>
  <c r="CD27" i="22" s="1"/>
  <c r="CE27" i="22" s="1"/>
  <c r="CF27" i="22" s="1"/>
  <c r="CG27" i="22" s="1"/>
  <c r="CH27" i="22" s="1"/>
  <c r="CI27" i="22" s="1"/>
  <c r="CJ27" i="22" s="1"/>
  <c r="CK27" i="22" s="1"/>
  <c r="CL27" i="22" s="1"/>
  <c r="CM27" i="22" s="1"/>
  <c r="CN27" i="22" s="1"/>
  <c r="CO27" i="22" s="1"/>
  <c r="CP27" i="22" s="1"/>
  <c r="CQ27" i="22" s="1"/>
  <c r="CR27" i="22" s="1"/>
  <c r="CS27" i="22" s="1"/>
  <c r="CT27" i="22" s="1"/>
  <c r="CU27" i="22" s="1"/>
  <c r="CV27" i="22" s="1"/>
  <c r="CW27" i="22" s="1"/>
  <c r="F28" i="22"/>
  <c r="G28" i="22" s="1"/>
  <c r="H28" i="22" s="1"/>
  <c r="I28" i="22" s="1"/>
  <c r="J28" i="22" s="1"/>
  <c r="K28" i="22" s="1"/>
  <c r="L28" i="22" s="1"/>
  <c r="M28" i="22" s="1"/>
  <c r="N28" i="22" s="1"/>
  <c r="O28" i="22" s="1"/>
  <c r="P28" i="22" s="1"/>
  <c r="Q28" i="22" s="1"/>
  <c r="R28" i="22" s="1"/>
  <c r="S28" i="22" s="1"/>
  <c r="T28" i="22" s="1"/>
  <c r="U28" i="22" s="1"/>
  <c r="V28" i="22" s="1"/>
  <c r="W28" i="22" s="1"/>
  <c r="X28" i="22" s="1"/>
  <c r="Y28" i="22" s="1"/>
  <c r="Z28" i="22" s="1"/>
  <c r="AA28" i="22" s="1"/>
  <c r="AB28" i="22" s="1"/>
  <c r="AC28" i="22" s="1"/>
  <c r="AD28" i="22" s="1"/>
  <c r="AE28" i="22" s="1"/>
  <c r="AF28" i="22" s="1"/>
  <c r="AG28" i="22" s="1"/>
  <c r="AH28" i="22" s="1"/>
  <c r="AI28" i="22" s="1"/>
  <c r="AJ28" i="22" s="1"/>
  <c r="AK28" i="22" s="1"/>
  <c r="AL28" i="22" s="1"/>
  <c r="AM28" i="22" s="1"/>
  <c r="AN28" i="22" s="1"/>
  <c r="AO28" i="22" s="1"/>
  <c r="AP28" i="22" s="1"/>
  <c r="AQ28" i="22" s="1"/>
  <c r="AR28" i="22" s="1"/>
  <c r="AS28" i="22" s="1"/>
  <c r="AT28" i="22" s="1"/>
  <c r="AU28" i="22" s="1"/>
  <c r="AV28" i="22" s="1"/>
  <c r="AW28" i="22" s="1"/>
  <c r="AX28" i="22" s="1"/>
  <c r="AY28" i="22" s="1"/>
  <c r="AZ28" i="22" s="1"/>
  <c r="BA28" i="22" s="1"/>
  <c r="BB28" i="22" s="1"/>
  <c r="BC28" i="22" s="1"/>
  <c r="BD28" i="22" s="1"/>
  <c r="BE28" i="22" s="1"/>
  <c r="BF28" i="22" s="1"/>
  <c r="BG28" i="22" s="1"/>
  <c r="BH28" i="22" s="1"/>
  <c r="BI28" i="22" s="1"/>
  <c r="BJ28" i="22" s="1"/>
  <c r="BK28" i="22" s="1"/>
  <c r="BL28" i="22" s="1"/>
  <c r="BM28" i="22" s="1"/>
  <c r="BN28" i="22" s="1"/>
  <c r="BO28" i="22" s="1"/>
  <c r="BP28" i="22" s="1"/>
  <c r="BQ28" i="22" s="1"/>
  <c r="BR28" i="22" s="1"/>
  <c r="BS28" i="22" s="1"/>
  <c r="BT28" i="22" s="1"/>
  <c r="BU28" i="22" s="1"/>
  <c r="BV28" i="22" s="1"/>
  <c r="BW28" i="22" s="1"/>
  <c r="BX28" i="22" s="1"/>
  <c r="BY28" i="22" s="1"/>
  <c r="BZ28" i="22" s="1"/>
  <c r="CA28" i="22" s="1"/>
  <c r="CB28" i="22" s="1"/>
  <c r="CC28" i="22" s="1"/>
  <c r="CD28" i="22" s="1"/>
  <c r="CE28" i="22" s="1"/>
  <c r="CF28" i="22" s="1"/>
  <c r="CG28" i="22" s="1"/>
  <c r="CH28" i="22" s="1"/>
  <c r="CI28" i="22" s="1"/>
  <c r="CJ28" i="22" s="1"/>
  <c r="CK28" i="22" s="1"/>
  <c r="CL28" i="22" s="1"/>
  <c r="CM28" i="22" s="1"/>
  <c r="CN28" i="22" s="1"/>
  <c r="CO28" i="22" s="1"/>
  <c r="CP28" i="22" s="1"/>
  <c r="CQ28" i="22" s="1"/>
  <c r="CR28" i="22" s="1"/>
  <c r="CS28" i="22" s="1"/>
  <c r="CT28" i="22" s="1"/>
  <c r="CU28" i="22" s="1"/>
  <c r="CV28" i="22" s="1"/>
  <c r="CW28" i="22" s="1"/>
  <c r="F29" i="22"/>
  <c r="G29" i="22" s="1"/>
  <c r="H29" i="22" s="1"/>
  <c r="I29" i="22" s="1"/>
  <c r="J29" i="22" s="1"/>
  <c r="K29" i="22" s="1"/>
  <c r="L29" i="22" s="1"/>
  <c r="M29" i="22" s="1"/>
  <c r="N29" i="22" s="1"/>
  <c r="O29" i="22" s="1"/>
  <c r="P29" i="22" s="1"/>
  <c r="Q29" i="22" s="1"/>
  <c r="R29" i="22" s="1"/>
  <c r="S29" i="22" s="1"/>
  <c r="T29" i="22" s="1"/>
  <c r="U29" i="22" s="1"/>
  <c r="V29" i="22" s="1"/>
  <c r="W29" i="22" s="1"/>
  <c r="X29" i="22" s="1"/>
  <c r="Y29" i="22" s="1"/>
  <c r="Z29" i="22" s="1"/>
  <c r="AA29" i="22" s="1"/>
  <c r="AB29" i="22" s="1"/>
  <c r="AC29" i="22" s="1"/>
  <c r="AD29" i="22" s="1"/>
  <c r="AE29" i="22" s="1"/>
  <c r="AF29" i="22" s="1"/>
  <c r="AG29" i="22" s="1"/>
  <c r="AH29" i="22" s="1"/>
  <c r="AI29" i="22" s="1"/>
  <c r="AJ29" i="22" s="1"/>
  <c r="AK29" i="22" s="1"/>
  <c r="AL29" i="22" s="1"/>
  <c r="AM29" i="22" s="1"/>
  <c r="AN29" i="22" s="1"/>
  <c r="AO29" i="22" s="1"/>
  <c r="AP29" i="22" s="1"/>
  <c r="AQ29" i="22" s="1"/>
  <c r="AR29" i="22" s="1"/>
  <c r="AS29" i="22" s="1"/>
  <c r="AT29" i="22" s="1"/>
  <c r="AU29" i="22" s="1"/>
  <c r="AV29" i="22" s="1"/>
  <c r="AW29" i="22" s="1"/>
  <c r="AX29" i="22" s="1"/>
  <c r="AY29" i="22" s="1"/>
  <c r="AZ29" i="22" s="1"/>
  <c r="BA29" i="22" s="1"/>
  <c r="BB29" i="22" s="1"/>
  <c r="BC29" i="22" s="1"/>
  <c r="BD29" i="22" s="1"/>
  <c r="BE29" i="22" s="1"/>
  <c r="BF29" i="22" s="1"/>
  <c r="BG29" i="22" s="1"/>
  <c r="BH29" i="22" s="1"/>
  <c r="BI29" i="22" s="1"/>
  <c r="BJ29" i="22" s="1"/>
  <c r="BK29" i="22" s="1"/>
  <c r="BL29" i="22" s="1"/>
  <c r="BM29" i="22" s="1"/>
  <c r="BN29" i="22" s="1"/>
  <c r="BO29" i="22" s="1"/>
  <c r="BP29" i="22" s="1"/>
  <c r="BQ29" i="22" s="1"/>
  <c r="BR29" i="22" s="1"/>
  <c r="BS29" i="22" s="1"/>
  <c r="BT29" i="22" s="1"/>
  <c r="BU29" i="22" s="1"/>
  <c r="BV29" i="22" s="1"/>
  <c r="BW29" i="22" s="1"/>
  <c r="BX29" i="22" s="1"/>
  <c r="BY29" i="22" s="1"/>
  <c r="BZ29" i="22" s="1"/>
  <c r="CA29" i="22" s="1"/>
  <c r="CB29" i="22" s="1"/>
  <c r="CC29" i="22" s="1"/>
  <c r="CD29" i="22" s="1"/>
  <c r="CE29" i="22" s="1"/>
  <c r="CF29" i="22" s="1"/>
  <c r="CG29" i="22" s="1"/>
  <c r="CH29" i="22" s="1"/>
  <c r="CI29" i="22" s="1"/>
  <c r="CJ29" i="22" s="1"/>
  <c r="CK29" i="22" s="1"/>
  <c r="CL29" i="22" s="1"/>
  <c r="CM29" i="22" s="1"/>
  <c r="CN29" i="22" s="1"/>
  <c r="CO29" i="22" s="1"/>
  <c r="CP29" i="22" s="1"/>
  <c r="CQ29" i="22" s="1"/>
  <c r="CR29" i="22" s="1"/>
  <c r="CS29" i="22" s="1"/>
  <c r="CT29" i="22" s="1"/>
  <c r="CU29" i="22" s="1"/>
  <c r="CV29" i="22" s="1"/>
  <c r="CW29" i="22" s="1"/>
  <c r="F30" i="22"/>
  <c r="G30" i="22" s="1"/>
  <c r="H30" i="22" s="1"/>
  <c r="I30" i="22" s="1"/>
  <c r="J30" i="22" s="1"/>
  <c r="K30" i="22" s="1"/>
  <c r="L30" i="22" s="1"/>
  <c r="M30" i="22" s="1"/>
  <c r="N30" i="22" s="1"/>
  <c r="O30" i="22" s="1"/>
  <c r="P30" i="22" s="1"/>
  <c r="Q30" i="22" s="1"/>
  <c r="R30" i="22" s="1"/>
  <c r="S30" i="22" s="1"/>
  <c r="T30" i="22" s="1"/>
  <c r="U30" i="22" s="1"/>
  <c r="V30" i="22" s="1"/>
  <c r="W30" i="22" s="1"/>
  <c r="X30" i="22" s="1"/>
  <c r="Y30" i="22" s="1"/>
  <c r="Z30" i="22" s="1"/>
  <c r="AA30" i="22" s="1"/>
  <c r="AB30" i="22" s="1"/>
  <c r="AC30" i="22" s="1"/>
  <c r="AD30" i="22" s="1"/>
  <c r="AE30" i="22" s="1"/>
  <c r="AF30" i="22" s="1"/>
  <c r="AG30" i="22" s="1"/>
  <c r="AH30" i="22" s="1"/>
  <c r="AI30" i="22" s="1"/>
  <c r="AJ30" i="22" s="1"/>
  <c r="AK30" i="22" s="1"/>
  <c r="AL30" i="22" s="1"/>
  <c r="AM30" i="22" s="1"/>
  <c r="AN30" i="22" s="1"/>
  <c r="AO30" i="22" s="1"/>
  <c r="AP30" i="22" s="1"/>
  <c r="AQ30" i="22" s="1"/>
  <c r="AR30" i="22" s="1"/>
  <c r="AS30" i="22" s="1"/>
  <c r="AT30" i="22" s="1"/>
  <c r="AU30" i="22" s="1"/>
  <c r="AV30" i="22" s="1"/>
  <c r="AW30" i="22" s="1"/>
  <c r="AX30" i="22" s="1"/>
  <c r="AY30" i="22" s="1"/>
  <c r="AZ30" i="22" s="1"/>
  <c r="BA30" i="22" s="1"/>
  <c r="BB30" i="22" s="1"/>
  <c r="BC30" i="22" s="1"/>
  <c r="BD30" i="22" s="1"/>
  <c r="BE30" i="22" s="1"/>
  <c r="BF30" i="22" s="1"/>
  <c r="BG30" i="22" s="1"/>
  <c r="BH30" i="22" s="1"/>
  <c r="BI30" i="22" s="1"/>
  <c r="BJ30" i="22" s="1"/>
  <c r="BK30" i="22" s="1"/>
  <c r="BL30" i="22" s="1"/>
  <c r="BM30" i="22" s="1"/>
  <c r="BN30" i="22" s="1"/>
  <c r="BO30" i="22" s="1"/>
  <c r="BP30" i="22" s="1"/>
  <c r="BQ30" i="22" s="1"/>
  <c r="BR30" i="22" s="1"/>
  <c r="BS30" i="22" s="1"/>
  <c r="BT30" i="22" s="1"/>
  <c r="BU30" i="22" s="1"/>
  <c r="BV30" i="22" s="1"/>
  <c r="BW30" i="22" s="1"/>
  <c r="BX30" i="22" s="1"/>
  <c r="BY30" i="22" s="1"/>
  <c r="BZ30" i="22" s="1"/>
  <c r="CA30" i="22" s="1"/>
  <c r="CB30" i="22" s="1"/>
  <c r="CC30" i="22" s="1"/>
  <c r="CD30" i="22" s="1"/>
  <c r="CE30" i="22" s="1"/>
  <c r="CF30" i="22" s="1"/>
  <c r="CG30" i="22" s="1"/>
  <c r="CH30" i="22" s="1"/>
  <c r="CI30" i="22" s="1"/>
  <c r="CJ30" i="22" s="1"/>
  <c r="CK30" i="22" s="1"/>
  <c r="CL30" i="22" s="1"/>
  <c r="CM30" i="22" s="1"/>
  <c r="CN30" i="22" s="1"/>
  <c r="CO30" i="22" s="1"/>
  <c r="CP30" i="22" s="1"/>
  <c r="CQ30" i="22" s="1"/>
  <c r="CR30" i="22" s="1"/>
  <c r="CS30" i="22" s="1"/>
  <c r="CT30" i="22" s="1"/>
  <c r="CU30" i="22" s="1"/>
  <c r="CV30" i="22" s="1"/>
  <c r="CW30" i="22" s="1"/>
  <c r="F31" i="22"/>
  <c r="G31" i="22" s="1"/>
  <c r="H31" i="22" s="1"/>
  <c r="I31" i="22" s="1"/>
  <c r="J31" i="22" s="1"/>
  <c r="K31" i="22" s="1"/>
  <c r="L31" i="22" s="1"/>
  <c r="M31" i="22" s="1"/>
  <c r="N31" i="22" s="1"/>
  <c r="O31" i="22" s="1"/>
  <c r="P31" i="22" s="1"/>
  <c r="Q31" i="22" s="1"/>
  <c r="R31" i="22" s="1"/>
  <c r="S31" i="22" s="1"/>
  <c r="T31" i="22" s="1"/>
  <c r="U31" i="22" s="1"/>
  <c r="V31" i="22" s="1"/>
  <c r="W31" i="22" s="1"/>
  <c r="X31" i="22" s="1"/>
  <c r="Y31" i="22" s="1"/>
  <c r="Z31" i="22" s="1"/>
  <c r="AA31" i="22" s="1"/>
  <c r="AB31" i="22" s="1"/>
  <c r="AC31" i="22" s="1"/>
  <c r="AD31" i="22" s="1"/>
  <c r="AE31" i="22" s="1"/>
  <c r="AF31" i="22" s="1"/>
  <c r="AG31" i="22" s="1"/>
  <c r="AH31" i="22" s="1"/>
  <c r="AI31" i="22" s="1"/>
  <c r="AJ31" i="22" s="1"/>
  <c r="AK31" i="22" s="1"/>
  <c r="AL31" i="22" s="1"/>
  <c r="AM31" i="22" s="1"/>
  <c r="AN31" i="22" s="1"/>
  <c r="AO31" i="22" s="1"/>
  <c r="AP31" i="22" s="1"/>
  <c r="AQ31" i="22" s="1"/>
  <c r="AR31" i="22" s="1"/>
  <c r="AS31" i="22" s="1"/>
  <c r="AT31" i="22" s="1"/>
  <c r="AU31" i="22" s="1"/>
  <c r="AV31" i="22" s="1"/>
  <c r="AW31" i="22" s="1"/>
  <c r="AX31" i="22" s="1"/>
  <c r="AY31" i="22" s="1"/>
  <c r="AZ31" i="22" s="1"/>
  <c r="BA31" i="22" s="1"/>
  <c r="BB31" i="22" s="1"/>
  <c r="BC31" i="22" s="1"/>
  <c r="BD31" i="22" s="1"/>
  <c r="BE31" i="22" s="1"/>
  <c r="BF31" i="22" s="1"/>
  <c r="BG31" i="22" s="1"/>
  <c r="BH31" i="22" s="1"/>
  <c r="BI31" i="22" s="1"/>
  <c r="BJ31" i="22" s="1"/>
  <c r="BK31" i="22" s="1"/>
  <c r="BL31" i="22" s="1"/>
  <c r="BM31" i="22" s="1"/>
  <c r="BN31" i="22" s="1"/>
  <c r="BO31" i="22" s="1"/>
  <c r="BP31" i="22" s="1"/>
  <c r="BQ31" i="22" s="1"/>
  <c r="BR31" i="22" s="1"/>
  <c r="BS31" i="22" s="1"/>
  <c r="BT31" i="22" s="1"/>
  <c r="BU31" i="22" s="1"/>
  <c r="BV31" i="22" s="1"/>
  <c r="BW31" i="22" s="1"/>
  <c r="BX31" i="22" s="1"/>
  <c r="BY31" i="22" s="1"/>
  <c r="BZ31" i="22" s="1"/>
  <c r="CA31" i="22" s="1"/>
  <c r="CB31" i="22" s="1"/>
  <c r="CC31" i="22" s="1"/>
  <c r="CD31" i="22" s="1"/>
  <c r="CE31" i="22" s="1"/>
  <c r="CF31" i="22" s="1"/>
  <c r="CG31" i="22" s="1"/>
  <c r="CH31" i="22" s="1"/>
  <c r="CI31" i="22" s="1"/>
  <c r="CJ31" i="22" s="1"/>
  <c r="CK31" i="22" s="1"/>
  <c r="CL31" i="22" s="1"/>
  <c r="CM31" i="22" s="1"/>
  <c r="CN31" i="22" s="1"/>
  <c r="CO31" i="22" s="1"/>
  <c r="CP31" i="22" s="1"/>
  <c r="CQ31" i="22" s="1"/>
  <c r="CR31" i="22" s="1"/>
  <c r="CS31" i="22" s="1"/>
  <c r="CT31" i="22" s="1"/>
  <c r="CU31" i="22" s="1"/>
  <c r="CV31" i="22" s="1"/>
  <c r="CW31" i="22" s="1"/>
  <c r="F32" i="22"/>
  <c r="G32" i="22" s="1"/>
  <c r="H32" i="22" s="1"/>
  <c r="I32" i="22" s="1"/>
  <c r="J32" i="22" s="1"/>
  <c r="K32" i="22" s="1"/>
  <c r="L32" i="22" s="1"/>
  <c r="M32" i="22" s="1"/>
  <c r="N32" i="22" s="1"/>
  <c r="O32" i="22" s="1"/>
  <c r="P32" i="22" s="1"/>
  <c r="Q32" i="22" s="1"/>
  <c r="R32" i="22" s="1"/>
  <c r="S32" i="22" s="1"/>
  <c r="T32" i="22" s="1"/>
  <c r="U32" i="22" s="1"/>
  <c r="V32" i="22" s="1"/>
  <c r="W32" i="22" s="1"/>
  <c r="X32" i="22" s="1"/>
  <c r="Y32" i="22" s="1"/>
  <c r="Z32" i="22" s="1"/>
  <c r="AA32" i="22" s="1"/>
  <c r="AB32" i="22" s="1"/>
  <c r="AC32" i="22" s="1"/>
  <c r="AD32" i="22" s="1"/>
  <c r="AE32" i="22" s="1"/>
  <c r="AF32" i="22" s="1"/>
  <c r="AG32" i="22" s="1"/>
  <c r="AH32" i="22" s="1"/>
  <c r="AI32" i="22" s="1"/>
  <c r="AJ32" i="22" s="1"/>
  <c r="AK32" i="22" s="1"/>
  <c r="AL32" i="22" s="1"/>
  <c r="AM32" i="22" s="1"/>
  <c r="AN32" i="22" s="1"/>
  <c r="AO32" i="22" s="1"/>
  <c r="AP32" i="22" s="1"/>
  <c r="AQ32" i="22" s="1"/>
  <c r="AR32" i="22" s="1"/>
  <c r="AS32" i="22" s="1"/>
  <c r="AT32" i="22" s="1"/>
  <c r="AU32" i="22" s="1"/>
  <c r="AV32" i="22" s="1"/>
  <c r="AW32" i="22" s="1"/>
  <c r="AX32" i="22" s="1"/>
  <c r="AY32" i="22" s="1"/>
  <c r="AZ32" i="22" s="1"/>
  <c r="BA32" i="22" s="1"/>
  <c r="BB32" i="22" s="1"/>
  <c r="BC32" i="22" s="1"/>
  <c r="BD32" i="22" s="1"/>
  <c r="BE32" i="22" s="1"/>
  <c r="BF32" i="22" s="1"/>
  <c r="BG32" i="22" s="1"/>
  <c r="BH32" i="22" s="1"/>
  <c r="BI32" i="22" s="1"/>
  <c r="BJ32" i="22" s="1"/>
  <c r="BK32" i="22" s="1"/>
  <c r="BL32" i="22" s="1"/>
  <c r="BM32" i="22" s="1"/>
  <c r="BN32" i="22" s="1"/>
  <c r="BO32" i="22" s="1"/>
  <c r="BP32" i="22" s="1"/>
  <c r="BQ32" i="22" s="1"/>
  <c r="BR32" i="22" s="1"/>
  <c r="BS32" i="22" s="1"/>
  <c r="BT32" i="22" s="1"/>
  <c r="BU32" i="22" s="1"/>
  <c r="BV32" i="22" s="1"/>
  <c r="BW32" i="22" s="1"/>
  <c r="BX32" i="22" s="1"/>
  <c r="BY32" i="22" s="1"/>
  <c r="BZ32" i="22" s="1"/>
  <c r="CA32" i="22" s="1"/>
  <c r="CB32" i="22" s="1"/>
  <c r="CC32" i="22" s="1"/>
  <c r="CD32" i="22" s="1"/>
  <c r="CE32" i="22" s="1"/>
  <c r="CF32" i="22" s="1"/>
  <c r="CG32" i="22" s="1"/>
  <c r="CH32" i="22" s="1"/>
  <c r="CI32" i="22" s="1"/>
  <c r="CJ32" i="22" s="1"/>
  <c r="CK32" i="22" s="1"/>
  <c r="CL32" i="22" s="1"/>
  <c r="CM32" i="22" s="1"/>
  <c r="CN32" i="22" s="1"/>
  <c r="CO32" i="22" s="1"/>
  <c r="CP32" i="22" s="1"/>
  <c r="CQ32" i="22" s="1"/>
  <c r="CR32" i="22" s="1"/>
  <c r="CS32" i="22" s="1"/>
  <c r="CT32" i="22" s="1"/>
  <c r="CU32" i="22" s="1"/>
  <c r="CV32" i="22" s="1"/>
  <c r="CW32" i="22" s="1"/>
  <c r="F33" i="22"/>
  <c r="G33" i="22" s="1"/>
  <c r="H33" i="22" s="1"/>
  <c r="I33" i="22" s="1"/>
  <c r="J33" i="22" s="1"/>
  <c r="K33" i="22" s="1"/>
  <c r="L33" i="22" s="1"/>
  <c r="M33" i="22" s="1"/>
  <c r="N33" i="22" s="1"/>
  <c r="O33" i="22" s="1"/>
  <c r="P33" i="22" s="1"/>
  <c r="Q33" i="22" s="1"/>
  <c r="R33" i="22" s="1"/>
  <c r="S33" i="22" s="1"/>
  <c r="T33" i="22" s="1"/>
  <c r="U33" i="22" s="1"/>
  <c r="V33" i="22" s="1"/>
  <c r="W33" i="22" s="1"/>
  <c r="X33" i="22" s="1"/>
  <c r="Y33" i="22" s="1"/>
  <c r="Z33" i="22" s="1"/>
  <c r="AA33" i="22" s="1"/>
  <c r="AB33" i="22" s="1"/>
  <c r="AC33" i="22" s="1"/>
  <c r="AD33" i="22" s="1"/>
  <c r="AE33" i="22" s="1"/>
  <c r="AF33" i="22" s="1"/>
  <c r="AG33" i="22" s="1"/>
  <c r="AH33" i="22" s="1"/>
  <c r="AI33" i="22" s="1"/>
  <c r="AJ33" i="22" s="1"/>
  <c r="AK33" i="22" s="1"/>
  <c r="AL33" i="22" s="1"/>
  <c r="AM33" i="22" s="1"/>
  <c r="AN33" i="22" s="1"/>
  <c r="AO33" i="22" s="1"/>
  <c r="AP33" i="22" s="1"/>
  <c r="AQ33" i="22" s="1"/>
  <c r="AR33" i="22" s="1"/>
  <c r="AS33" i="22" s="1"/>
  <c r="AT33" i="22" s="1"/>
  <c r="AU33" i="22" s="1"/>
  <c r="AV33" i="22" s="1"/>
  <c r="AW33" i="22" s="1"/>
  <c r="AX33" i="22" s="1"/>
  <c r="AY33" i="22" s="1"/>
  <c r="AZ33" i="22" s="1"/>
  <c r="BA33" i="22" s="1"/>
  <c r="BB33" i="22" s="1"/>
  <c r="BC33" i="22" s="1"/>
  <c r="BD33" i="22" s="1"/>
  <c r="BE33" i="22" s="1"/>
  <c r="BF33" i="22" s="1"/>
  <c r="BG33" i="22" s="1"/>
  <c r="BH33" i="22" s="1"/>
  <c r="BI33" i="22" s="1"/>
  <c r="BJ33" i="22" s="1"/>
  <c r="BK33" i="22" s="1"/>
  <c r="BL33" i="22" s="1"/>
  <c r="BM33" i="22" s="1"/>
  <c r="BN33" i="22" s="1"/>
  <c r="BO33" i="22" s="1"/>
  <c r="BP33" i="22" s="1"/>
  <c r="BQ33" i="22" s="1"/>
  <c r="BR33" i="22" s="1"/>
  <c r="BS33" i="22" s="1"/>
  <c r="BT33" i="22" s="1"/>
  <c r="BU33" i="22" s="1"/>
  <c r="BV33" i="22" s="1"/>
  <c r="BW33" i="22" s="1"/>
  <c r="BX33" i="22" s="1"/>
  <c r="BY33" i="22" s="1"/>
  <c r="BZ33" i="22" s="1"/>
  <c r="CA33" i="22" s="1"/>
  <c r="CB33" i="22" s="1"/>
  <c r="CC33" i="22" s="1"/>
  <c r="CD33" i="22" s="1"/>
  <c r="CE33" i="22" s="1"/>
  <c r="CF33" i="22" s="1"/>
  <c r="CG33" i="22" s="1"/>
  <c r="CH33" i="22" s="1"/>
  <c r="CI33" i="22" s="1"/>
  <c r="CJ33" i="22" s="1"/>
  <c r="CK33" i="22" s="1"/>
  <c r="CL33" i="22" s="1"/>
  <c r="CM33" i="22" s="1"/>
  <c r="CN33" i="22" s="1"/>
  <c r="CO33" i="22" s="1"/>
  <c r="CP33" i="22" s="1"/>
  <c r="CQ33" i="22" s="1"/>
  <c r="CR33" i="22" s="1"/>
  <c r="CS33" i="22" s="1"/>
  <c r="CT33" i="22" s="1"/>
  <c r="CU33" i="22" s="1"/>
  <c r="CV33" i="22" s="1"/>
  <c r="CW33" i="22" s="1"/>
  <c r="F34" i="22"/>
  <c r="G34" i="22" s="1"/>
  <c r="H34" i="22" s="1"/>
  <c r="I34" i="22" s="1"/>
  <c r="J34" i="22" s="1"/>
  <c r="K34" i="22" s="1"/>
  <c r="L34" i="22" s="1"/>
  <c r="M34" i="22" s="1"/>
  <c r="N34" i="22" s="1"/>
  <c r="O34" i="22" s="1"/>
  <c r="P34" i="22" s="1"/>
  <c r="Q34" i="22" s="1"/>
  <c r="R34" i="22" s="1"/>
  <c r="S34" i="22" s="1"/>
  <c r="T34" i="22" s="1"/>
  <c r="U34" i="22" s="1"/>
  <c r="V34" i="22" s="1"/>
  <c r="W34" i="22" s="1"/>
  <c r="X34" i="22" s="1"/>
  <c r="Y34" i="22" s="1"/>
  <c r="Z34" i="22" s="1"/>
  <c r="AA34" i="22" s="1"/>
  <c r="AB34" i="22" s="1"/>
  <c r="AC34" i="22" s="1"/>
  <c r="AD34" i="22" s="1"/>
  <c r="AE34" i="22" s="1"/>
  <c r="AF34" i="22" s="1"/>
  <c r="AG34" i="22" s="1"/>
  <c r="AH34" i="22" s="1"/>
  <c r="AI34" i="22" s="1"/>
  <c r="AJ34" i="22" s="1"/>
  <c r="AK34" i="22" s="1"/>
  <c r="AL34" i="22" s="1"/>
  <c r="AM34" i="22" s="1"/>
  <c r="AN34" i="22" s="1"/>
  <c r="AO34" i="22" s="1"/>
  <c r="AP34" i="22" s="1"/>
  <c r="AQ34" i="22" s="1"/>
  <c r="AR34" i="22" s="1"/>
  <c r="AS34" i="22" s="1"/>
  <c r="AT34" i="22" s="1"/>
  <c r="AU34" i="22" s="1"/>
  <c r="AV34" i="22" s="1"/>
  <c r="AW34" i="22" s="1"/>
  <c r="AX34" i="22" s="1"/>
  <c r="AY34" i="22" s="1"/>
  <c r="AZ34" i="22" s="1"/>
  <c r="BA34" i="22" s="1"/>
  <c r="BB34" i="22" s="1"/>
  <c r="BC34" i="22" s="1"/>
  <c r="BD34" i="22" s="1"/>
  <c r="BE34" i="22" s="1"/>
  <c r="BF34" i="22" s="1"/>
  <c r="BG34" i="22" s="1"/>
  <c r="BH34" i="22" s="1"/>
  <c r="BI34" i="22" s="1"/>
  <c r="BJ34" i="22" s="1"/>
  <c r="BK34" i="22" s="1"/>
  <c r="BL34" i="22" s="1"/>
  <c r="BM34" i="22" s="1"/>
  <c r="BN34" i="22" s="1"/>
  <c r="BO34" i="22" s="1"/>
  <c r="BP34" i="22" s="1"/>
  <c r="BQ34" i="22" s="1"/>
  <c r="BR34" i="22" s="1"/>
  <c r="BS34" i="22" s="1"/>
  <c r="BT34" i="22" s="1"/>
  <c r="BU34" i="22" s="1"/>
  <c r="BV34" i="22" s="1"/>
  <c r="BW34" i="22" s="1"/>
  <c r="BX34" i="22" s="1"/>
  <c r="BY34" i="22" s="1"/>
  <c r="BZ34" i="22" s="1"/>
  <c r="CA34" i="22" s="1"/>
  <c r="CB34" i="22" s="1"/>
  <c r="CC34" i="22" s="1"/>
  <c r="CD34" i="22" s="1"/>
  <c r="CE34" i="22" s="1"/>
  <c r="CF34" i="22" s="1"/>
  <c r="CG34" i="22" s="1"/>
  <c r="CH34" i="22" s="1"/>
  <c r="CI34" i="22" s="1"/>
  <c r="CJ34" i="22" s="1"/>
  <c r="CK34" i="22" s="1"/>
  <c r="CL34" i="22" s="1"/>
  <c r="CM34" i="22" s="1"/>
  <c r="CN34" i="22" s="1"/>
  <c r="CO34" i="22" s="1"/>
  <c r="CP34" i="22" s="1"/>
  <c r="CQ34" i="22" s="1"/>
  <c r="CR34" i="22" s="1"/>
  <c r="CS34" i="22" s="1"/>
  <c r="CT34" i="22" s="1"/>
  <c r="CU34" i="22" s="1"/>
  <c r="CV34" i="22" s="1"/>
  <c r="CW34" i="22" s="1"/>
  <c r="F35" i="22"/>
  <c r="G35" i="22" s="1"/>
  <c r="H35" i="22" s="1"/>
  <c r="I35" i="22" s="1"/>
  <c r="J35" i="22" s="1"/>
  <c r="K35" i="22" s="1"/>
  <c r="L35" i="22" s="1"/>
  <c r="M35" i="22" s="1"/>
  <c r="N35" i="22" s="1"/>
  <c r="O35" i="22" s="1"/>
  <c r="P35" i="22" s="1"/>
  <c r="Q35" i="22" s="1"/>
  <c r="R35" i="22" s="1"/>
  <c r="S35" i="22" s="1"/>
  <c r="T35" i="22" s="1"/>
  <c r="U35" i="22" s="1"/>
  <c r="V35" i="22" s="1"/>
  <c r="W35" i="22" s="1"/>
  <c r="X35" i="22" s="1"/>
  <c r="Y35" i="22" s="1"/>
  <c r="Z35" i="22" s="1"/>
  <c r="AA35" i="22" s="1"/>
  <c r="AB35" i="22" s="1"/>
  <c r="AC35" i="22" s="1"/>
  <c r="AD35" i="22" s="1"/>
  <c r="AE35" i="22" s="1"/>
  <c r="AF35" i="22" s="1"/>
  <c r="AG35" i="22" s="1"/>
  <c r="AH35" i="22" s="1"/>
  <c r="AI35" i="22" s="1"/>
  <c r="AJ35" i="22" s="1"/>
  <c r="AK35" i="22" s="1"/>
  <c r="AL35" i="22" s="1"/>
  <c r="AM35" i="22" s="1"/>
  <c r="AN35" i="22" s="1"/>
  <c r="AO35" i="22" s="1"/>
  <c r="AP35" i="22" s="1"/>
  <c r="AQ35" i="22" s="1"/>
  <c r="AR35" i="22" s="1"/>
  <c r="AS35" i="22" s="1"/>
  <c r="AT35" i="22" s="1"/>
  <c r="AU35" i="22" s="1"/>
  <c r="AV35" i="22" s="1"/>
  <c r="AW35" i="22" s="1"/>
  <c r="AX35" i="22" s="1"/>
  <c r="AY35" i="22" s="1"/>
  <c r="AZ35" i="22" s="1"/>
  <c r="BA35" i="22" s="1"/>
  <c r="BB35" i="22" s="1"/>
  <c r="BC35" i="22" s="1"/>
  <c r="BD35" i="22" s="1"/>
  <c r="BE35" i="22" s="1"/>
  <c r="BF35" i="22" s="1"/>
  <c r="BG35" i="22" s="1"/>
  <c r="BH35" i="22" s="1"/>
  <c r="BI35" i="22" s="1"/>
  <c r="BJ35" i="22" s="1"/>
  <c r="BK35" i="22" s="1"/>
  <c r="BL35" i="22" s="1"/>
  <c r="BM35" i="22" s="1"/>
  <c r="BN35" i="22" s="1"/>
  <c r="BO35" i="22" s="1"/>
  <c r="BP35" i="22" s="1"/>
  <c r="BQ35" i="22" s="1"/>
  <c r="BR35" i="22" s="1"/>
  <c r="BS35" i="22" s="1"/>
  <c r="BT35" i="22" s="1"/>
  <c r="BU35" i="22" s="1"/>
  <c r="BV35" i="22" s="1"/>
  <c r="BW35" i="22" s="1"/>
  <c r="BX35" i="22" s="1"/>
  <c r="BY35" i="22" s="1"/>
  <c r="BZ35" i="22" s="1"/>
  <c r="CA35" i="22" s="1"/>
  <c r="CB35" i="22" s="1"/>
  <c r="CC35" i="22" s="1"/>
  <c r="CD35" i="22" s="1"/>
  <c r="CE35" i="22" s="1"/>
  <c r="CF35" i="22" s="1"/>
  <c r="CG35" i="22" s="1"/>
  <c r="CH35" i="22" s="1"/>
  <c r="CI35" i="22" s="1"/>
  <c r="CJ35" i="22" s="1"/>
  <c r="CK35" i="22" s="1"/>
  <c r="CL35" i="22" s="1"/>
  <c r="CM35" i="22" s="1"/>
  <c r="CN35" i="22" s="1"/>
  <c r="CO35" i="22" s="1"/>
  <c r="CP35" i="22" s="1"/>
  <c r="CQ35" i="22" s="1"/>
  <c r="CR35" i="22" s="1"/>
  <c r="CS35" i="22" s="1"/>
  <c r="CT35" i="22" s="1"/>
  <c r="CU35" i="22" s="1"/>
  <c r="CV35" i="22" s="1"/>
  <c r="CW35" i="22" s="1"/>
  <c r="F36" i="22"/>
  <c r="G36" i="22" s="1"/>
  <c r="H36" i="22" s="1"/>
  <c r="I36" i="22" s="1"/>
  <c r="J36" i="22" s="1"/>
  <c r="K36" i="22" s="1"/>
  <c r="L36" i="22" s="1"/>
  <c r="M36" i="22" s="1"/>
  <c r="N36" i="22" s="1"/>
  <c r="O36" i="22" s="1"/>
  <c r="P36" i="22" s="1"/>
  <c r="Q36" i="22" s="1"/>
  <c r="R36" i="22" s="1"/>
  <c r="S36" i="22" s="1"/>
  <c r="T36" i="22" s="1"/>
  <c r="U36" i="22" s="1"/>
  <c r="V36" i="22" s="1"/>
  <c r="W36" i="22" s="1"/>
  <c r="X36" i="22" s="1"/>
  <c r="Y36" i="22" s="1"/>
  <c r="Z36" i="22" s="1"/>
  <c r="AA36" i="22" s="1"/>
  <c r="AB36" i="22" s="1"/>
  <c r="AC36" i="22" s="1"/>
  <c r="AD36" i="22" s="1"/>
  <c r="AE36" i="22" s="1"/>
  <c r="AF36" i="22" s="1"/>
  <c r="AG36" i="22" s="1"/>
  <c r="AH36" i="22" s="1"/>
  <c r="AI36" i="22" s="1"/>
  <c r="AJ36" i="22" s="1"/>
  <c r="AK36" i="22" s="1"/>
  <c r="AL36" i="22" s="1"/>
  <c r="AM36" i="22" s="1"/>
  <c r="AN36" i="22" s="1"/>
  <c r="AO36" i="22" s="1"/>
  <c r="AP36" i="22" s="1"/>
  <c r="AQ36" i="22" s="1"/>
  <c r="AR36" i="22" s="1"/>
  <c r="AS36" i="22" s="1"/>
  <c r="AT36" i="22" s="1"/>
  <c r="AU36" i="22" s="1"/>
  <c r="AV36" i="22" s="1"/>
  <c r="AW36" i="22" s="1"/>
  <c r="AX36" i="22" s="1"/>
  <c r="AY36" i="22" s="1"/>
  <c r="AZ36" i="22" s="1"/>
  <c r="BA36" i="22" s="1"/>
  <c r="BB36" i="22" s="1"/>
  <c r="BC36" i="22" s="1"/>
  <c r="BD36" i="22" s="1"/>
  <c r="BE36" i="22" s="1"/>
  <c r="BF36" i="22" s="1"/>
  <c r="BG36" i="22" s="1"/>
  <c r="BH36" i="22" s="1"/>
  <c r="BI36" i="22" s="1"/>
  <c r="BJ36" i="22" s="1"/>
  <c r="BK36" i="22" s="1"/>
  <c r="BL36" i="22" s="1"/>
  <c r="BM36" i="22" s="1"/>
  <c r="BN36" i="22" s="1"/>
  <c r="BO36" i="22" s="1"/>
  <c r="BP36" i="22" s="1"/>
  <c r="BQ36" i="22" s="1"/>
  <c r="BR36" i="22" s="1"/>
  <c r="BS36" i="22" s="1"/>
  <c r="BT36" i="22" s="1"/>
  <c r="BU36" i="22" s="1"/>
  <c r="BV36" i="22" s="1"/>
  <c r="BW36" i="22" s="1"/>
  <c r="BX36" i="22" s="1"/>
  <c r="BY36" i="22" s="1"/>
  <c r="BZ36" i="22" s="1"/>
  <c r="CA36" i="22" s="1"/>
  <c r="CB36" i="22" s="1"/>
  <c r="CC36" i="22" s="1"/>
  <c r="CD36" i="22" s="1"/>
  <c r="CE36" i="22" s="1"/>
  <c r="CF36" i="22" s="1"/>
  <c r="CG36" i="22" s="1"/>
  <c r="CH36" i="22" s="1"/>
  <c r="CI36" i="22" s="1"/>
  <c r="CJ36" i="22" s="1"/>
  <c r="CK36" i="22" s="1"/>
  <c r="CL36" i="22" s="1"/>
  <c r="CM36" i="22" s="1"/>
  <c r="CN36" i="22" s="1"/>
  <c r="CO36" i="22" s="1"/>
  <c r="CP36" i="22" s="1"/>
  <c r="CQ36" i="22" s="1"/>
  <c r="CR36" i="22" s="1"/>
  <c r="CS36" i="22" s="1"/>
  <c r="CT36" i="22" s="1"/>
  <c r="CU36" i="22" s="1"/>
  <c r="CV36" i="22" s="1"/>
  <c r="CW36" i="22" s="1"/>
  <c r="F37" i="22"/>
  <c r="G37" i="22" s="1"/>
  <c r="H37" i="22" s="1"/>
  <c r="I37" i="22" s="1"/>
  <c r="J37" i="22" s="1"/>
  <c r="K37" i="22" s="1"/>
  <c r="L37" i="22" s="1"/>
  <c r="M37" i="22" s="1"/>
  <c r="N37" i="22" s="1"/>
  <c r="O37" i="22" s="1"/>
  <c r="P37" i="22" s="1"/>
  <c r="Q37" i="22" s="1"/>
  <c r="R37" i="22" s="1"/>
  <c r="S37" i="22" s="1"/>
  <c r="T37" i="22" s="1"/>
  <c r="U37" i="22" s="1"/>
  <c r="V37" i="22" s="1"/>
  <c r="W37" i="22" s="1"/>
  <c r="X37" i="22" s="1"/>
  <c r="Y37" i="22" s="1"/>
  <c r="Z37" i="22" s="1"/>
  <c r="AA37" i="22" s="1"/>
  <c r="AB37" i="22" s="1"/>
  <c r="AC37" i="22" s="1"/>
  <c r="AD37" i="22" s="1"/>
  <c r="AE37" i="22" s="1"/>
  <c r="AF37" i="22" s="1"/>
  <c r="AG37" i="22" s="1"/>
  <c r="AH37" i="22" s="1"/>
  <c r="AI37" i="22" s="1"/>
  <c r="AJ37" i="22" s="1"/>
  <c r="AK37" i="22" s="1"/>
  <c r="AL37" i="22" s="1"/>
  <c r="AM37" i="22" s="1"/>
  <c r="AN37" i="22" s="1"/>
  <c r="AO37" i="22" s="1"/>
  <c r="AP37" i="22" s="1"/>
  <c r="AQ37" i="22" s="1"/>
  <c r="AR37" i="22" s="1"/>
  <c r="AS37" i="22" s="1"/>
  <c r="AT37" i="22" s="1"/>
  <c r="AU37" i="22" s="1"/>
  <c r="AV37" i="22" s="1"/>
  <c r="AW37" i="22" s="1"/>
  <c r="AX37" i="22" s="1"/>
  <c r="AY37" i="22" s="1"/>
  <c r="AZ37" i="22" s="1"/>
  <c r="BA37" i="22" s="1"/>
  <c r="BB37" i="22" s="1"/>
  <c r="BC37" i="22" s="1"/>
  <c r="BD37" i="22" s="1"/>
  <c r="BE37" i="22" s="1"/>
  <c r="BF37" i="22" s="1"/>
  <c r="BG37" i="22" s="1"/>
  <c r="BH37" i="22" s="1"/>
  <c r="BI37" i="22" s="1"/>
  <c r="BJ37" i="22" s="1"/>
  <c r="BK37" i="22" s="1"/>
  <c r="BL37" i="22" s="1"/>
  <c r="BM37" i="22" s="1"/>
  <c r="BN37" i="22" s="1"/>
  <c r="BO37" i="22" s="1"/>
  <c r="BP37" i="22" s="1"/>
  <c r="BQ37" i="22" s="1"/>
  <c r="BR37" i="22" s="1"/>
  <c r="BS37" i="22" s="1"/>
  <c r="BT37" i="22" s="1"/>
  <c r="BU37" i="22" s="1"/>
  <c r="BV37" i="22" s="1"/>
  <c r="BW37" i="22" s="1"/>
  <c r="BX37" i="22" s="1"/>
  <c r="BY37" i="22" s="1"/>
  <c r="BZ37" i="22" s="1"/>
  <c r="CA37" i="22" s="1"/>
  <c r="CB37" i="22" s="1"/>
  <c r="CC37" i="22" s="1"/>
  <c r="CD37" i="22" s="1"/>
  <c r="CE37" i="22" s="1"/>
  <c r="CF37" i="22" s="1"/>
  <c r="CG37" i="22" s="1"/>
  <c r="CH37" i="22" s="1"/>
  <c r="CI37" i="22" s="1"/>
  <c r="CJ37" i="22" s="1"/>
  <c r="CK37" i="22" s="1"/>
  <c r="CL37" i="22" s="1"/>
  <c r="CM37" i="22" s="1"/>
  <c r="CN37" i="22" s="1"/>
  <c r="CO37" i="22" s="1"/>
  <c r="CP37" i="22" s="1"/>
  <c r="CQ37" i="22" s="1"/>
  <c r="CR37" i="22" s="1"/>
  <c r="CS37" i="22" s="1"/>
  <c r="CT37" i="22" s="1"/>
  <c r="CU37" i="22" s="1"/>
  <c r="F38" i="22"/>
  <c r="G38" i="22" s="1"/>
  <c r="H38" i="22" s="1"/>
  <c r="I38" i="22" s="1"/>
  <c r="J38" i="22" s="1"/>
  <c r="K38" i="22" s="1"/>
  <c r="L38" i="22" s="1"/>
  <c r="M38" i="22" s="1"/>
  <c r="N38" i="22" s="1"/>
  <c r="O38" i="22" s="1"/>
  <c r="P38" i="22" s="1"/>
  <c r="Q38" i="22" s="1"/>
  <c r="R38" i="22" s="1"/>
  <c r="S38" i="22" s="1"/>
  <c r="T38" i="22" s="1"/>
  <c r="U38" i="22" s="1"/>
  <c r="V38" i="22" s="1"/>
  <c r="W38" i="22" s="1"/>
  <c r="X38" i="22" s="1"/>
  <c r="Y38" i="22" s="1"/>
  <c r="Z38" i="22" s="1"/>
  <c r="AA38" i="22" s="1"/>
  <c r="AB38" i="22" s="1"/>
  <c r="AC38" i="22" s="1"/>
  <c r="AD38" i="22" s="1"/>
  <c r="AE38" i="22" s="1"/>
  <c r="AF38" i="22" s="1"/>
  <c r="AG38" i="22" s="1"/>
  <c r="AH38" i="22" s="1"/>
  <c r="AI38" i="22" s="1"/>
  <c r="AJ38" i="22" s="1"/>
  <c r="AK38" i="22" s="1"/>
  <c r="AL38" i="22" s="1"/>
  <c r="AM38" i="22" s="1"/>
  <c r="AN38" i="22" s="1"/>
  <c r="AO38" i="22" s="1"/>
  <c r="AP38" i="22" s="1"/>
  <c r="AQ38" i="22" s="1"/>
  <c r="AR38" i="22" s="1"/>
  <c r="AS38" i="22" s="1"/>
  <c r="AT38" i="22" s="1"/>
  <c r="AU38" i="22" s="1"/>
  <c r="AV38" i="22" s="1"/>
  <c r="AW38" i="22" s="1"/>
  <c r="AX38" i="22" s="1"/>
  <c r="AY38" i="22" s="1"/>
  <c r="AZ38" i="22" s="1"/>
  <c r="BA38" i="22" s="1"/>
  <c r="BB38" i="22" s="1"/>
  <c r="BC38" i="22" s="1"/>
  <c r="BD38" i="22" s="1"/>
  <c r="BE38" i="22" s="1"/>
  <c r="BF38" i="22" s="1"/>
  <c r="BG38" i="22" s="1"/>
  <c r="BH38" i="22" s="1"/>
  <c r="BI38" i="22" s="1"/>
  <c r="BJ38" i="22" s="1"/>
  <c r="BK38" i="22" s="1"/>
  <c r="BL38" i="22" s="1"/>
  <c r="BM38" i="22" s="1"/>
  <c r="BN38" i="22" s="1"/>
  <c r="BO38" i="22" s="1"/>
  <c r="BP38" i="22" s="1"/>
  <c r="BQ38" i="22" s="1"/>
  <c r="BR38" i="22" s="1"/>
  <c r="BS38" i="22" s="1"/>
  <c r="BT38" i="22" s="1"/>
  <c r="BU38" i="22" s="1"/>
  <c r="BV38" i="22" s="1"/>
  <c r="BW38" i="22" s="1"/>
  <c r="BX38" i="22" s="1"/>
  <c r="BY38" i="22" s="1"/>
  <c r="BZ38" i="22" s="1"/>
  <c r="CA38" i="22" s="1"/>
  <c r="CB38" i="22" s="1"/>
  <c r="CC38" i="22" s="1"/>
  <c r="CD38" i="22" s="1"/>
  <c r="CE38" i="22" s="1"/>
  <c r="CF38" i="22" s="1"/>
  <c r="CG38" i="22" s="1"/>
  <c r="CH38" i="22" s="1"/>
  <c r="CI38" i="22" s="1"/>
  <c r="CJ38" i="22" s="1"/>
  <c r="CK38" i="22" s="1"/>
  <c r="CL38" i="22" s="1"/>
  <c r="CM38" i="22" s="1"/>
  <c r="CN38" i="22" s="1"/>
  <c r="CO38" i="22" s="1"/>
  <c r="CP38" i="22" s="1"/>
  <c r="CQ38" i="22" s="1"/>
  <c r="CR38" i="22" s="1"/>
  <c r="CS38" i="22" s="1"/>
  <c r="CT38" i="22" s="1"/>
  <c r="CU38" i="22" s="1"/>
  <c r="CV38" i="22" s="1"/>
  <c r="CW38" i="22" s="1"/>
  <c r="F39" i="22"/>
  <c r="G39" i="22" s="1"/>
  <c r="H39" i="22" s="1"/>
  <c r="I39" i="22" s="1"/>
  <c r="J39" i="22" s="1"/>
  <c r="K39" i="22" s="1"/>
  <c r="L39" i="22" s="1"/>
  <c r="M39" i="22" s="1"/>
  <c r="N39" i="22" s="1"/>
  <c r="O39" i="22" s="1"/>
  <c r="P39" i="22" s="1"/>
  <c r="Q39" i="22" s="1"/>
  <c r="R39" i="22" s="1"/>
  <c r="S39" i="22" s="1"/>
  <c r="T39" i="22" s="1"/>
  <c r="U39" i="22" s="1"/>
  <c r="V39" i="22" s="1"/>
  <c r="W39" i="22" s="1"/>
  <c r="X39" i="22" s="1"/>
  <c r="Y39" i="22" s="1"/>
  <c r="Z39" i="22" s="1"/>
  <c r="AA39" i="22" s="1"/>
  <c r="AB39" i="22" s="1"/>
  <c r="AC39" i="22" s="1"/>
  <c r="AD39" i="22" s="1"/>
  <c r="AE39" i="22" s="1"/>
  <c r="AF39" i="22" s="1"/>
  <c r="AG39" i="22" s="1"/>
  <c r="AH39" i="22" s="1"/>
  <c r="AI39" i="22" s="1"/>
  <c r="AJ39" i="22" s="1"/>
  <c r="AK39" i="22" s="1"/>
  <c r="AL39" i="22" s="1"/>
  <c r="AM39" i="22" s="1"/>
  <c r="AN39" i="22" s="1"/>
  <c r="AO39" i="22" s="1"/>
  <c r="AP39" i="22" s="1"/>
  <c r="AQ39" i="22" s="1"/>
  <c r="AR39" i="22" s="1"/>
  <c r="AS39" i="22" s="1"/>
  <c r="AT39" i="22" s="1"/>
  <c r="AU39" i="22" s="1"/>
  <c r="AV39" i="22" s="1"/>
  <c r="AW39" i="22" s="1"/>
  <c r="AX39" i="22" s="1"/>
  <c r="AY39" i="22" s="1"/>
  <c r="AZ39" i="22" s="1"/>
  <c r="BA39" i="22" s="1"/>
  <c r="BB39" i="22" s="1"/>
  <c r="BC39" i="22" s="1"/>
  <c r="BD39" i="22" s="1"/>
  <c r="BE39" i="22" s="1"/>
  <c r="BF39" i="22" s="1"/>
  <c r="BG39" i="22" s="1"/>
  <c r="BH39" i="22" s="1"/>
  <c r="BI39" i="22" s="1"/>
  <c r="BJ39" i="22" s="1"/>
  <c r="BK39" i="22" s="1"/>
  <c r="BL39" i="22" s="1"/>
  <c r="BM39" i="22" s="1"/>
  <c r="BN39" i="22" s="1"/>
  <c r="BO39" i="22" s="1"/>
  <c r="BP39" i="22" s="1"/>
  <c r="BQ39" i="22" s="1"/>
  <c r="BR39" i="22" s="1"/>
  <c r="BS39" i="22" s="1"/>
  <c r="BT39" i="22" s="1"/>
  <c r="BU39" i="22" s="1"/>
  <c r="BV39" i="22" s="1"/>
  <c r="BW39" i="22" s="1"/>
  <c r="BX39" i="22" s="1"/>
  <c r="BY39" i="22" s="1"/>
  <c r="BZ39" i="22" s="1"/>
  <c r="CA39" i="22" s="1"/>
  <c r="CB39" i="22" s="1"/>
  <c r="CC39" i="22" s="1"/>
  <c r="CD39" i="22" s="1"/>
  <c r="CE39" i="22" s="1"/>
  <c r="CF39" i="22" s="1"/>
  <c r="CG39" i="22" s="1"/>
  <c r="CH39" i="22" s="1"/>
  <c r="CI39" i="22" s="1"/>
  <c r="CJ39" i="22" s="1"/>
  <c r="CK39" i="22" s="1"/>
  <c r="CL39" i="22" s="1"/>
  <c r="CM39" i="22" s="1"/>
  <c r="CN39" i="22" s="1"/>
  <c r="CO39" i="22" s="1"/>
  <c r="CP39" i="22" s="1"/>
  <c r="CQ39" i="22" s="1"/>
  <c r="CR39" i="22" s="1"/>
  <c r="CS39" i="22" s="1"/>
  <c r="CT39" i="22" s="1"/>
  <c r="CU39" i="22" s="1"/>
  <c r="CV39" i="22" s="1"/>
  <c r="CW39" i="22" s="1"/>
  <c r="F40" i="22"/>
  <c r="G40" i="22" s="1"/>
  <c r="H40" i="22" s="1"/>
  <c r="I40" i="22" s="1"/>
  <c r="J40" i="22" s="1"/>
  <c r="K40" i="22" s="1"/>
  <c r="L40" i="22" s="1"/>
  <c r="M40" i="22" s="1"/>
  <c r="N40" i="22" s="1"/>
  <c r="O40" i="22" s="1"/>
  <c r="P40" i="22" s="1"/>
  <c r="Q40" i="22" s="1"/>
  <c r="R40" i="22" s="1"/>
  <c r="S40" i="22" s="1"/>
  <c r="T40" i="22" s="1"/>
  <c r="U40" i="22" s="1"/>
  <c r="V40" i="22" s="1"/>
  <c r="W40" i="22" s="1"/>
  <c r="X40" i="22" s="1"/>
  <c r="Y40" i="22" s="1"/>
  <c r="Z40" i="22" s="1"/>
  <c r="AA40" i="22" s="1"/>
  <c r="AB40" i="22" s="1"/>
  <c r="AC40" i="22" s="1"/>
  <c r="AD40" i="22" s="1"/>
  <c r="AE40" i="22" s="1"/>
  <c r="AF40" i="22" s="1"/>
  <c r="AG40" i="22" s="1"/>
  <c r="AH40" i="22" s="1"/>
  <c r="AI40" i="22" s="1"/>
  <c r="AJ40" i="22" s="1"/>
  <c r="AK40" i="22" s="1"/>
  <c r="AL40" i="22" s="1"/>
  <c r="AM40" i="22" s="1"/>
  <c r="AN40" i="22" s="1"/>
  <c r="AO40" i="22" s="1"/>
  <c r="AP40" i="22" s="1"/>
  <c r="AQ40" i="22" s="1"/>
  <c r="AR40" i="22" s="1"/>
  <c r="AS40" i="22" s="1"/>
  <c r="AT40" i="22" s="1"/>
  <c r="AU40" i="22" s="1"/>
  <c r="AV40" i="22" s="1"/>
  <c r="AW40" i="22" s="1"/>
  <c r="AX40" i="22" s="1"/>
  <c r="AY40" i="22" s="1"/>
  <c r="AZ40" i="22" s="1"/>
  <c r="BA40" i="22" s="1"/>
  <c r="BB40" i="22" s="1"/>
  <c r="BC40" i="22" s="1"/>
  <c r="BD40" i="22" s="1"/>
  <c r="BE40" i="22" s="1"/>
  <c r="BF40" i="22" s="1"/>
  <c r="BG40" i="22" s="1"/>
  <c r="BH40" i="22" s="1"/>
  <c r="BI40" i="22" s="1"/>
  <c r="BJ40" i="22" s="1"/>
  <c r="BK40" i="22" s="1"/>
  <c r="BL40" i="22" s="1"/>
  <c r="BM40" i="22" s="1"/>
  <c r="BN40" i="22" s="1"/>
  <c r="BO40" i="22" s="1"/>
  <c r="BP40" i="22" s="1"/>
  <c r="BQ40" i="22" s="1"/>
  <c r="BR40" i="22" s="1"/>
  <c r="BS40" i="22" s="1"/>
  <c r="BT40" i="22" s="1"/>
  <c r="BU40" i="22" s="1"/>
  <c r="BV40" i="22" s="1"/>
  <c r="BW40" i="22" s="1"/>
  <c r="BX40" i="22" s="1"/>
  <c r="BY40" i="22" s="1"/>
  <c r="BZ40" i="22" s="1"/>
  <c r="CA40" i="22" s="1"/>
  <c r="CB40" i="22" s="1"/>
  <c r="CC40" i="22" s="1"/>
  <c r="CD40" i="22" s="1"/>
  <c r="CE40" i="22" s="1"/>
  <c r="CF40" i="22" s="1"/>
  <c r="CG40" i="22" s="1"/>
  <c r="CH40" i="22" s="1"/>
  <c r="CI40" i="22" s="1"/>
  <c r="CJ40" i="22" s="1"/>
  <c r="CK40" i="22" s="1"/>
  <c r="CL40" i="22" s="1"/>
  <c r="CM40" i="22" s="1"/>
  <c r="CN40" i="22" s="1"/>
  <c r="CO40" i="22" s="1"/>
  <c r="CP40" i="22" s="1"/>
  <c r="CQ40" i="22" s="1"/>
  <c r="CR40" i="22" s="1"/>
  <c r="CS40" i="22" s="1"/>
  <c r="CT40" i="22" s="1"/>
  <c r="CU40" i="22" s="1"/>
  <c r="F41" i="22"/>
  <c r="G41" i="22" s="1"/>
  <c r="H41" i="22" s="1"/>
  <c r="I41" i="22" s="1"/>
  <c r="J41" i="22" s="1"/>
  <c r="K41" i="22" s="1"/>
  <c r="L41" i="22" s="1"/>
  <c r="M41" i="22" s="1"/>
  <c r="N41" i="22" s="1"/>
  <c r="O41" i="22" s="1"/>
  <c r="P41" i="22" s="1"/>
  <c r="Q41" i="22" s="1"/>
  <c r="R41" i="22" s="1"/>
  <c r="S41" i="22" s="1"/>
  <c r="T41" i="22" s="1"/>
  <c r="U41" i="22" s="1"/>
  <c r="V41" i="22" s="1"/>
  <c r="W41" i="22" s="1"/>
  <c r="X41" i="22" s="1"/>
  <c r="Y41" i="22" s="1"/>
  <c r="Z41" i="22" s="1"/>
  <c r="AA41" i="22" s="1"/>
  <c r="AB41" i="22" s="1"/>
  <c r="AC41" i="22" s="1"/>
  <c r="AD41" i="22" s="1"/>
  <c r="AE41" i="22" s="1"/>
  <c r="AF41" i="22" s="1"/>
  <c r="AG41" i="22" s="1"/>
  <c r="AH41" i="22" s="1"/>
  <c r="AI41" i="22" s="1"/>
  <c r="AJ41" i="22" s="1"/>
  <c r="AK41" i="22" s="1"/>
  <c r="AL41" i="22" s="1"/>
  <c r="AM41" i="22" s="1"/>
  <c r="AN41" i="22" s="1"/>
  <c r="AO41" i="22" s="1"/>
  <c r="AP41" i="22" s="1"/>
  <c r="AQ41" i="22" s="1"/>
  <c r="AR41" i="22" s="1"/>
  <c r="AS41" i="22" s="1"/>
  <c r="AT41" i="22" s="1"/>
  <c r="AU41" i="22" s="1"/>
  <c r="AV41" i="22" s="1"/>
  <c r="AW41" i="22" s="1"/>
  <c r="AX41" i="22" s="1"/>
  <c r="AY41" i="22" s="1"/>
  <c r="AZ41" i="22" s="1"/>
  <c r="BA41" i="22" s="1"/>
  <c r="BB41" i="22" s="1"/>
  <c r="BC41" i="22" s="1"/>
  <c r="BD41" i="22" s="1"/>
  <c r="BE41" i="22" s="1"/>
  <c r="BF41" i="22" s="1"/>
  <c r="BG41" i="22" s="1"/>
  <c r="BH41" i="22" s="1"/>
  <c r="BI41" i="22" s="1"/>
  <c r="BJ41" i="22" s="1"/>
  <c r="BK41" i="22" s="1"/>
  <c r="BL41" i="22" s="1"/>
  <c r="BM41" i="22" s="1"/>
  <c r="BN41" i="22" s="1"/>
  <c r="BO41" i="22" s="1"/>
  <c r="BP41" i="22" s="1"/>
  <c r="BQ41" i="22" s="1"/>
  <c r="BR41" i="22" s="1"/>
  <c r="BS41" i="22" s="1"/>
  <c r="BT41" i="22" s="1"/>
  <c r="BU41" i="22" s="1"/>
  <c r="BV41" i="22" s="1"/>
  <c r="BW41" i="22" s="1"/>
  <c r="BX41" i="22" s="1"/>
  <c r="BY41" i="22" s="1"/>
  <c r="BZ41" i="22" s="1"/>
  <c r="CA41" i="22" s="1"/>
  <c r="CB41" i="22" s="1"/>
  <c r="CC41" i="22" s="1"/>
  <c r="CD41" i="22" s="1"/>
  <c r="CE41" i="22" s="1"/>
  <c r="CF41" i="22" s="1"/>
  <c r="CG41" i="22" s="1"/>
  <c r="CH41" i="22" s="1"/>
  <c r="CI41" i="22" s="1"/>
  <c r="CJ41" i="22" s="1"/>
  <c r="CK41" i="22" s="1"/>
  <c r="CL41" i="22" s="1"/>
  <c r="CM41" i="22" s="1"/>
  <c r="CN41" i="22" s="1"/>
  <c r="CO41" i="22" s="1"/>
  <c r="CP41" i="22" s="1"/>
  <c r="CQ41" i="22" s="1"/>
  <c r="CR41" i="22" s="1"/>
  <c r="CS41" i="22" s="1"/>
  <c r="CT41" i="22" s="1"/>
  <c r="CU41" i="22" s="1"/>
  <c r="CV41" i="22" s="1"/>
  <c r="CW41" i="22" s="1"/>
  <c r="F42" i="22"/>
  <c r="G42" i="22" s="1"/>
  <c r="H42" i="22" s="1"/>
  <c r="I42" i="22" s="1"/>
  <c r="J42" i="22" s="1"/>
  <c r="K42" i="22" s="1"/>
  <c r="L42" i="22" s="1"/>
  <c r="M42" i="22" s="1"/>
  <c r="N42" i="22" s="1"/>
  <c r="O42" i="22" s="1"/>
  <c r="P42" i="22" s="1"/>
  <c r="Q42" i="22" s="1"/>
  <c r="R42" i="22" s="1"/>
  <c r="S42" i="22" s="1"/>
  <c r="T42" i="22" s="1"/>
  <c r="U42" i="22" s="1"/>
  <c r="V42" i="22" s="1"/>
  <c r="W42" i="22" s="1"/>
  <c r="X42" i="22" s="1"/>
  <c r="Y42" i="22" s="1"/>
  <c r="Z42" i="22" s="1"/>
  <c r="AA42" i="22" s="1"/>
  <c r="AB42" i="22" s="1"/>
  <c r="AC42" i="22" s="1"/>
  <c r="AD42" i="22" s="1"/>
  <c r="AE42" i="22" s="1"/>
  <c r="AF42" i="22" s="1"/>
  <c r="AG42" i="22" s="1"/>
  <c r="AH42" i="22" s="1"/>
  <c r="AI42" i="22" s="1"/>
  <c r="AJ42" i="22" s="1"/>
  <c r="AK42" i="22" s="1"/>
  <c r="AL42" i="22" s="1"/>
  <c r="AM42" i="22" s="1"/>
  <c r="AN42" i="22" s="1"/>
  <c r="AO42" i="22" s="1"/>
  <c r="AP42" i="22" s="1"/>
  <c r="AQ42" i="22" s="1"/>
  <c r="AR42" i="22" s="1"/>
  <c r="AS42" i="22" s="1"/>
  <c r="AT42" i="22" s="1"/>
  <c r="AU42" i="22" s="1"/>
  <c r="AV42" i="22" s="1"/>
  <c r="AW42" i="22" s="1"/>
  <c r="AX42" i="22" s="1"/>
  <c r="AY42" i="22" s="1"/>
  <c r="AZ42" i="22" s="1"/>
  <c r="BA42" i="22" s="1"/>
  <c r="BB42" i="22" s="1"/>
  <c r="BC42" i="22" s="1"/>
  <c r="BD42" i="22" s="1"/>
  <c r="BE42" i="22" s="1"/>
  <c r="BF42" i="22" s="1"/>
  <c r="BG42" i="22" s="1"/>
  <c r="BH42" i="22" s="1"/>
  <c r="BI42" i="22" s="1"/>
  <c r="BJ42" i="22" s="1"/>
  <c r="BK42" i="22" s="1"/>
  <c r="BL42" i="22" s="1"/>
  <c r="BM42" i="22" s="1"/>
  <c r="BN42" i="22" s="1"/>
  <c r="BO42" i="22" s="1"/>
  <c r="BP42" i="22" s="1"/>
  <c r="BQ42" i="22" s="1"/>
  <c r="BR42" i="22" s="1"/>
  <c r="BS42" i="22" s="1"/>
  <c r="BT42" i="22" s="1"/>
  <c r="BU42" i="22" s="1"/>
  <c r="BV42" i="22" s="1"/>
  <c r="BW42" i="22" s="1"/>
  <c r="BX42" i="22" s="1"/>
  <c r="BY42" i="22" s="1"/>
  <c r="BZ42" i="22" s="1"/>
  <c r="CA42" i="22" s="1"/>
  <c r="CB42" i="22" s="1"/>
  <c r="CC42" i="22" s="1"/>
  <c r="CD42" i="22" s="1"/>
  <c r="CE42" i="22" s="1"/>
  <c r="CF42" i="22" s="1"/>
  <c r="CG42" i="22" s="1"/>
  <c r="CH42" i="22" s="1"/>
  <c r="CI42" i="22" s="1"/>
  <c r="CJ42" i="22" s="1"/>
  <c r="CK42" i="22" s="1"/>
  <c r="CL42" i="22" s="1"/>
  <c r="CM42" i="22" s="1"/>
  <c r="CN42" i="22" s="1"/>
  <c r="CO42" i="22" s="1"/>
  <c r="CP42" i="22" s="1"/>
  <c r="CQ42" i="22" s="1"/>
  <c r="CR42" i="22" s="1"/>
  <c r="CS42" i="22" s="1"/>
  <c r="CT42" i="22" s="1"/>
  <c r="CU42" i="22" s="1"/>
  <c r="CV42" i="22" s="1"/>
  <c r="CW42" i="22" s="1"/>
  <c r="F43" i="22"/>
  <c r="G43" i="22" s="1"/>
  <c r="H43" i="22" s="1"/>
  <c r="I43" i="22" s="1"/>
  <c r="J43" i="22" s="1"/>
  <c r="K43" i="22" s="1"/>
  <c r="L43" i="22" s="1"/>
  <c r="M43" i="22" s="1"/>
  <c r="N43" i="22" s="1"/>
  <c r="O43" i="22" s="1"/>
  <c r="P43" i="22" s="1"/>
  <c r="Q43" i="22" s="1"/>
  <c r="R43" i="22" s="1"/>
  <c r="S43" i="22" s="1"/>
  <c r="T43" i="22" s="1"/>
  <c r="U43" i="22" s="1"/>
  <c r="V43" i="22" s="1"/>
  <c r="W43" i="22" s="1"/>
  <c r="X43" i="22" s="1"/>
  <c r="Y43" i="22" s="1"/>
  <c r="Z43" i="22" s="1"/>
  <c r="AA43" i="22" s="1"/>
  <c r="AB43" i="22" s="1"/>
  <c r="AC43" i="22" s="1"/>
  <c r="AD43" i="22" s="1"/>
  <c r="AE43" i="22" s="1"/>
  <c r="AF43" i="22" s="1"/>
  <c r="AG43" i="22" s="1"/>
  <c r="AH43" i="22" s="1"/>
  <c r="AI43" i="22" s="1"/>
  <c r="AJ43" i="22" s="1"/>
  <c r="AK43" i="22" s="1"/>
  <c r="AL43" i="22" s="1"/>
  <c r="AM43" i="22" s="1"/>
  <c r="AN43" i="22" s="1"/>
  <c r="AO43" i="22" s="1"/>
  <c r="AP43" i="22" s="1"/>
  <c r="AQ43" i="22" s="1"/>
  <c r="AR43" i="22" s="1"/>
  <c r="AS43" i="22" s="1"/>
  <c r="AT43" i="22" s="1"/>
  <c r="AU43" i="22" s="1"/>
  <c r="AV43" i="22" s="1"/>
  <c r="AW43" i="22" s="1"/>
  <c r="AX43" i="22" s="1"/>
  <c r="AY43" i="22" s="1"/>
  <c r="AZ43" i="22" s="1"/>
  <c r="BA43" i="22" s="1"/>
  <c r="BB43" i="22" s="1"/>
  <c r="BC43" i="22" s="1"/>
  <c r="BD43" i="22" s="1"/>
  <c r="BE43" i="22" s="1"/>
  <c r="BF43" i="22" s="1"/>
  <c r="BG43" i="22" s="1"/>
  <c r="BH43" i="22" s="1"/>
  <c r="BI43" i="22" s="1"/>
  <c r="BJ43" i="22" s="1"/>
  <c r="BK43" i="22" s="1"/>
  <c r="BL43" i="22" s="1"/>
  <c r="BM43" i="22" s="1"/>
  <c r="BN43" i="22" s="1"/>
  <c r="BO43" i="22" s="1"/>
  <c r="BP43" i="22" s="1"/>
  <c r="BQ43" i="22" s="1"/>
  <c r="BR43" i="22" s="1"/>
  <c r="BS43" i="22" s="1"/>
  <c r="BT43" i="22" s="1"/>
  <c r="BU43" i="22" s="1"/>
  <c r="BV43" i="22" s="1"/>
  <c r="BW43" i="22" s="1"/>
  <c r="BX43" i="22" s="1"/>
  <c r="BY43" i="22" s="1"/>
  <c r="BZ43" i="22" s="1"/>
  <c r="CA43" i="22" s="1"/>
  <c r="CB43" i="22" s="1"/>
  <c r="CC43" i="22" s="1"/>
  <c r="CD43" i="22" s="1"/>
  <c r="CE43" i="22" s="1"/>
  <c r="CF43" i="22" s="1"/>
  <c r="CG43" i="22" s="1"/>
  <c r="CH43" i="22" s="1"/>
  <c r="CI43" i="22" s="1"/>
  <c r="CJ43" i="22" s="1"/>
  <c r="CK43" i="22" s="1"/>
  <c r="CL43" i="22" s="1"/>
  <c r="CM43" i="22" s="1"/>
  <c r="CN43" i="22" s="1"/>
  <c r="CO43" i="22" s="1"/>
  <c r="CP43" i="22" s="1"/>
  <c r="CQ43" i="22" s="1"/>
  <c r="CR43" i="22" s="1"/>
  <c r="CS43" i="22" s="1"/>
  <c r="CT43" i="22" s="1"/>
  <c r="CU43" i="22" s="1"/>
  <c r="CV43" i="22" s="1"/>
  <c r="CW43" i="22" s="1"/>
  <c r="F44" i="22"/>
  <c r="G44" i="22" s="1"/>
  <c r="H44" i="22" s="1"/>
  <c r="I44" i="22" s="1"/>
  <c r="J44" i="22" s="1"/>
  <c r="K44" i="22" s="1"/>
  <c r="L44" i="22" s="1"/>
  <c r="M44" i="22" s="1"/>
  <c r="N44" i="22" s="1"/>
  <c r="O44" i="22" s="1"/>
  <c r="P44" i="22" s="1"/>
  <c r="Q44" i="22" s="1"/>
  <c r="R44" i="22" s="1"/>
  <c r="S44" i="22" s="1"/>
  <c r="T44" i="22" s="1"/>
  <c r="U44" i="22" s="1"/>
  <c r="V44" i="22" s="1"/>
  <c r="W44" i="22" s="1"/>
  <c r="X44" i="22" s="1"/>
  <c r="Y44" i="22" s="1"/>
  <c r="Z44" i="22" s="1"/>
  <c r="AA44" i="22" s="1"/>
  <c r="AB44" i="22" s="1"/>
  <c r="AC44" i="22" s="1"/>
  <c r="AD44" i="22" s="1"/>
  <c r="AE44" i="22" s="1"/>
  <c r="AF44" i="22" s="1"/>
  <c r="AG44" i="22" s="1"/>
  <c r="AH44" i="22" s="1"/>
  <c r="AI44" i="22" s="1"/>
  <c r="AJ44" i="22" s="1"/>
  <c r="AK44" i="22" s="1"/>
  <c r="AL44" i="22" s="1"/>
  <c r="AM44" i="22" s="1"/>
  <c r="AN44" i="22" s="1"/>
  <c r="AO44" i="22" s="1"/>
  <c r="AP44" i="22" s="1"/>
  <c r="AQ44" i="22" s="1"/>
  <c r="AR44" i="22" s="1"/>
  <c r="AS44" i="22" s="1"/>
  <c r="AT44" i="22" s="1"/>
  <c r="AU44" i="22" s="1"/>
  <c r="AV44" i="22" s="1"/>
  <c r="AW44" i="22" s="1"/>
  <c r="AX44" i="22" s="1"/>
  <c r="AY44" i="22" s="1"/>
  <c r="AZ44" i="22" s="1"/>
  <c r="BA44" i="22" s="1"/>
  <c r="BB44" i="22" s="1"/>
  <c r="BC44" i="22" s="1"/>
  <c r="BD44" i="22" s="1"/>
  <c r="BE44" i="22" s="1"/>
  <c r="BF44" i="22" s="1"/>
  <c r="BG44" i="22" s="1"/>
  <c r="BH44" i="22" s="1"/>
  <c r="BI44" i="22" s="1"/>
  <c r="BJ44" i="22" s="1"/>
  <c r="BK44" i="22" s="1"/>
  <c r="BL44" i="22" s="1"/>
  <c r="BM44" i="22" s="1"/>
  <c r="BN44" i="22" s="1"/>
  <c r="BO44" i="22" s="1"/>
  <c r="BP44" i="22" s="1"/>
  <c r="BQ44" i="22" s="1"/>
  <c r="BR44" i="22" s="1"/>
  <c r="BS44" i="22" s="1"/>
  <c r="BT44" i="22" s="1"/>
  <c r="BU44" i="22" s="1"/>
  <c r="BV44" i="22" s="1"/>
  <c r="BW44" i="22" s="1"/>
  <c r="BX44" i="22" s="1"/>
  <c r="BY44" i="22" s="1"/>
  <c r="BZ44" i="22" s="1"/>
  <c r="CA44" i="22" s="1"/>
  <c r="CB44" i="22" s="1"/>
  <c r="CC44" i="22" s="1"/>
  <c r="CD44" i="22" s="1"/>
  <c r="CE44" i="22" s="1"/>
  <c r="CF44" i="22" s="1"/>
  <c r="CG44" i="22" s="1"/>
  <c r="CH44" i="22" s="1"/>
  <c r="CI44" i="22" s="1"/>
  <c r="CJ44" i="22" s="1"/>
  <c r="CK44" i="22" s="1"/>
  <c r="CL44" i="22" s="1"/>
  <c r="CM44" i="22" s="1"/>
  <c r="CN44" i="22" s="1"/>
  <c r="CO44" i="22" s="1"/>
  <c r="CP44" i="22" s="1"/>
  <c r="CQ44" i="22" s="1"/>
  <c r="CR44" i="22" s="1"/>
  <c r="CS44" i="22" s="1"/>
  <c r="CT44" i="22" s="1"/>
  <c r="CU44" i="22" s="1"/>
  <c r="CV44" i="22" s="1"/>
  <c r="CW44" i="22" s="1"/>
  <c r="F45" i="22"/>
  <c r="G45" i="22" s="1"/>
  <c r="H45" i="22" s="1"/>
  <c r="I45" i="22" s="1"/>
  <c r="J45" i="22" s="1"/>
  <c r="K45" i="22" s="1"/>
  <c r="L45" i="22" s="1"/>
  <c r="M45" i="22" s="1"/>
  <c r="N45" i="22" s="1"/>
  <c r="O45" i="22" s="1"/>
  <c r="P45" i="22" s="1"/>
  <c r="Q45" i="22" s="1"/>
  <c r="R45" i="22" s="1"/>
  <c r="S45" i="22" s="1"/>
  <c r="T45" i="22" s="1"/>
  <c r="U45" i="22" s="1"/>
  <c r="V45" i="22" s="1"/>
  <c r="W45" i="22" s="1"/>
  <c r="X45" i="22" s="1"/>
  <c r="Y45" i="22" s="1"/>
  <c r="Z45" i="22" s="1"/>
  <c r="AA45" i="22" s="1"/>
  <c r="AB45" i="22" s="1"/>
  <c r="AC45" i="22" s="1"/>
  <c r="AD45" i="22" s="1"/>
  <c r="AE45" i="22" s="1"/>
  <c r="AF45" i="22" s="1"/>
  <c r="AG45" i="22" s="1"/>
  <c r="AH45" i="22" s="1"/>
  <c r="AI45" i="22" s="1"/>
  <c r="AJ45" i="22" s="1"/>
  <c r="AK45" i="22" s="1"/>
  <c r="AL45" i="22" s="1"/>
  <c r="AM45" i="22" s="1"/>
  <c r="AN45" i="22" s="1"/>
  <c r="AO45" i="22" s="1"/>
  <c r="AP45" i="22" s="1"/>
  <c r="AQ45" i="22" s="1"/>
  <c r="AR45" i="22" s="1"/>
  <c r="AS45" i="22" s="1"/>
  <c r="AT45" i="22" s="1"/>
  <c r="AU45" i="22" s="1"/>
  <c r="AV45" i="22" s="1"/>
  <c r="AW45" i="22" s="1"/>
  <c r="AX45" i="22" s="1"/>
  <c r="AY45" i="22" s="1"/>
  <c r="AZ45" i="22" s="1"/>
  <c r="BA45" i="22" s="1"/>
  <c r="BB45" i="22" s="1"/>
  <c r="BC45" i="22" s="1"/>
  <c r="BD45" i="22" s="1"/>
  <c r="BE45" i="22" s="1"/>
  <c r="BF45" i="22" s="1"/>
  <c r="BG45" i="22" s="1"/>
  <c r="BH45" i="22" s="1"/>
  <c r="BI45" i="22" s="1"/>
  <c r="BJ45" i="22" s="1"/>
  <c r="BK45" i="22" s="1"/>
  <c r="BL45" i="22" s="1"/>
  <c r="BM45" i="22" s="1"/>
  <c r="BN45" i="22" s="1"/>
  <c r="BO45" i="22" s="1"/>
  <c r="BP45" i="22" s="1"/>
  <c r="BQ45" i="22" s="1"/>
  <c r="BR45" i="22" s="1"/>
  <c r="BS45" i="22" s="1"/>
  <c r="BT45" i="22" s="1"/>
  <c r="BU45" i="22" s="1"/>
  <c r="BV45" i="22" s="1"/>
  <c r="BW45" i="22" s="1"/>
  <c r="BX45" i="22" s="1"/>
  <c r="BY45" i="22" s="1"/>
  <c r="BZ45" i="22" s="1"/>
  <c r="CA45" i="22" s="1"/>
  <c r="CB45" i="22" s="1"/>
  <c r="CC45" i="22" s="1"/>
  <c r="CD45" i="22" s="1"/>
  <c r="CE45" i="22" s="1"/>
  <c r="CF45" i="22" s="1"/>
  <c r="CG45" i="22" s="1"/>
  <c r="CH45" i="22" s="1"/>
  <c r="CI45" i="22" s="1"/>
  <c r="CJ45" i="22" s="1"/>
  <c r="CK45" i="22" s="1"/>
  <c r="CL45" i="22" s="1"/>
  <c r="CM45" i="22" s="1"/>
  <c r="CN45" i="22" s="1"/>
  <c r="CO45" i="22" s="1"/>
  <c r="CP45" i="22" s="1"/>
  <c r="CQ45" i="22" s="1"/>
  <c r="CR45" i="22" s="1"/>
  <c r="CS45" i="22" s="1"/>
  <c r="CT45" i="22" s="1"/>
  <c r="CU45" i="22" s="1"/>
  <c r="CV45" i="22" s="1"/>
  <c r="CW45" i="22" s="1"/>
  <c r="F46" i="22"/>
  <c r="G46" i="22" s="1"/>
  <c r="H46" i="22" s="1"/>
  <c r="I46" i="22" s="1"/>
  <c r="J46" i="22" s="1"/>
  <c r="K46" i="22" s="1"/>
  <c r="L46" i="22" s="1"/>
  <c r="M46" i="22" s="1"/>
  <c r="N46" i="22" s="1"/>
  <c r="O46" i="22" s="1"/>
  <c r="P46" i="22" s="1"/>
  <c r="Q46" i="22" s="1"/>
  <c r="R46" i="22" s="1"/>
  <c r="S46" i="22" s="1"/>
  <c r="T46" i="22" s="1"/>
  <c r="U46" i="22" s="1"/>
  <c r="V46" i="22" s="1"/>
  <c r="W46" i="22" s="1"/>
  <c r="X46" i="22" s="1"/>
  <c r="Y46" i="22" s="1"/>
  <c r="Z46" i="22" s="1"/>
  <c r="AA46" i="22" s="1"/>
  <c r="AB46" i="22" s="1"/>
  <c r="AC46" i="22" s="1"/>
  <c r="AD46" i="22" s="1"/>
  <c r="AE46" i="22" s="1"/>
  <c r="AF46" i="22" s="1"/>
  <c r="AG46" i="22" s="1"/>
  <c r="AH46" i="22" s="1"/>
  <c r="AI46" i="22" s="1"/>
  <c r="AJ46" i="22" s="1"/>
  <c r="AK46" i="22" s="1"/>
  <c r="AL46" i="22" s="1"/>
  <c r="AM46" i="22" s="1"/>
  <c r="AN46" i="22" s="1"/>
  <c r="AO46" i="22" s="1"/>
  <c r="AP46" i="22" s="1"/>
  <c r="AQ46" i="22" s="1"/>
  <c r="AR46" i="22" s="1"/>
  <c r="AS46" i="22" s="1"/>
  <c r="AT46" i="22" s="1"/>
  <c r="AU46" i="22" s="1"/>
  <c r="AV46" i="22" s="1"/>
  <c r="AW46" i="22" s="1"/>
  <c r="AX46" i="22" s="1"/>
  <c r="AY46" i="22" s="1"/>
  <c r="AZ46" i="22" s="1"/>
  <c r="BA46" i="22" s="1"/>
  <c r="BB46" i="22" s="1"/>
  <c r="BC46" i="22" s="1"/>
  <c r="BD46" i="22" s="1"/>
  <c r="BE46" i="22" s="1"/>
  <c r="BF46" i="22" s="1"/>
  <c r="BG46" i="22" s="1"/>
  <c r="BH46" i="22" s="1"/>
  <c r="BI46" i="22" s="1"/>
  <c r="BJ46" i="22" s="1"/>
  <c r="BK46" i="22" s="1"/>
  <c r="BL46" i="22" s="1"/>
  <c r="BM46" i="22" s="1"/>
  <c r="BN46" i="22" s="1"/>
  <c r="BO46" i="22" s="1"/>
  <c r="BP46" i="22" s="1"/>
  <c r="BQ46" i="22" s="1"/>
  <c r="BR46" i="22" s="1"/>
  <c r="BS46" i="22" s="1"/>
  <c r="BT46" i="22" s="1"/>
  <c r="BU46" i="22" s="1"/>
  <c r="BV46" i="22" s="1"/>
  <c r="BW46" i="22" s="1"/>
  <c r="BX46" i="22" s="1"/>
  <c r="BY46" i="22" s="1"/>
  <c r="BZ46" i="22" s="1"/>
  <c r="CA46" i="22" s="1"/>
  <c r="CB46" i="22" s="1"/>
  <c r="CC46" i="22" s="1"/>
  <c r="CD46" i="22" s="1"/>
  <c r="CE46" i="22" s="1"/>
  <c r="CF46" i="22" s="1"/>
  <c r="CG46" i="22" s="1"/>
  <c r="CH46" i="22" s="1"/>
  <c r="CI46" i="22" s="1"/>
  <c r="CJ46" i="22" s="1"/>
  <c r="CK46" i="22" s="1"/>
  <c r="CL46" i="22" s="1"/>
  <c r="CM46" i="22" s="1"/>
  <c r="CN46" i="22" s="1"/>
  <c r="CO46" i="22" s="1"/>
  <c r="CP46" i="22" s="1"/>
  <c r="CQ46" i="22" s="1"/>
  <c r="CR46" i="22" s="1"/>
  <c r="CS46" i="22" s="1"/>
  <c r="CT46" i="22" s="1"/>
  <c r="CU46" i="22" s="1"/>
  <c r="CV46" i="22" s="1"/>
  <c r="CW46" i="22" s="1"/>
  <c r="F47" i="22"/>
  <c r="G47" i="22" s="1"/>
  <c r="H47" i="22" s="1"/>
  <c r="I47" i="22" s="1"/>
  <c r="J47" i="22" s="1"/>
  <c r="K47" i="22" s="1"/>
  <c r="L47" i="22" s="1"/>
  <c r="M47" i="22" s="1"/>
  <c r="N47" i="22" s="1"/>
  <c r="O47" i="22" s="1"/>
  <c r="P47" i="22" s="1"/>
  <c r="Q47" i="22" s="1"/>
  <c r="R47" i="22" s="1"/>
  <c r="S47" i="22" s="1"/>
  <c r="T47" i="22" s="1"/>
  <c r="U47" i="22" s="1"/>
  <c r="V47" i="22" s="1"/>
  <c r="W47" i="22" s="1"/>
  <c r="X47" i="22" s="1"/>
  <c r="Y47" i="22" s="1"/>
  <c r="Z47" i="22" s="1"/>
  <c r="AA47" i="22" s="1"/>
  <c r="AB47" i="22" s="1"/>
  <c r="AC47" i="22" s="1"/>
  <c r="AD47" i="22" s="1"/>
  <c r="AE47" i="22" s="1"/>
  <c r="AF47" i="22" s="1"/>
  <c r="AG47" i="22" s="1"/>
  <c r="AH47" i="22" s="1"/>
  <c r="AI47" i="22" s="1"/>
  <c r="AJ47" i="22" s="1"/>
  <c r="AK47" i="22" s="1"/>
  <c r="AL47" i="22" s="1"/>
  <c r="AM47" i="22" s="1"/>
  <c r="AN47" i="22" s="1"/>
  <c r="AO47" i="22" s="1"/>
  <c r="AP47" i="22" s="1"/>
  <c r="AQ47" i="22" s="1"/>
  <c r="AR47" i="22" s="1"/>
  <c r="AS47" i="22" s="1"/>
  <c r="AT47" i="22" s="1"/>
  <c r="AU47" i="22" s="1"/>
  <c r="AV47" i="22" s="1"/>
  <c r="AW47" i="22" s="1"/>
  <c r="AX47" i="22" s="1"/>
  <c r="AY47" i="22" s="1"/>
  <c r="AZ47" i="22" s="1"/>
  <c r="BA47" i="22" s="1"/>
  <c r="BB47" i="22" s="1"/>
  <c r="BC47" i="22" s="1"/>
  <c r="BD47" i="22" s="1"/>
  <c r="BE47" i="22" s="1"/>
  <c r="BF47" i="22" s="1"/>
  <c r="BG47" i="22" s="1"/>
  <c r="BH47" i="22" s="1"/>
  <c r="BI47" i="22" s="1"/>
  <c r="BJ47" i="22" s="1"/>
  <c r="BK47" i="22" s="1"/>
  <c r="BL47" i="22" s="1"/>
  <c r="BM47" i="22" s="1"/>
  <c r="BN47" i="22" s="1"/>
  <c r="BO47" i="22" s="1"/>
  <c r="BP47" i="22" s="1"/>
  <c r="BQ47" i="22" s="1"/>
  <c r="BR47" i="22" s="1"/>
  <c r="BS47" i="22" s="1"/>
  <c r="BT47" i="22" s="1"/>
  <c r="BU47" i="22" s="1"/>
  <c r="BV47" i="22" s="1"/>
  <c r="BW47" i="22" s="1"/>
  <c r="BX47" i="22" s="1"/>
  <c r="BY47" i="22" s="1"/>
  <c r="BZ47" i="22" s="1"/>
  <c r="CA47" i="22" s="1"/>
  <c r="CB47" i="22" s="1"/>
  <c r="CC47" i="22" s="1"/>
  <c r="CD47" i="22" s="1"/>
  <c r="CE47" i="22" s="1"/>
  <c r="CF47" i="22" s="1"/>
  <c r="CG47" i="22" s="1"/>
  <c r="CH47" i="22" s="1"/>
  <c r="CI47" i="22" s="1"/>
  <c r="CJ47" i="22" s="1"/>
  <c r="CK47" i="22" s="1"/>
  <c r="CL47" i="22" s="1"/>
  <c r="CM47" i="22" s="1"/>
  <c r="CN47" i="22" s="1"/>
  <c r="CO47" i="22" s="1"/>
  <c r="CP47" i="22" s="1"/>
  <c r="CQ47" i="22" s="1"/>
  <c r="CR47" i="22" s="1"/>
  <c r="CS47" i="22" s="1"/>
  <c r="CT47" i="22" s="1"/>
  <c r="CU47" i="22" s="1"/>
  <c r="CV47" i="22" s="1"/>
  <c r="CW47" i="22" s="1"/>
  <c r="F48" i="22"/>
  <c r="G48" i="22" s="1"/>
  <c r="H48" i="22" s="1"/>
  <c r="I48" i="22" s="1"/>
  <c r="J48" i="22" s="1"/>
  <c r="K48" i="22" s="1"/>
  <c r="L48" i="22" s="1"/>
  <c r="M48" i="22" s="1"/>
  <c r="N48" i="22" s="1"/>
  <c r="O48" i="22" s="1"/>
  <c r="P48" i="22" s="1"/>
  <c r="Q48" i="22" s="1"/>
  <c r="R48" i="22" s="1"/>
  <c r="S48" i="22" s="1"/>
  <c r="T48" i="22" s="1"/>
  <c r="U48" i="22" s="1"/>
  <c r="V48" i="22" s="1"/>
  <c r="W48" i="22" s="1"/>
  <c r="X48" i="22" s="1"/>
  <c r="Y48" i="22" s="1"/>
  <c r="Z48" i="22" s="1"/>
  <c r="AA48" i="22" s="1"/>
  <c r="AB48" i="22" s="1"/>
  <c r="AC48" i="22" s="1"/>
  <c r="AD48" i="22" s="1"/>
  <c r="AE48" i="22" s="1"/>
  <c r="AF48" i="22" s="1"/>
  <c r="AG48" i="22" s="1"/>
  <c r="AH48" i="22" s="1"/>
  <c r="AI48" i="22" s="1"/>
  <c r="AJ48" i="22" s="1"/>
  <c r="AK48" i="22" s="1"/>
  <c r="AL48" i="22" s="1"/>
  <c r="AM48" i="22" s="1"/>
  <c r="AN48" i="22" s="1"/>
  <c r="AO48" i="22" s="1"/>
  <c r="AP48" i="22" s="1"/>
  <c r="AQ48" i="22" s="1"/>
  <c r="AR48" i="22" s="1"/>
  <c r="AS48" i="22" s="1"/>
  <c r="AT48" i="22" s="1"/>
  <c r="AU48" i="22" s="1"/>
  <c r="AV48" i="22" s="1"/>
  <c r="AW48" i="22" s="1"/>
  <c r="AX48" i="22" s="1"/>
  <c r="AY48" i="22" s="1"/>
  <c r="AZ48" i="22" s="1"/>
  <c r="BA48" i="22" s="1"/>
  <c r="BB48" i="22" s="1"/>
  <c r="BC48" i="22" s="1"/>
  <c r="BD48" i="22" s="1"/>
  <c r="BE48" i="22" s="1"/>
  <c r="BF48" i="22" s="1"/>
  <c r="BG48" i="22" s="1"/>
  <c r="BH48" i="22" s="1"/>
  <c r="BI48" i="22" s="1"/>
  <c r="BJ48" i="22" s="1"/>
  <c r="BK48" i="22" s="1"/>
  <c r="BL48" i="22" s="1"/>
  <c r="BM48" i="22" s="1"/>
  <c r="BN48" i="22" s="1"/>
  <c r="BO48" i="22" s="1"/>
  <c r="BP48" i="22" s="1"/>
  <c r="BQ48" i="22" s="1"/>
  <c r="BR48" i="22" s="1"/>
  <c r="BS48" i="22" s="1"/>
  <c r="BT48" i="22" s="1"/>
  <c r="BU48" i="22" s="1"/>
  <c r="BV48" i="22" s="1"/>
  <c r="BW48" i="22" s="1"/>
  <c r="BX48" i="22" s="1"/>
  <c r="BY48" i="22" s="1"/>
  <c r="BZ48" i="22" s="1"/>
  <c r="CA48" i="22" s="1"/>
  <c r="CB48" i="22" s="1"/>
  <c r="CC48" i="22" s="1"/>
  <c r="CD48" i="22" s="1"/>
  <c r="CE48" i="22" s="1"/>
  <c r="CF48" i="22" s="1"/>
  <c r="CG48" i="22" s="1"/>
  <c r="CH48" i="22" s="1"/>
  <c r="CI48" i="22" s="1"/>
  <c r="CJ48" i="22" s="1"/>
  <c r="CK48" i="22" s="1"/>
  <c r="CL48" i="22" s="1"/>
  <c r="CM48" i="22" s="1"/>
  <c r="CN48" i="22" s="1"/>
  <c r="CO48" i="22" s="1"/>
  <c r="CP48" i="22" s="1"/>
  <c r="CQ48" i="22" s="1"/>
  <c r="CR48" i="22" s="1"/>
  <c r="CS48" i="22" s="1"/>
  <c r="CT48" i="22" s="1"/>
  <c r="CU48" i="22" s="1"/>
  <c r="CV48" i="22" s="1"/>
  <c r="CW48" i="22" s="1"/>
  <c r="F49" i="22"/>
  <c r="G49" i="22" s="1"/>
  <c r="H49" i="22" s="1"/>
  <c r="I49" i="22" s="1"/>
  <c r="J49" i="22" s="1"/>
  <c r="K49" i="22" s="1"/>
  <c r="L49" i="22" s="1"/>
  <c r="M49" i="22" s="1"/>
  <c r="N49" i="22" s="1"/>
  <c r="O49" i="22" s="1"/>
  <c r="P49" i="22" s="1"/>
  <c r="Q49" i="22" s="1"/>
  <c r="R49" i="22" s="1"/>
  <c r="S49" i="22" s="1"/>
  <c r="T49" i="22" s="1"/>
  <c r="U49" i="22" s="1"/>
  <c r="V49" i="22" s="1"/>
  <c r="W49" i="22" s="1"/>
  <c r="X49" i="22" s="1"/>
  <c r="Y49" i="22" s="1"/>
  <c r="Z49" i="22" s="1"/>
  <c r="AA49" i="22" s="1"/>
  <c r="AB49" i="22" s="1"/>
  <c r="AC49" i="22" s="1"/>
  <c r="AD49" i="22" s="1"/>
  <c r="AE49" i="22" s="1"/>
  <c r="AF49" i="22" s="1"/>
  <c r="AG49" i="22" s="1"/>
  <c r="AH49" i="22" s="1"/>
  <c r="AI49" i="22" s="1"/>
  <c r="AJ49" i="22" s="1"/>
  <c r="AK49" i="22" s="1"/>
  <c r="AL49" i="22" s="1"/>
  <c r="AM49" i="22" s="1"/>
  <c r="AN49" i="22" s="1"/>
  <c r="AO49" i="22" s="1"/>
  <c r="AP49" i="22" s="1"/>
  <c r="AQ49" i="22" s="1"/>
  <c r="AR49" i="22" s="1"/>
  <c r="AS49" i="22" s="1"/>
  <c r="AT49" i="22" s="1"/>
  <c r="AU49" i="22" s="1"/>
  <c r="AV49" i="22" s="1"/>
  <c r="AW49" i="22" s="1"/>
  <c r="AX49" i="22" s="1"/>
  <c r="AY49" i="22" s="1"/>
  <c r="AZ49" i="22" s="1"/>
  <c r="BA49" i="22" s="1"/>
  <c r="BB49" i="22" s="1"/>
  <c r="BC49" i="22" s="1"/>
  <c r="BD49" i="22" s="1"/>
  <c r="BE49" i="22" s="1"/>
  <c r="BF49" i="22" s="1"/>
  <c r="BG49" i="22" s="1"/>
  <c r="BH49" i="22" s="1"/>
  <c r="BI49" i="22" s="1"/>
  <c r="BJ49" i="22" s="1"/>
  <c r="BK49" i="22" s="1"/>
  <c r="BL49" i="22" s="1"/>
  <c r="BM49" i="22" s="1"/>
  <c r="BN49" i="22" s="1"/>
  <c r="BO49" i="22" s="1"/>
  <c r="BP49" i="22" s="1"/>
  <c r="BQ49" i="22" s="1"/>
  <c r="BR49" i="22" s="1"/>
  <c r="BS49" i="22" s="1"/>
  <c r="BT49" i="22" s="1"/>
  <c r="BU49" i="22" s="1"/>
  <c r="BV49" i="22" s="1"/>
  <c r="BW49" i="22" s="1"/>
  <c r="BX49" i="22" s="1"/>
  <c r="BY49" i="22" s="1"/>
  <c r="BZ49" i="22" s="1"/>
  <c r="CA49" i="22" s="1"/>
  <c r="CB49" i="22" s="1"/>
  <c r="CC49" i="22" s="1"/>
  <c r="CD49" i="22" s="1"/>
  <c r="CE49" i="22" s="1"/>
  <c r="CF49" i="22" s="1"/>
  <c r="CG49" i="22" s="1"/>
  <c r="CH49" i="22" s="1"/>
  <c r="CI49" i="22" s="1"/>
  <c r="CJ49" i="22" s="1"/>
  <c r="CK49" i="22" s="1"/>
  <c r="CL49" i="22" s="1"/>
  <c r="CM49" i="22" s="1"/>
  <c r="CN49" i="22" s="1"/>
  <c r="CO49" i="22" s="1"/>
  <c r="CP49" i="22" s="1"/>
  <c r="CQ49" i="22" s="1"/>
  <c r="CR49" i="22" s="1"/>
  <c r="CS49" i="22" s="1"/>
  <c r="CT49" i="22" s="1"/>
  <c r="CU49" i="22" s="1"/>
  <c r="CV49" i="22" s="1"/>
  <c r="CW49" i="22" s="1"/>
  <c r="F50" i="22"/>
  <c r="G50" i="22" s="1"/>
  <c r="H50" i="22" s="1"/>
  <c r="I50" i="22" s="1"/>
  <c r="J50" i="22" s="1"/>
  <c r="K50" i="22" s="1"/>
  <c r="L50" i="22" s="1"/>
  <c r="M50" i="22" s="1"/>
  <c r="N50" i="22" s="1"/>
  <c r="O50" i="22" s="1"/>
  <c r="P50" i="22" s="1"/>
  <c r="Q50" i="22" s="1"/>
  <c r="R50" i="22" s="1"/>
  <c r="S50" i="22" s="1"/>
  <c r="T50" i="22" s="1"/>
  <c r="U50" i="22" s="1"/>
  <c r="V50" i="22" s="1"/>
  <c r="W50" i="22" s="1"/>
  <c r="X50" i="22" s="1"/>
  <c r="Y50" i="22" s="1"/>
  <c r="Z50" i="22" s="1"/>
  <c r="AA50" i="22" s="1"/>
  <c r="AB50" i="22" s="1"/>
  <c r="AC50" i="22" s="1"/>
  <c r="AD50" i="22" s="1"/>
  <c r="AE50" i="22" s="1"/>
  <c r="AF50" i="22" s="1"/>
  <c r="AG50" i="22" s="1"/>
  <c r="AH50" i="22" s="1"/>
  <c r="AI50" i="22" s="1"/>
  <c r="AJ50" i="22" s="1"/>
  <c r="AK50" i="22" s="1"/>
  <c r="AL50" i="22" s="1"/>
  <c r="AM50" i="22" s="1"/>
  <c r="AN50" i="22" s="1"/>
  <c r="AO50" i="22" s="1"/>
  <c r="AP50" i="22" s="1"/>
  <c r="AQ50" i="22" s="1"/>
  <c r="AR50" i="22" s="1"/>
  <c r="AS50" i="22" s="1"/>
  <c r="AT50" i="22" s="1"/>
  <c r="AU50" i="22" s="1"/>
  <c r="AV50" i="22" s="1"/>
  <c r="AW50" i="22" s="1"/>
  <c r="AX50" i="22" s="1"/>
  <c r="AY50" i="22" s="1"/>
  <c r="AZ50" i="22" s="1"/>
  <c r="BA50" i="22" s="1"/>
  <c r="BB50" i="22" s="1"/>
  <c r="BC50" i="22" s="1"/>
  <c r="BD50" i="22" s="1"/>
  <c r="BE50" i="22" s="1"/>
  <c r="BF50" i="22" s="1"/>
  <c r="BG50" i="22" s="1"/>
  <c r="BH50" i="22" s="1"/>
  <c r="BI50" i="22" s="1"/>
  <c r="BJ50" i="22" s="1"/>
  <c r="BK50" i="22" s="1"/>
  <c r="BL50" i="22" s="1"/>
  <c r="BM50" i="22" s="1"/>
  <c r="BN50" i="22" s="1"/>
  <c r="BO50" i="22" s="1"/>
  <c r="BP50" i="22" s="1"/>
  <c r="BQ50" i="22" s="1"/>
  <c r="BR50" i="22" s="1"/>
  <c r="BS50" i="22" s="1"/>
  <c r="BT50" i="22" s="1"/>
  <c r="BU50" i="22" s="1"/>
  <c r="BV50" i="22" s="1"/>
  <c r="BW50" i="22" s="1"/>
  <c r="BX50" i="22" s="1"/>
  <c r="BY50" i="22" s="1"/>
  <c r="BZ50" i="22" s="1"/>
  <c r="CA50" i="22" s="1"/>
  <c r="CB50" i="22" s="1"/>
  <c r="CC50" i="22" s="1"/>
  <c r="CD50" i="22" s="1"/>
  <c r="CE50" i="22" s="1"/>
  <c r="CF50" i="22" s="1"/>
  <c r="CG50" i="22" s="1"/>
  <c r="CH50" i="22" s="1"/>
  <c r="CI50" i="22" s="1"/>
  <c r="CJ50" i="22" s="1"/>
  <c r="CK50" i="22" s="1"/>
  <c r="CL50" i="22" s="1"/>
  <c r="CM50" i="22" s="1"/>
  <c r="CN50" i="22" s="1"/>
  <c r="CO50" i="22" s="1"/>
  <c r="CP50" i="22" s="1"/>
  <c r="CQ50" i="22" s="1"/>
  <c r="CR50" i="22" s="1"/>
  <c r="CS50" i="22" s="1"/>
  <c r="CT50" i="22" s="1"/>
  <c r="CU50" i="22" s="1"/>
  <c r="CV50" i="22" s="1"/>
  <c r="CW50" i="22" s="1"/>
  <c r="F51" i="22"/>
  <c r="G51" i="22" s="1"/>
  <c r="H51" i="22" s="1"/>
  <c r="I51" i="22" s="1"/>
  <c r="J51" i="22" s="1"/>
  <c r="K51" i="22" s="1"/>
  <c r="L51" i="22" s="1"/>
  <c r="M51" i="22" s="1"/>
  <c r="N51" i="22" s="1"/>
  <c r="O51" i="22" s="1"/>
  <c r="P51" i="22" s="1"/>
  <c r="Q51" i="22" s="1"/>
  <c r="R51" i="22" s="1"/>
  <c r="S51" i="22" s="1"/>
  <c r="T51" i="22" s="1"/>
  <c r="U51" i="22" s="1"/>
  <c r="V51" i="22" s="1"/>
  <c r="W51" i="22" s="1"/>
  <c r="X51" i="22" s="1"/>
  <c r="Y51" i="22" s="1"/>
  <c r="Z51" i="22" s="1"/>
  <c r="AA51" i="22" s="1"/>
  <c r="AB51" i="22" s="1"/>
  <c r="AC51" i="22" s="1"/>
  <c r="AD51" i="22" s="1"/>
  <c r="AE51" i="22" s="1"/>
  <c r="AF51" i="22" s="1"/>
  <c r="AG51" i="22" s="1"/>
  <c r="AH51" i="22" s="1"/>
  <c r="AI51" i="22" s="1"/>
  <c r="AJ51" i="22" s="1"/>
  <c r="AK51" i="22" s="1"/>
  <c r="AL51" i="22" s="1"/>
  <c r="AM51" i="22" s="1"/>
  <c r="AN51" i="22" s="1"/>
  <c r="AO51" i="22" s="1"/>
  <c r="AP51" i="22" s="1"/>
  <c r="AQ51" i="22" s="1"/>
  <c r="AR51" i="22" s="1"/>
  <c r="AS51" i="22" s="1"/>
  <c r="AT51" i="22" s="1"/>
  <c r="AU51" i="22" s="1"/>
  <c r="AV51" i="22" s="1"/>
  <c r="AW51" i="22" s="1"/>
  <c r="AX51" i="22" s="1"/>
  <c r="AY51" i="22" s="1"/>
  <c r="AZ51" i="22" s="1"/>
  <c r="BA51" i="22" s="1"/>
  <c r="BB51" i="22" s="1"/>
  <c r="BC51" i="22" s="1"/>
  <c r="BD51" i="22" s="1"/>
  <c r="BE51" i="22" s="1"/>
  <c r="BF51" i="22" s="1"/>
  <c r="BG51" i="22" s="1"/>
  <c r="BH51" i="22" s="1"/>
  <c r="BI51" i="22" s="1"/>
  <c r="BJ51" i="22" s="1"/>
  <c r="BK51" i="22" s="1"/>
  <c r="BL51" i="22" s="1"/>
  <c r="BM51" i="22" s="1"/>
  <c r="BN51" i="22" s="1"/>
  <c r="BO51" i="22" s="1"/>
  <c r="BP51" i="22" s="1"/>
  <c r="BQ51" i="22" s="1"/>
  <c r="BR51" i="22" s="1"/>
  <c r="BS51" i="22" s="1"/>
  <c r="BT51" i="22" s="1"/>
  <c r="BU51" i="22" s="1"/>
  <c r="BV51" i="22" s="1"/>
  <c r="BW51" i="22" s="1"/>
  <c r="BX51" i="22" s="1"/>
  <c r="BY51" i="22" s="1"/>
  <c r="BZ51" i="22" s="1"/>
  <c r="CA51" i="22" s="1"/>
  <c r="CB51" i="22" s="1"/>
  <c r="CC51" i="22" s="1"/>
  <c r="CD51" i="22" s="1"/>
  <c r="CE51" i="22" s="1"/>
  <c r="CF51" i="22" s="1"/>
  <c r="CG51" i="22" s="1"/>
  <c r="CH51" i="22" s="1"/>
  <c r="CI51" i="22" s="1"/>
  <c r="CJ51" i="22" s="1"/>
  <c r="CK51" i="22" s="1"/>
  <c r="CL51" i="22" s="1"/>
  <c r="CM51" i="22" s="1"/>
  <c r="CN51" i="22" s="1"/>
  <c r="CO51" i="22" s="1"/>
  <c r="CP51" i="22" s="1"/>
  <c r="CQ51" i="22" s="1"/>
  <c r="CR51" i="22" s="1"/>
  <c r="CS51" i="22" s="1"/>
  <c r="CT51" i="22" s="1"/>
  <c r="CU51" i="22" s="1"/>
  <c r="CV51" i="22" s="1"/>
  <c r="CW51" i="22" s="1"/>
  <c r="F52" i="22"/>
  <c r="G52" i="22" s="1"/>
  <c r="H52" i="22" s="1"/>
  <c r="I52" i="22" s="1"/>
  <c r="J52" i="22" s="1"/>
  <c r="K52" i="22" s="1"/>
  <c r="L52" i="22" s="1"/>
  <c r="M52" i="22" s="1"/>
  <c r="N52" i="22" s="1"/>
  <c r="O52" i="22" s="1"/>
  <c r="P52" i="22" s="1"/>
  <c r="Q52" i="22" s="1"/>
  <c r="R52" i="22" s="1"/>
  <c r="S52" i="22" s="1"/>
  <c r="T52" i="22" s="1"/>
  <c r="U52" i="22" s="1"/>
  <c r="V52" i="22" s="1"/>
  <c r="W52" i="22" s="1"/>
  <c r="X52" i="22" s="1"/>
  <c r="Y52" i="22" s="1"/>
  <c r="Z52" i="22" s="1"/>
  <c r="AA52" i="22" s="1"/>
  <c r="AB52" i="22" s="1"/>
  <c r="AC52" i="22" s="1"/>
  <c r="AD52" i="22" s="1"/>
  <c r="AE52" i="22" s="1"/>
  <c r="AF52" i="22" s="1"/>
  <c r="AG52" i="22" s="1"/>
  <c r="AH52" i="22" s="1"/>
  <c r="AI52" i="22" s="1"/>
  <c r="AJ52" i="22" s="1"/>
  <c r="AK52" i="22" s="1"/>
  <c r="AL52" i="22" s="1"/>
  <c r="AM52" i="22" s="1"/>
  <c r="AN52" i="22" s="1"/>
  <c r="AO52" i="22" s="1"/>
  <c r="AP52" i="22" s="1"/>
  <c r="AQ52" i="22" s="1"/>
  <c r="AR52" i="22" s="1"/>
  <c r="AS52" i="22" s="1"/>
  <c r="AT52" i="22" s="1"/>
  <c r="AU52" i="22" s="1"/>
  <c r="AV52" i="22" s="1"/>
  <c r="AW52" i="22" s="1"/>
  <c r="AX52" i="22" s="1"/>
  <c r="AY52" i="22" s="1"/>
  <c r="AZ52" i="22" s="1"/>
  <c r="BA52" i="22" s="1"/>
  <c r="BB52" i="22" s="1"/>
  <c r="BC52" i="22" s="1"/>
  <c r="BD52" i="22" s="1"/>
  <c r="BE52" i="22" s="1"/>
  <c r="BF52" i="22" s="1"/>
  <c r="BG52" i="22" s="1"/>
  <c r="BH52" i="22" s="1"/>
  <c r="BI52" i="22" s="1"/>
  <c r="BJ52" i="22" s="1"/>
  <c r="BK52" i="22" s="1"/>
  <c r="BL52" i="22" s="1"/>
  <c r="BM52" i="22" s="1"/>
  <c r="BN52" i="22" s="1"/>
  <c r="BO52" i="22" s="1"/>
  <c r="BP52" i="22" s="1"/>
  <c r="BQ52" i="22" s="1"/>
  <c r="BR52" i="22" s="1"/>
  <c r="BS52" i="22" s="1"/>
  <c r="BT52" i="22" s="1"/>
  <c r="BU52" i="22" s="1"/>
  <c r="BV52" i="22" s="1"/>
  <c r="BW52" i="22" s="1"/>
  <c r="BX52" i="22" s="1"/>
  <c r="BY52" i="22" s="1"/>
  <c r="BZ52" i="22" s="1"/>
  <c r="CA52" i="22" s="1"/>
  <c r="CB52" i="22" s="1"/>
  <c r="CC52" i="22" s="1"/>
  <c r="CD52" i="22" s="1"/>
  <c r="CE52" i="22" s="1"/>
  <c r="CF52" i="22" s="1"/>
  <c r="CG52" i="22" s="1"/>
  <c r="CH52" i="22" s="1"/>
  <c r="CI52" i="22" s="1"/>
  <c r="CJ52" i="22" s="1"/>
  <c r="CK52" i="22" s="1"/>
  <c r="CL52" i="22" s="1"/>
  <c r="CM52" i="22" s="1"/>
  <c r="CN52" i="22" s="1"/>
  <c r="CO52" i="22" s="1"/>
  <c r="CP52" i="22" s="1"/>
  <c r="CQ52" i="22" s="1"/>
  <c r="CR52" i="22" s="1"/>
  <c r="CS52" i="22" s="1"/>
  <c r="CT52" i="22" s="1"/>
  <c r="CU52" i="22" s="1"/>
  <c r="CV52" i="22" s="1"/>
  <c r="CW52" i="22" s="1"/>
  <c r="F53" i="22"/>
  <c r="G53" i="22" s="1"/>
  <c r="H53" i="22" s="1"/>
  <c r="I53" i="22" s="1"/>
  <c r="J53" i="22" s="1"/>
  <c r="K53" i="22" s="1"/>
  <c r="L53" i="22" s="1"/>
  <c r="M53" i="22" s="1"/>
  <c r="N53" i="22" s="1"/>
  <c r="O53" i="22" s="1"/>
  <c r="P53" i="22" s="1"/>
  <c r="Q53" i="22" s="1"/>
  <c r="R53" i="22" s="1"/>
  <c r="S53" i="22" s="1"/>
  <c r="T53" i="22" s="1"/>
  <c r="U53" i="22" s="1"/>
  <c r="V53" i="22" s="1"/>
  <c r="W53" i="22" s="1"/>
  <c r="X53" i="22" s="1"/>
  <c r="Y53" i="22" s="1"/>
  <c r="Z53" i="22" s="1"/>
  <c r="AA53" i="22" s="1"/>
  <c r="AB53" i="22" s="1"/>
  <c r="AC53" i="22" s="1"/>
  <c r="AD53" i="22" s="1"/>
  <c r="AE53" i="22" s="1"/>
  <c r="AF53" i="22" s="1"/>
  <c r="AG53" i="22" s="1"/>
  <c r="AH53" i="22" s="1"/>
  <c r="AI53" i="22" s="1"/>
  <c r="AJ53" i="22" s="1"/>
  <c r="AK53" i="22" s="1"/>
  <c r="AL53" i="22" s="1"/>
  <c r="AM53" i="22" s="1"/>
  <c r="AN53" i="22" s="1"/>
  <c r="AO53" i="22" s="1"/>
  <c r="AP53" i="22" s="1"/>
  <c r="AQ53" i="22" s="1"/>
  <c r="AR53" i="22" s="1"/>
  <c r="AS53" i="22" s="1"/>
  <c r="AT53" i="22" s="1"/>
  <c r="AU53" i="22" s="1"/>
  <c r="AV53" i="22" s="1"/>
  <c r="AW53" i="22" s="1"/>
  <c r="AX53" i="22" s="1"/>
  <c r="AY53" i="22" s="1"/>
  <c r="AZ53" i="22" s="1"/>
  <c r="BA53" i="22" s="1"/>
  <c r="BB53" i="22" s="1"/>
  <c r="BC53" i="22" s="1"/>
  <c r="BD53" i="22" s="1"/>
  <c r="BE53" i="22" s="1"/>
  <c r="BF53" i="22" s="1"/>
  <c r="BG53" i="22" s="1"/>
  <c r="BH53" i="22" s="1"/>
  <c r="BI53" i="22" s="1"/>
  <c r="BJ53" i="22" s="1"/>
  <c r="BK53" i="22" s="1"/>
  <c r="BL53" i="22" s="1"/>
  <c r="BM53" i="22" s="1"/>
  <c r="BN53" i="22" s="1"/>
  <c r="BO53" i="22" s="1"/>
  <c r="BP53" i="22" s="1"/>
  <c r="BQ53" i="22" s="1"/>
  <c r="BR53" i="22" s="1"/>
  <c r="BS53" i="22" s="1"/>
  <c r="BT53" i="22" s="1"/>
  <c r="BU53" i="22" s="1"/>
  <c r="BV53" i="22" s="1"/>
  <c r="BW53" i="22" s="1"/>
  <c r="BX53" i="22" s="1"/>
  <c r="BY53" i="22" s="1"/>
  <c r="BZ53" i="22" s="1"/>
  <c r="CA53" i="22" s="1"/>
  <c r="CB53" i="22" s="1"/>
  <c r="CC53" i="22" s="1"/>
  <c r="CD53" i="22" s="1"/>
  <c r="CE53" i="22" s="1"/>
  <c r="CF53" i="22" s="1"/>
  <c r="CG53" i="22" s="1"/>
  <c r="CH53" i="22" s="1"/>
  <c r="CI53" i="22" s="1"/>
  <c r="CJ53" i="22" s="1"/>
  <c r="CK53" i="22" s="1"/>
  <c r="CL53" i="22" s="1"/>
  <c r="CM53" i="22" s="1"/>
  <c r="CN53" i="22" s="1"/>
  <c r="CO53" i="22" s="1"/>
  <c r="CP53" i="22" s="1"/>
  <c r="CQ53" i="22" s="1"/>
  <c r="CR53" i="22" s="1"/>
  <c r="CS53" i="22" s="1"/>
  <c r="CT53" i="22" s="1"/>
  <c r="CU53" i="22" s="1"/>
  <c r="CV53" i="22" s="1"/>
  <c r="CW53" i="22" s="1"/>
  <c r="F54" i="22"/>
  <c r="G54" i="22" s="1"/>
  <c r="H54" i="22" s="1"/>
  <c r="I54" i="22" s="1"/>
  <c r="J54" i="22" s="1"/>
  <c r="K54" i="22" s="1"/>
  <c r="L54" i="22" s="1"/>
  <c r="M54" i="22" s="1"/>
  <c r="N54" i="22" s="1"/>
  <c r="O54" i="22" s="1"/>
  <c r="P54" i="22" s="1"/>
  <c r="Q54" i="22" s="1"/>
  <c r="R54" i="22" s="1"/>
  <c r="S54" i="22" s="1"/>
  <c r="T54" i="22" s="1"/>
  <c r="U54" i="22" s="1"/>
  <c r="V54" i="22" s="1"/>
  <c r="W54" i="22" s="1"/>
  <c r="X54" i="22" s="1"/>
  <c r="Y54" i="22" s="1"/>
  <c r="Z54" i="22" s="1"/>
  <c r="AA54" i="22" s="1"/>
  <c r="AB54" i="22" s="1"/>
  <c r="AC54" i="22" s="1"/>
  <c r="AD54" i="22" s="1"/>
  <c r="AE54" i="22" s="1"/>
  <c r="AF54" i="22" s="1"/>
  <c r="AG54" i="22" s="1"/>
  <c r="AH54" i="22" s="1"/>
  <c r="AI54" i="22" s="1"/>
  <c r="AJ54" i="22" s="1"/>
  <c r="AK54" i="22" s="1"/>
  <c r="AL54" i="22" s="1"/>
  <c r="AM54" i="22" s="1"/>
  <c r="AN54" i="22" s="1"/>
  <c r="AO54" i="22" s="1"/>
  <c r="AP54" i="22" s="1"/>
  <c r="AQ54" i="22" s="1"/>
  <c r="AR54" i="22" s="1"/>
  <c r="AS54" i="22" s="1"/>
  <c r="AT54" i="22" s="1"/>
  <c r="AU54" i="22" s="1"/>
  <c r="AV54" i="22" s="1"/>
  <c r="AW54" i="22" s="1"/>
  <c r="AX54" i="22" s="1"/>
  <c r="AY54" i="22" s="1"/>
  <c r="AZ54" i="22" s="1"/>
  <c r="BA54" i="22" s="1"/>
  <c r="BB54" i="22" s="1"/>
  <c r="BC54" i="22" s="1"/>
  <c r="BD54" i="22" s="1"/>
  <c r="BE54" i="22" s="1"/>
  <c r="BF54" i="22" s="1"/>
  <c r="BG54" i="22" s="1"/>
  <c r="BH54" i="22" s="1"/>
  <c r="BI54" i="22" s="1"/>
  <c r="BJ54" i="22" s="1"/>
  <c r="BK54" i="22" s="1"/>
  <c r="BL54" i="22" s="1"/>
  <c r="BM54" i="22" s="1"/>
  <c r="BN54" i="22" s="1"/>
  <c r="BO54" i="22" s="1"/>
  <c r="BP54" i="22" s="1"/>
  <c r="BQ54" i="22" s="1"/>
  <c r="BR54" i="22" s="1"/>
  <c r="BS54" i="22" s="1"/>
  <c r="BT54" i="22" s="1"/>
  <c r="BU54" i="22" s="1"/>
  <c r="BV54" i="22" s="1"/>
  <c r="BW54" i="22" s="1"/>
  <c r="BX54" i="22" s="1"/>
  <c r="BY54" i="22" s="1"/>
  <c r="BZ54" i="22" s="1"/>
  <c r="CA54" i="22" s="1"/>
  <c r="CB54" i="22" s="1"/>
  <c r="CC54" i="22" s="1"/>
  <c r="CD54" i="22" s="1"/>
  <c r="CE54" i="22" s="1"/>
  <c r="CF54" i="22" s="1"/>
  <c r="CG54" i="22" s="1"/>
  <c r="CH54" i="22" s="1"/>
  <c r="CI54" i="22" s="1"/>
  <c r="CJ54" i="22" s="1"/>
  <c r="CK54" i="22" s="1"/>
  <c r="CL54" i="22" s="1"/>
  <c r="CM54" i="22" s="1"/>
  <c r="CN54" i="22" s="1"/>
  <c r="CO54" i="22" s="1"/>
  <c r="CP54" i="22" s="1"/>
  <c r="CQ54" i="22" s="1"/>
  <c r="CR54" i="22" s="1"/>
  <c r="CS54" i="22" s="1"/>
  <c r="CT54" i="22" s="1"/>
  <c r="CU54" i="22" s="1"/>
  <c r="CV54" i="22" s="1"/>
  <c r="CW54" i="22" s="1"/>
  <c r="F55" i="22"/>
  <c r="G55" i="22" s="1"/>
  <c r="H55" i="22" s="1"/>
  <c r="I55" i="22" s="1"/>
  <c r="J55" i="22" s="1"/>
  <c r="K55" i="22" s="1"/>
  <c r="L55" i="22" s="1"/>
  <c r="M55" i="22" s="1"/>
  <c r="N55" i="22" s="1"/>
  <c r="O55" i="22" s="1"/>
  <c r="P55" i="22" s="1"/>
  <c r="Q55" i="22" s="1"/>
  <c r="R55" i="22" s="1"/>
  <c r="S55" i="22" s="1"/>
  <c r="T55" i="22" s="1"/>
  <c r="U55" i="22" s="1"/>
  <c r="V55" i="22" s="1"/>
  <c r="W55" i="22" s="1"/>
  <c r="X55" i="22" s="1"/>
  <c r="Y55" i="22" s="1"/>
  <c r="Z55" i="22" s="1"/>
  <c r="AA55" i="22" s="1"/>
  <c r="AB55" i="22" s="1"/>
  <c r="AC55" i="22" s="1"/>
  <c r="AD55" i="22" s="1"/>
  <c r="AE55" i="22" s="1"/>
  <c r="AF55" i="22" s="1"/>
  <c r="AG55" i="22" s="1"/>
  <c r="AH55" i="22" s="1"/>
  <c r="AI55" i="22" s="1"/>
  <c r="AJ55" i="22" s="1"/>
  <c r="AK55" i="22" s="1"/>
  <c r="AL55" i="22" s="1"/>
  <c r="AM55" i="22" s="1"/>
  <c r="AN55" i="22" s="1"/>
  <c r="AO55" i="22" s="1"/>
  <c r="AP55" i="22" s="1"/>
  <c r="AQ55" i="22" s="1"/>
  <c r="AR55" i="22" s="1"/>
  <c r="AS55" i="22" s="1"/>
  <c r="AT55" i="22" s="1"/>
  <c r="AU55" i="22" s="1"/>
  <c r="AV55" i="22" s="1"/>
  <c r="AW55" i="22" s="1"/>
  <c r="AX55" i="22" s="1"/>
  <c r="AY55" i="22" s="1"/>
  <c r="AZ55" i="22" s="1"/>
  <c r="BA55" i="22" s="1"/>
  <c r="BB55" i="22" s="1"/>
  <c r="BC55" i="22" s="1"/>
  <c r="BD55" i="22" s="1"/>
  <c r="BE55" i="22" s="1"/>
  <c r="BF55" i="22" s="1"/>
  <c r="BG55" i="22" s="1"/>
  <c r="BH55" i="22" s="1"/>
  <c r="BI55" i="22" s="1"/>
  <c r="BJ55" i="22" s="1"/>
  <c r="BK55" i="22" s="1"/>
  <c r="BL55" i="22" s="1"/>
  <c r="BM55" i="22" s="1"/>
  <c r="BN55" i="22" s="1"/>
  <c r="BO55" i="22" s="1"/>
  <c r="BP55" i="22" s="1"/>
  <c r="BQ55" i="22" s="1"/>
  <c r="BR55" i="22" s="1"/>
  <c r="BS55" i="22" s="1"/>
  <c r="BT55" i="22" s="1"/>
  <c r="BU55" i="22" s="1"/>
  <c r="BV55" i="22" s="1"/>
  <c r="BW55" i="22" s="1"/>
  <c r="BX55" i="22" s="1"/>
  <c r="BY55" i="22" s="1"/>
  <c r="BZ55" i="22" s="1"/>
  <c r="CA55" i="22" s="1"/>
  <c r="CB55" i="22" s="1"/>
  <c r="CC55" i="22" s="1"/>
  <c r="CD55" i="22" s="1"/>
  <c r="CE55" i="22" s="1"/>
  <c r="CF55" i="22" s="1"/>
  <c r="CG55" i="22" s="1"/>
  <c r="CH55" i="22" s="1"/>
  <c r="CI55" i="22" s="1"/>
  <c r="CJ55" i="22" s="1"/>
  <c r="CK55" i="22" s="1"/>
  <c r="CL55" i="22" s="1"/>
  <c r="CM55" i="22" s="1"/>
  <c r="CN55" i="22" s="1"/>
  <c r="CO55" i="22" s="1"/>
  <c r="CP55" i="22" s="1"/>
  <c r="CQ55" i="22" s="1"/>
  <c r="CR55" i="22" s="1"/>
  <c r="CS55" i="22" s="1"/>
  <c r="CT55" i="22" s="1"/>
  <c r="CU55" i="22" s="1"/>
  <c r="CV55" i="22" s="1"/>
  <c r="CW55" i="22" s="1"/>
  <c r="F56" i="22"/>
  <c r="G56" i="22" s="1"/>
  <c r="H56" i="22" s="1"/>
  <c r="I56" i="22" s="1"/>
  <c r="J56" i="22" s="1"/>
  <c r="K56" i="22" s="1"/>
  <c r="L56" i="22" s="1"/>
  <c r="M56" i="22" s="1"/>
  <c r="N56" i="22" s="1"/>
  <c r="O56" i="22" s="1"/>
  <c r="P56" i="22" s="1"/>
  <c r="Q56" i="22" s="1"/>
  <c r="R56" i="22" s="1"/>
  <c r="S56" i="22" s="1"/>
  <c r="T56" i="22" s="1"/>
  <c r="U56" i="22" s="1"/>
  <c r="V56" i="22" s="1"/>
  <c r="W56" i="22" s="1"/>
  <c r="X56" i="22" s="1"/>
  <c r="Y56" i="22" s="1"/>
  <c r="Z56" i="22" s="1"/>
  <c r="AA56" i="22" s="1"/>
  <c r="AB56" i="22" s="1"/>
  <c r="AC56" i="22" s="1"/>
  <c r="AD56" i="22" s="1"/>
  <c r="AE56" i="22" s="1"/>
  <c r="AF56" i="22" s="1"/>
  <c r="AG56" i="22" s="1"/>
  <c r="AH56" i="22" s="1"/>
  <c r="AI56" i="22" s="1"/>
  <c r="AJ56" i="22" s="1"/>
  <c r="AK56" i="22" s="1"/>
  <c r="AL56" i="22" s="1"/>
  <c r="AM56" i="22" s="1"/>
  <c r="AN56" i="22" s="1"/>
  <c r="AO56" i="22" s="1"/>
  <c r="AP56" i="22" s="1"/>
  <c r="AQ56" i="22" s="1"/>
  <c r="AR56" i="22" s="1"/>
  <c r="AS56" i="22" s="1"/>
  <c r="AT56" i="22" s="1"/>
  <c r="AU56" i="22" s="1"/>
  <c r="AV56" i="22" s="1"/>
  <c r="AW56" i="22" s="1"/>
  <c r="AX56" i="22" s="1"/>
  <c r="AY56" i="22" s="1"/>
  <c r="AZ56" i="22" s="1"/>
  <c r="BA56" i="22" s="1"/>
  <c r="BB56" i="22" s="1"/>
  <c r="BC56" i="22" s="1"/>
  <c r="BD56" i="22" s="1"/>
  <c r="BE56" i="22" s="1"/>
  <c r="BF56" i="22" s="1"/>
  <c r="BG56" i="22" s="1"/>
  <c r="BH56" i="22" s="1"/>
  <c r="BI56" i="22" s="1"/>
  <c r="BJ56" i="22" s="1"/>
  <c r="BK56" i="22" s="1"/>
  <c r="BL56" i="22" s="1"/>
  <c r="BM56" i="22" s="1"/>
  <c r="BN56" i="22" s="1"/>
  <c r="BO56" i="22" s="1"/>
  <c r="BP56" i="22" s="1"/>
  <c r="BQ56" i="22" s="1"/>
  <c r="BR56" i="22" s="1"/>
  <c r="BS56" i="22" s="1"/>
  <c r="BT56" i="22" s="1"/>
  <c r="BU56" i="22" s="1"/>
  <c r="BV56" i="22" s="1"/>
  <c r="BW56" i="22" s="1"/>
  <c r="BX56" i="22" s="1"/>
  <c r="BY56" i="22" s="1"/>
  <c r="BZ56" i="22" s="1"/>
  <c r="CA56" i="22" s="1"/>
  <c r="CB56" i="22" s="1"/>
  <c r="CC56" i="22" s="1"/>
  <c r="CD56" i="22" s="1"/>
  <c r="CE56" i="22" s="1"/>
  <c r="CF56" i="22" s="1"/>
  <c r="CG56" i="22" s="1"/>
  <c r="CH56" i="22" s="1"/>
  <c r="CI56" i="22" s="1"/>
  <c r="CJ56" i="22" s="1"/>
  <c r="CK56" i="22" s="1"/>
  <c r="CL56" i="22" s="1"/>
  <c r="CM56" i="22" s="1"/>
  <c r="CN56" i="22" s="1"/>
  <c r="CO56" i="22" s="1"/>
  <c r="CP56" i="22" s="1"/>
  <c r="CQ56" i="22" s="1"/>
  <c r="CR56" i="22" s="1"/>
  <c r="CS56" i="22" s="1"/>
  <c r="CT56" i="22" s="1"/>
  <c r="CU56" i="22" s="1"/>
  <c r="CV56" i="22" s="1"/>
  <c r="CW56" i="22" s="1"/>
  <c r="F57" i="22"/>
  <c r="G57" i="22" s="1"/>
  <c r="H57" i="22" s="1"/>
  <c r="I57" i="22" s="1"/>
  <c r="J57" i="22" s="1"/>
  <c r="K57" i="22" s="1"/>
  <c r="L57" i="22" s="1"/>
  <c r="M57" i="22" s="1"/>
  <c r="N57" i="22" s="1"/>
  <c r="O57" i="22" s="1"/>
  <c r="P57" i="22" s="1"/>
  <c r="Q57" i="22" s="1"/>
  <c r="R57" i="22" s="1"/>
  <c r="S57" i="22" s="1"/>
  <c r="T57" i="22" s="1"/>
  <c r="U57" i="22" s="1"/>
  <c r="V57" i="22" s="1"/>
  <c r="W57" i="22" s="1"/>
  <c r="X57" i="22" s="1"/>
  <c r="Y57" i="22" s="1"/>
  <c r="Z57" i="22" s="1"/>
  <c r="AA57" i="22" s="1"/>
  <c r="AB57" i="22" s="1"/>
  <c r="AC57" i="22" s="1"/>
  <c r="AD57" i="22" s="1"/>
  <c r="AE57" i="22" s="1"/>
  <c r="AF57" i="22" s="1"/>
  <c r="AG57" i="22" s="1"/>
  <c r="AH57" i="22" s="1"/>
  <c r="AI57" i="22" s="1"/>
  <c r="AJ57" i="22" s="1"/>
  <c r="AK57" i="22" s="1"/>
  <c r="AL57" i="22" s="1"/>
  <c r="AM57" i="22" s="1"/>
  <c r="AN57" i="22" s="1"/>
  <c r="AO57" i="22" s="1"/>
  <c r="AP57" i="22" s="1"/>
  <c r="AQ57" i="22" s="1"/>
  <c r="AR57" i="22" s="1"/>
  <c r="AS57" i="22" s="1"/>
  <c r="AT57" i="22" s="1"/>
  <c r="AU57" i="22" s="1"/>
  <c r="AV57" i="22" s="1"/>
  <c r="AW57" i="22" s="1"/>
  <c r="AX57" i="22" s="1"/>
  <c r="AY57" i="22" s="1"/>
  <c r="AZ57" i="22" s="1"/>
  <c r="BA57" i="22" s="1"/>
  <c r="BB57" i="22" s="1"/>
  <c r="BC57" i="22" s="1"/>
  <c r="BD57" i="22" s="1"/>
  <c r="BE57" i="22" s="1"/>
  <c r="BF57" i="22" s="1"/>
  <c r="BG57" i="22" s="1"/>
  <c r="BH57" i="22" s="1"/>
  <c r="BI57" i="22" s="1"/>
  <c r="BJ57" i="22" s="1"/>
  <c r="BK57" i="22" s="1"/>
  <c r="BL57" i="22" s="1"/>
  <c r="BM57" i="22" s="1"/>
  <c r="BN57" i="22" s="1"/>
  <c r="BO57" i="22" s="1"/>
  <c r="BP57" i="22" s="1"/>
  <c r="BQ57" i="22" s="1"/>
  <c r="BR57" i="22" s="1"/>
  <c r="BS57" i="22" s="1"/>
  <c r="BT57" i="22" s="1"/>
  <c r="BU57" i="22" s="1"/>
  <c r="BV57" i="22" s="1"/>
  <c r="BW57" i="22" s="1"/>
  <c r="BX57" i="22" s="1"/>
  <c r="BY57" i="22" s="1"/>
  <c r="BZ57" i="22" s="1"/>
  <c r="CA57" i="22" s="1"/>
  <c r="CB57" i="22" s="1"/>
  <c r="CC57" i="22" s="1"/>
  <c r="CD57" i="22" s="1"/>
  <c r="CE57" i="22" s="1"/>
  <c r="CF57" i="22" s="1"/>
  <c r="CG57" i="22" s="1"/>
  <c r="CH57" i="22" s="1"/>
  <c r="CI57" i="22" s="1"/>
  <c r="CJ57" i="22" s="1"/>
  <c r="CK57" i="22" s="1"/>
  <c r="CL57" i="22" s="1"/>
  <c r="CM57" i="22" s="1"/>
  <c r="CN57" i="22" s="1"/>
  <c r="CO57" i="22" s="1"/>
  <c r="CP57" i="22" s="1"/>
  <c r="CQ57" i="22" s="1"/>
  <c r="CR57" i="22" s="1"/>
  <c r="CS57" i="22" s="1"/>
  <c r="CT57" i="22" s="1"/>
  <c r="CU57" i="22" s="1"/>
  <c r="CV57" i="22" s="1"/>
  <c r="CW57" i="22" s="1"/>
  <c r="F58" i="22"/>
  <c r="G58" i="22" s="1"/>
  <c r="H58" i="22" s="1"/>
  <c r="I58" i="22" s="1"/>
  <c r="J58" i="22" s="1"/>
  <c r="K58" i="22" s="1"/>
  <c r="L58" i="22" s="1"/>
  <c r="M58" i="22" s="1"/>
  <c r="N58" i="22" s="1"/>
  <c r="O58" i="22" s="1"/>
  <c r="P58" i="22" s="1"/>
  <c r="Q58" i="22" s="1"/>
  <c r="R58" i="22" s="1"/>
  <c r="S58" i="22" s="1"/>
  <c r="T58" i="22" s="1"/>
  <c r="U58" i="22" s="1"/>
  <c r="V58" i="22" s="1"/>
  <c r="W58" i="22" s="1"/>
  <c r="X58" i="22" s="1"/>
  <c r="Y58" i="22" s="1"/>
  <c r="Z58" i="22" s="1"/>
  <c r="AA58" i="22" s="1"/>
  <c r="AB58" i="22" s="1"/>
  <c r="AC58" i="22" s="1"/>
  <c r="AD58" i="22" s="1"/>
  <c r="AE58" i="22" s="1"/>
  <c r="AF58" i="22" s="1"/>
  <c r="AG58" i="22" s="1"/>
  <c r="AH58" i="22" s="1"/>
  <c r="AI58" i="22" s="1"/>
  <c r="AJ58" i="22" s="1"/>
  <c r="AK58" i="22" s="1"/>
  <c r="AL58" i="22" s="1"/>
  <c r="AM58" i="22" s="1"/>
  <c r="AN58" i="22" s="1"/>
  <c r="AO58" i="22" s="1"/>
  <c r="AP58" i="22" s="1"/>
  <c r="AQ58" i="22" s="1"/>
  <c r="AR58" i="22" s="1"/>
  <c r="AS58" i="22" s="1"/>
  <c r="AT58" i="22" s="1"/>
  <c r="AU58" i="22" s="1"/>
  <c r="AV58" i="22" s="1"/>
  <c r="AW58" i="22" s="1"/>
  <c r="AX58" i="22" s="1"/>
  <c r="AY58" i="22" s="1"/>
  <c r="AZ58" i="22" s="1"/>
  <c r="BA58" i="22" s="1"/>
  <c r="BB58" i="22" s="1"/>
  <c r="BC58" i="22" s="1"/>
  <c r="BD58" i="22" s="1"/>
  <c r="BE58" i="22" s="1"/>
  <c r="BF58" i="22" s="1"/>
  <c r="BG58" i="22" s="1"/>
  <c r="BH58" i="22" s="1"/>
  <c r="BI58" i="22" s="1"/>
  <c r="BJ58" i="22" s="1"/>
  <c r="BK58" i="22" s="1"/>
  <c r="BL58" i="22" s="1"/>
  <c r="BM58" i="22" s="1"/>
  <c r="BN58" i="22" s="1"/>
  <c r="BO58" i="22" s="1"/>
  <c r="BP58" i="22" s="1"/>
  <c r="BQ58" i="22" s="1"/>
  <c r="BR58" i="22" s="1"/>
  <c r="BS58" i="22" s="1"/>
  <c r="BT58" i="22" s="1"/>
  <c r="BU58" i="22" s="1"/>
  <c r="BV58" i="22" s="1"/>
  <c r="BW58" i="22" s="1"/>
  <c r="BX58" i="22" s="1"/>
  <c r="BY58" i="22" s="1"/>
  <c r="BZ58" i="22" s="1"/>
  <c r="CA58" i="22" s="1"/>
  <c r="CB58" i="22" s="1"/>
  <c r="CC58" i="22" s="1"/>
  <c r="CD58" i="22" s="1"/>
  <c r="CE58" i="22" s="1"/>
  <c r="CF58" i="22" s="1"/>
  <c r="CG58" i="22" s="1"/>
  <c r="CH58" i="22" s="1"/>
  <c r="CI58" i="22" s="1"/>
  <c r="CJ58" i="22" s="1"/>
  <c r="CK58" i="22" s="1"/>
  <c r="CL58" i="22" s="1"/>
  <c r="CM58" i="22" s="1"/>
  <c r="CN58" i="22" s="1"/>
  <c r="CO58" i="22" s="1"/>
  <c r="CP58" i="22" s="1"/>
  <c r="CQ58" i="22" s="1"/>
  <c r="CR58" i="22" s="1"/>
  <c r="CS58" i="22" s="1"/>
  <c r="CT58" i="22" s="1"/>
  <c r="CU58" i="22" s="1"/>
  <c r="CV58" i="22" s="1"/>
  <c r="CW58" i="22" s="1"/>
  <c r="F59" i="22"/>
  <c r="G59" i="22" s="1"/>
  <c r="H59" i="22" s="1"/>
  <c r="I59" i="22" s="1"/>
  <c r="J59" i="22" s="1"/>
  <c r="K59" i="22" s="1"/>
  <c r="L59" i="22" s="1"/>
  <c r="M59" i="22" s="1"/>
  <c r="N59" i="22" s="1"/>
  <c r="O59" i="22" s="1"/>
  <c r="P59" i="22" s="1"/>
  <c r="Q59" i="22" s="1"/>
  <c r="R59" i="22" s="1"/>
  <c r="S59" i="22" s="1"/>
  <c r="T59" i="22" s="1"/>
  <c r="U59" i="22" s="1"/>
  <c r="V59" i="22" s="1"/>
  <c r="W59" i="22" s="1"/>
  <c r="X59" i="22" s="1"/>
  <c r="Y59" i="22" s="1"/>
  <c r="Z59" i="22" s="1"/>
  <c r="AA59" i="22" s="1"/>
  <c r="AB59" i="22" s="1"/>
  <c r="AC59" i="22" s="1"/>
  <c r="AD59" i="22" s="1"/>
  <c r="AE59" i="22" s="1"/>
  <c r="AF59" i="22" s="1"/>
  <c r="AG59" i="22" s="1"/>
  <c r="AH59" i="22" s="1"/>
  <c r="AI59" i="22" s="1"/>
  <c r="AJ59" i="22" s="1"/>
  <c r="AK59" i="22" s="1"/>
  <c r="AL59" i="22" s="1"/>
  <c r="AM59" i="22" s="1"/>
  <c r="AN59" i="22" s="1"/>
  <c r="AO59" i="22" s="1"/>
  <c r="AP59" i="22" s="1"/>
  <c r="AQ59" i="22" s="1"/>
  <c r="AR59" i="22" s="1"/>
  <c r="AS59" i="22" s="1"/>
  <c r="AT59" i="22" s="1"/>
  <c r="AU59" i="22" s="1"/>
  <c r="AV59" i="22" s="1"/>
  <c r="AW59" i="22" s="1"/>
  <c r="AX59" i="22" s="1"/>
  <c r="AY59" i="22" s="1"/>
  <c r="AZ59" i="22" s="1"/>
  <c r="BA59" i="22" s="1"/>
  <c r="BB59" i="22" s="1"/>
  <c r="BC59" i="22" s="1"/>
  <c r="BD59" i="22" s="1"/>
  <c r="BE59" i="22" s="1"/>
  <c r="BF59" i="22" s="1"/>
  <c r="BG59" i="22" s="1"/>
  <c r="BH59" i="22" s="1"/>
  <c r="BI59" i="22" s="1"/>
  <c r="BJ59" i="22" s="1"/>
  <c r="BK59" i="22" s="1"/>
  <c r="BL59" i="22" s="1"/>
  <c r="BM59" i="22" s="1"/>
  <c r="BN59" i="22" s="1"/>
  <c r="BO59" i="22" s="1"/>
  <c r="BP59" i="22" s="1"/>
  <c r="BQ59" i="22" s="1"/>
  <c r="BR59" i="22" s="1"/>
  <c r="BS59" i="22" s="1"/>
  <c r="BT59" i="22" s="1"/>
  <c r="BU59" i="22" s="1"/>
  <c r="BV59" i="22" s="1"/>
  <c r="BW59" i="22" s="1"/>
  <c r="BX59" i="22" s="1"/>
  <c r="BY59" i="22" s="1"/>
  <c r="BZ59" i="22" s="1"/>
  <c r="CA59" i="22" s="1"/>
  <c r="CB59" i="22" s="1"/>
  <c r="CC59" i="22" s="1"/>
  <c r="CD59" i="22" s="1"/>
  <c r="CE59" i="22" s="1"/>
  <c r="CF59" i="22" s="1"/>
  <c r="CG59" i="22" s="1"/>
  <c r="CH59" i="22" s="1"/>
  <c r="CI59" i="22" s="1"/>
  <c r="CJ59" i="22" s="1"/>
  <c r="CK59" i="22" s="1"/>
  <c r="CL59" i="22" s="1"/>
  <c r="CM59" i="22" s="1"/>
  <c r="CN59" i="22" s="1"/>
  <c r="CO59" i="22" s="1"/>
  <c r="CP59" i="22" s="1"/>
  <c r="CQ59" i="22" s="1"/>
  <c r="CR59" i="22" s="1"/>
  <c r="CS59" i="22" s="1"/>
  <c r="CT59" i="22" s="1"/>
  <c r="CU59" i="22" s="1"/>
  <c r="CV59" i="22" s="1"/>
  <c r="CW59" i="22" s="1"/>
  <c r="F60" i="22"/>
  <c r="G60" i="22" s="1"/>
  <c r="H60" i="22" s="1"/>
  <c r="I60" i="22" s="1"/>
  <c r="J60" i="22" s="1"/>
  <c r="K60" i="22" s="1"/>
  <c r="L60" i="22" s="1"/>
  <c r="M60" i="22" s="1"/>
  <c r="N60" i="22" s="1"/>
  <c r="O60" i="22" s="1"/>
  <c r="P60" i="22" s="1"/>
  <c r="Q60" i="22" s="1"/>
  <c r="R60" i="22" s="1"/>
  <c r="S60" i="22" s="1"/>
  <c r="T60" i="22" s="1"/>
  <c r="U60" i="22" s="1"/>
  <c r="V60" i="22" s="1"/>
  <c r="W60" i="22" s="1"/>
  <c r="X60" i="22" s="1"/>
  <c r="Y60" i="22" s="1"/>
  <c r="Z60" i="22" s="1"/>
  <c r="AA60" i="22" s="1"/>
  <c r="AB60" i="22" s="1"/>
  <c r="AC60" i="22" s="1"/>
  <c r="AD60" i="22" s="1"/>
  <c r="AE60" i="22" s="1"/>
  <c r="AF60" i="22" s="1"/>
  <c r="AG60" i="22" s="1"/>
  <c r="AH60" i="22" s="1"/>
  <c r="AI60" i="22" s="1"/>
  <c r="AJ60" i="22" s="1"/>
  <c r="AK60" i="22" s="1"/>
  <c r="AL60" i="22" s="1"/>
  <c r="AM60" i="22" s="1"/>
  <c r="AN60" i="22" s="1"/>
  <c r="AO60" i="22" s="1"/>
  <c r="AP60" i="22" s="1"/>
  <c r="AQ60" i="22" s="1"/>
  <c r="AR60" i="22" s="1"/>
  <c r="AS60" i="22" s="1"/>
  <c r="AT60" i="22" s="1"/>
  <c r="AU60" i="22" s="1"/>
  <c r="AV60" i="22" s="1"/>
  <c r="AW60" i="22" s="1"/>
  <c r="AX60" i="22" s="1"/>
  <c r="AY60" i="22" s="1"/>
  <c r="AZ60" i="22" s="1"/>
  <c r="BA60" i="22" s="1"/>
  <c r="BB60" i="22" s="1"/>
  <c r="BC60" i="22" s="1"/>
  <c r="BD60" i="22" s="1"/>
  <c r="BE60" i="22" s="1"/>
  <c r="BF60" i="22" s="1"/>
  <c r="BG60" i="22" s="1"/>
  <c r="BH60" i="22" s="1"/>
  <c r="BI60" i="22" s="1"/>
  <c r="BJ60" i="22" s="1"/>
  <c r="BK60" i="22" s="1"/>
  <c r="BL60" i="22" s="1"/>
  <c r="BM60" i="22" s="1"/>
  <c r="BN60" i="22" s="1"/>
  <c r="BO60" i="22" s="1"/>
  <c r="BP60" i="22" s="1"/>
  <c r="BQ60" i="22" s="1"/>
  <c r="BR60" i="22" s="1"/>
  <c r="BS60" i="22" s="1"/>
  <c r="BT60" i="22" s="1"/>
  <c r="BU60" i="22" s="1"/>
  <c r="BV60" i="22" s="1"/>
  <c r="BW60" i="22" s="1"/>
  <c r="BX60" i="22" s="1"/>
  <c r="BY60" i="22" s="1"/>
  <c r="BZ60" i="22" s="1"/>
  <c r="CA60" i="22" s="1"/>
  <c r="CB60" i="22" s="1"/>
  <c r="CC60" i="22" s="1"/>
  <c r="CD60" i="22" s="1"/>
  <c r="CE60" i="22" s="1"/>
  <c r="CF60" i="22" s="1"/>
  <c r="CG60" i="22" s="1"/>
  <c r="CH60" i="22" s="1"/>
  <c r="CI60" i="22" s="1"/>
  <c r="CJ60" i="22" s="1"/>
  <c r="CK60" i="22" s="1"/>
  <c r="CL60" i="22" s="1"/>
  <c r="CM60" i="22" s="1"/>
  <c r="CN60" i="22" s="1"/>
  <c r="CO60" i="22" s="1"/>
  <c r="CP60" i="22" s="1"/>
  <c r="CQ60" i="22" s="1"/>
  <c r="CR60" i="22" s="1"/>
  <c r="CS60" i="22" s="1"/>
  <c r="CT60" i="22" s="1"/>
  <c r="CU60" i="22" s="1"/>
  <c r="CV60" i="22" s="1"/>
  <c r="CW60" i="22" s="1"/>
  <c r="F61" i="22"/>
  <c r="G61" i="22" s="1"/>
  <c r="H61" i="22" s="1"/>
  <c r="I61" i="22" s="1"/>
  <c r="J61" i="22" s="1"/>
  <c r="K61" i="22" s="1"/>
  <c r="L61" i="22" s="1"/>
  <c r="M61" i="22" s="1"/>
  <c r="N61" i="22" s="1"/>
  <c r="O61" i="22" s="1"/>
  <c r="P61" i="22" s="1"/>
  <c r="Q61" i="22" s="1"/>
  <c r="R61" i="22" s="1"/>
  <c r="S61" i="22" s="1"/>
  <c r="T61" i="22" s="1"/>
  <c r="U61" i="22" s="1"/>
  <c r="V61" i="22" s="1"/>
  <c r="W61" i="22" s="1"/>
  <c r="X61" i="22" s="1"/>
  <c r="Y61" i="22" s="1"/>
  <c r="Z61" i="22" s="1"/>
  <c r="AA61" i="22" s="1"/>
  <c r="AB61" i="22" s="1"/>
  <c r="AC61" i="22" s="1"/>
  <c r="AD61" i="22" s="1"/>
  <c r="AE61" i="22" s="1"/>
  <c r="AF61" i="22" s="1"/>
  <c r="AG61" i="22" s="1"/>
  <c r="AH61" i="22" s="1"/>
  <c r="AI61" i="22" s="1"/>
  <c r="AJ61" i="22" s="1"/>
  <c r="AK61" i="22" s="1"/>
  <c r="AL61" i="22" s="1"/>
  <c r="AM61" i="22" s="1"/>
  <c r="AN61" i="22" s="1"/>
  <c r="AO61" i="22" s="1"/>
  <c r="AP61" i="22" s="1"/>
  <c r="AQ61" i="22" s="1"/>
  <c r="AR61" i="22" s="1"/>
  <c r="AS61" i="22" s="1"/>
  <c r="AT61" i="22" s="1"/>
  <c r="AU61" i="22" s="1"/>
  <c r="AV61" i="22" s="1"/>
  <c r="AW61" i="22" s="1"/>
  <c r="AX61" i="22" s="1"/>
  <c r="AY61" i="22" s="1"/>
  <c r="AZ61" i="22" s="1"/>
  <c r="BA61" i="22" s="1"/>
  <c r="BB61" i="22" s="1"/>
  <c r="BC61" i="22" s="1"/>
  <c r="BD61" i="22" s="1"/>
  <c r="BE61" i="22" s="1"/>
  <c r="BF61" i="22" s="1"/>
  <c r="BG61" i="22" s="1"/>
  <c r="BH61" i="22" s="1"/>
  <c r="BI61" i="22" s="1"/>
  <c r="BJ61" i="22" s="1"/>
  <c r="BK61" i="22" s="1"/>
  <c r="BL61" i="22" s="1"/>
  <c r="BM61" i="22" s="1"/>
  <c r="BN61" i="22" s="1"/>
  <c r="BO61" i="22" s="1"/>
  <c r="BP61" i="22" s="1"/>
  <c r="BQ61" i="22" s="1"/>
  <c r="BR61" i="22" s="1"/>
  <c r="BS61" i="22" s="1"/>
  <c r="BT61" i="22" s="1"/>
  <c r="BU61" i="22" s="1"/>
  <c r="BV61" i="22" s="1"/>
  <c r="BW61" i="22" s="1"/>
  <c r="BX61" i="22" s="1"/>
  <c r="BY61" i="22" s="1"/>
  <c r="BZ61" i="22" s="1"/>
  <c r="CA61" i="22" s="1"/>
  <c r="CB61" i="22" s="1"/>
  <c r="CC61" i="22" s="1"/>
  <c r="CD61" i="22" s="1"/>
  <c r="CE61" i="22" s="1"/>
  <c r="CF61" i="22" s="1"/>
  <c r="CG61" i="22" s="1"/>
  <c r="CH61" i="22" s="1"/>
  <c r="CI61" i="22" s="1"/>
  <c r="CJ61" i="22" s="1"/>
  <c r="CK61" i="22" s="1"/>
  <c r="CL61" i="22" s="1"/>
  <c r="CM61" i="22" s="1"/>
  <c r="CN61" i="22" s="1"/>
  <c r="CO61" i="22" s="1"/>
  <c r="CP61" i="22" s="1"/>
  <c r="CQ61" i="22" s="1"/>
  <c r="CR61" i="22" s="1"/>
  <c r="CS61" i="22" s="1"/>
  <c r="CT61" i="22" s="1"/>
  <c r="CU61" i="22" s="1"/>
  <c r="CV61" i="22" s="1"/>
  <c r="CW61" i="22" s="1"/>
  <c r="F62" i="22"/>
  <c r="G62" i="22" s="1"/>
  <c r="H62" i="22" s="1"/>
  <c r="I62" i="22" s="1"/>
  <c r="J62" i="22" s="1"/>
  <c r="K62" i="22" s="1"/>
  <c r="L62" i="22" s="1"/>
  <c r="M62" i="22" s="1"/>
  <c r="N62" i="22" s="1"/>
  <c r="O62" i="22" s="1"/>
  <c r="P62" i="22" s="1"/>
  <c r="Q62" i="22" s="1"/>
  <c r="R62" i="22" s="1"/>
  <c r="S62" i="22" s="1"/>
  <c r="T62" i="22" s="1"/>
  <c r="U62" i="22" s="1"/>
  <c r="V62" i="22" s="1"/>
  <c r="W62" i="22" s="1"/>
  <c r="X62" i="22" s="1"/>
  <c r="Y62" i="22" s="1"/>
  <c r="Z62" i="22" s="1"/>
  <c r="AA62" i="22" s="1"/>
  <c r="AB62" i="22" s="1"/>
  <c r="AC62" i="22" s="1"/>
  <c r="AD62" i="22" s="1"/>
  <c r="AE62" i="22" s="1"/>
  <c r="AF62" i="22" s="1"/>
  <c r="AG62" i="22" s="1"/>
  <c r="AH62" i="22" s="1"/>
  <c r="AI62" i="22" s="1"/>
  <c r="AJ62" i="22" s="1"/>
  <c r="AK62" i="22" s="1"/>
  <c r="AL62" i="22" s="1"/>
  <c r="AM62" i="22" s="1"/>
  <c r="AN62" i="22" s="1"/>
  <c r="AO62" i="22" s="1"/>
  <c r="AP62" i="22" s="1"/>
  <c r="AQ62" i="22" s="1"/>
  <c r="AR62" i="22" s="1"/>
  <c r="AS62" i="22" s="1"/>
  <c r="AT62" i="22" s="1"/>
  <c r="AU62" i="22" s="1"/>
  <c r="AV62" i="22" s="1"/>
  <c r="AW62" i="22" s="1"/>
  <c r="AX62" i="22" s="1"/>
  <c r="AY62" i="22" s="1"/>
  <c r="AZ62" i="22" s="1"/>
  <c r="BA62" i="22" s="1"/>
  <c r="BB62" i="22" s="1"/>
  <c r="BC62" i="22" s="1"/>
  <c r="BD62" i="22" s="1"/>
  <c r="BE62" i="22" s="1"/>
  <c r="BF62" i="22" s="1"/>
  <c r="BG62" i="22" s="1"/>
  <c r="BH62" i="22" s="1"/>
  <c r="BI62" i="22" s="1"/>
  <c r="BJ62" i="22" s="1"/>
  <c r="BK62" i="22" s="1"/>
  <c r="BL62" i="22" s="1"/>
  <c r="BM62" i="22" s="1"/>
  <c r="BN62" i="22" s="1"/>
  <c r="BO62" i="22" s="1"/>
  <c r="BP62" i="22" s="1"/>
  <c r="BQ62" i="22" s="1"/>
  <c r="BR62" i="22" s="1"/>
  <c r="BS62" i="22" s="1"/>
  <c r="BT62" i="22" s="1"/>
  <c r="BU62" i="22" s="1"/>
  <c r="BV62" i="22" s="1"/>
  <c r="BW62" i="22" s="1"/>
  <c r="BX62" i="22" s="1"/>
  <c r="BY62" i="22" s="1"/>
  <c r="BZ62" i="22" s="1"/>
  <c r="CA62" i="22" s="1"/>
  <c r="CB62" i="22" s="1"/>
  <c r="CC62" i="22" s="1"/>
  <c r="CD62" i="22" s="1"/>
  <c r="CE62" i="22" s="1"/>
  <c r="CF62" i="22" s="1"/>
  <c r="CG62" i="22" s="1"/>
  <c r="CH62" i="22" s="1"/>
  <c r="CI62" i="22" s="1"/>
  <c r="CJ62" i="22" s="1"/>
  <c r="CK62" i="22" s="1"/>
  <c r="CL62" i="22" s="1"/>
  <c r="CM62" i="22" s="1"/>
  <c r="CN62" i="22" s="1"/>
  <c r="CO62" i="22" s="1"/>
  <c r="CP62" i="22" s="1"/>
  <c r="CQ62" i="22" s="1"/>
  <c r="CR62" i="22" s="1"/>
  <c r="CS62" i="22" s="1"/>
  <c r="CT62" i="22" s="1"/>
  <c r="CU62" i="22" s="1"/>
  <c r="CV62" i="22" s="1"/>
  <c r="CW62" i="22" s="1"/>
  <c r="F63" i="22"/>
  <c r="G63" i="22" s="1"/>
  <c r="H63" i="22" s="1"/>
  <c r="I63" i="22" s="1"/>
  <c r="J63" i="22" s="1"/>
  <c r="K63" i="22" s="1"/>
  <c r="L63" i="22" s="1"/>
  <c r="M63" i="22" s="1"/>
  <c r="N63" i="22" s="1"/>
  <c r="O63" i="22" s="1"/>
  <c r="P63" i="22" s="1"/>
  <c r="Q63" i="22" s="1"/>
  <c r="R63" i="22" s="1"/>
  <c r="S63" i="22" s="1"/>
  <c r="T63" i="22" s="1"/>
  <c r="U63" i="22" s="1"/>
  <c r="V63" i="22" s="1"/>
  <c r="W63" i="22" s="1"/>
  <c r="X63" i="22" s="1"/>
  <c r="Y63" i="22" s="1"/>
  <c r="Z63" i="22" s="1"/>
  <c r="AA63" i="22" s="1"/>
  <c r="AB63" i="22" s="1"/>
  <c r="AC63" i="22" s="1"/>
  <c r="AD63" i="22" s="1"/>
  <c r="AE63" i="22" s="1"/>
  <c r="AF63" i="22" s="1"/>
  <c r="AG63" i="22" s="1"/>
  <c r="AH63" i="22" s="1"/>
  <c r="AI63" i="22" s="1"/>
  <c r="AJ63" i="22" s="1"/>
  <c r="AK63" i="22" s="1"/>
  <c r="AL63" i="22" s="1"/>
  <c r="AM63" i="22" s="1"/>
  <c r="AN63" i="22" s="1"/>
  <c r="AO63" i="22" s="1"/>
  <c r="AP63" i="22" s="1"/>
  <c r="AQ63" i="22" s="1"/>
  <c r="AR63" i="22" s="1"/>
  <c r="AS63" i="22" s="1"/>
  <c r="AT63" i="22" s="1"/>
  <c r="AU63" i="22" s="1"/>
  <c r="AV63" i="22" s="1"/>
  <c r="AW63" i="22" s="1"/>
  <c r="AX63" i="22" s="1"/>
  <c r="AY63" i="22" s="1"/>
  <c r="AZ63" i="22" s="1"/>
  <c r="BA63" i="22" s="1"/>
  <c r="BB63" i="22" s="1"/>
  <c r="BC63" i="22" s="1"/>
  <c r="BD63" i="22" s="1"/>
  <c r="BE63" i="22" s="1"/>
  <c r="BF63" i="22" s="1"/>
  <c r="BG63" i="22" s="1"/>
  <c r="BH63" i="22" s="1"/>
  <c r="BI63" i="22" s="1"/>
  <c r="BJ63" i="22" s="1"/>
  <c r="BK63" i="22" s="1"/>
  <c r="BL63" i="22" s="1"/>
  <c r="BM63" i="22" s="1"/>
  <c r="BN63" i="22" s="1"/>
  <c r="BO63" i="22" s="1"/>
  <c r="BP63" i="22" s="1"/>
  <c r="BQ63" i="22" s="1"/>
  <c r="BR63" i="22" s="1"/>
  <c r="BS63" i="22" s="1"/>
  <c r="BT63" i="22" s="1"/>
  <c r="BU63" i="22" s="1"/>
  <c r="BV63" i="22" s="1"/>
  <c r="BW63" i="22" s="1"/>
  <c r="BX63" i="22" s="1"/>
  <c r="BY63" i="22" s="1"/>
  <c r="BZ63" i="22" s="1"/>
  <c r="CA63" i="22" s="1"/>
  <c r="CB63" i="22" s="1"/>
  <c r="CC63" i="22" s="1"/>
  <c r="CD63" i="22" s="1"/>
  <c r="CE63" i="22" s="1"/>
  <c r="CF63" i="22" s="1"/>
  <c r="CG63" i="22" s="1"/>
  <c r="CH63" i="22" s="1"/>
  <c r="CI63" i="22" s="1"/>
  <c r="CJ63" i="22" s="1"/>
  <c r="CK63" i="22" s="1"/>
  <c r="CL63" i="22" s="1"/>
  <c r="CM63" i="22" s="1"/>
  <c r="CN63" i="22" s="1"/>
  <c r="CO63" i="22" s="1"/>
  <c r="CP63" i="22" s="1"/>
  <c r="CQ63" i="22" s="1"/>
  <c r="CR63" i="22" s="1"/>
  <c r="CS63" i="22" s="1"/>
  <c r="CT63" i="22" s="1"/>
  <c r="CU63" i="22" s="1"/>
  <c r="CV63" i="22" s="1"/>
  <c r="CW63" i="22" s="1"/>
  <c r="F64" i="22"/>
  <c r="G64" i="22" s="1"/>
  <c r="H64" i="22" s="1"/>
  <c r="I64" i="22" s="1"/>
  <c r="J64" i="22" s="1"/>
  <c r="K64" i="22" s="1"/>
  <c r="L64" i="22" s="1"/>
  <c r="M64" i="22" s="1"/>
  <c r="N64" i="22" s="1"/>
  <c r="O64" i="22" s="1"/>
  <c r="P64" i="22" s="1"/>
  <c r="Q64" i="22" s="1"/>
  <c r="R64" i="22" s="1"/>
  <c r="S64" i="22" s="1"/>
  <c r="T64" i="22" s="1"/>
  <c r="U64" i="22" s="1"/>
  <c r="V64" i="22" s="1"/>
  <c r="W64" i="22" s="1"/>
  <c r="X64" i="22" s="1"/>
  <c r="Y64" i="22" s="1"/>
  <c r="Z64" i="22" s="1"/>
  <c r="AA64" i="22" s="1"/>
  <c r="AB64" i="22" s="1"/>
  <c r="AC64" i="22" s="1"/>
  <c r="AD64" i="22" s="1"/>
  <c r="AE64" i="22" s="1"/>
  <c r="AF64" i="22" s="1"/>
  <c r="AG64" i="22" s="1"/>
  <c r="AH64" i="22" s="1"/>
  <c r="AI64" i="22" s="1"/>
  <c r="AJ64" i="22" s="1"/>
  <c r="AK64" i="22" s="1"/>
  <c r="AL64" i="22" s="1"/>
  <c r="AM64" i="22" s="1"/>
  <c r="AN64" i="22" s="1"/>
  <c r="AO64" i="22" s="1"/>
  <c r="AP64" i="22" s="1"/>
  <c r="AQ64" i="22" s="1"/>
  <c r="AR64" i="22" s="1"/>
  <c r="AS64" i="22" s="1"/>
  <c r="AT64" i="22" s="1"/>
  <c r="AU64" i="22" s="1"/>
  <c r="AV64" i="22" s="1"/>
  <c r="AW64" i="22" s="1"/>
  <c r="AX64" i="22" s="1"/>
  <c r="AY64" i="22" s="1"/>
  <c r="AZ64" i="22" s="1"/>
  <c r="BA64" i="22" s="1"/>
  <c r="BB64" i="22" s="1"/>
  <c r="BC64" i="22" s="1"/>
  <c r="BD64" i="22" s="1"/>
  <c r="BE64" i="22" s="1"/>
  <c r="BF64" i="22" s="1"/>
  <c r="BG64" i="22" s="1"/>
  <c r="BH64" i="22" s="1"/>
  <c r="BI64" i="22" s="1"/>
  <c r="BJ64" i="22" s="1"/>
  <c r="BK64" i="22" s="1"/>
  <c r="BL64" i="22" s="1"/>
  <c r="BM64" i="22" s="1"/>
  <c r="BN64" i="22" s="1"/>
  <c r="BO64" i="22" s="1"/>
  <c r="BP64" i="22" s="1"/>
  <c r="BQ64" i="22" s="1"/>
  <c r="BR64" i="22" s="1"/>
  <c r="BS64" i="22" s="1"/>
  <c r="BT64" i="22" s="1"/>
  <c r="BU64" i="22" s="1"/>
  <c r="BV64" i="22" s="1"/>
  <c r="BW64" i="22" s="1"/>
  <c r="BX64" i="22" s="1"/>
  <c r="BY64" i="22" s="1"/>
  <c r="BZ64" i="22" s="1"/>
  <c r="CA64" i="22" s="1"/>
  <c r="CB64" i="22" s="1"/>
  <c r="CC64" i="22" s="1"/>
  <c r="CD64" i="22" s="1"/>
  <c r="CE64" i="22" s="1"/>
  <c r="CF64" i="22" s="1"/>
  <c r="CG64" i="22" s="1"/>
  <c r="CH64" i="22" s="1"/>
  <c r="CI64" i="22" s="1"/>
  <c r="CJ64" i="22" s="1"/>
  <c r="CK64" i="22" s="1"/>
  <c r="CL64" i="22" s="1"/>
  <c r="CM64" i="22" s="1"/>
  <c r="CN64" i="22" s="1"/>
  <c r="CO64" i="22" s="1"/>
  <c r="CP64" i="22" s="1"/>
  <c r="CQ64" i="22" s="1"/>
  <c r="CR64" i="22" s="1"/>
  <c r="CS64" i="22" s="1"/>
  <c r="CT64" i="22" s="1"/>
  <c r="CU64" i="22" s="1"/>
  <c r="CV64" i="22" s="1"/>
  <c r="CW64" i="22" s="1"/>
  <c r="F65" i="22"/>
  <c r="G65" i="22" s="1"/>
  <c r="H65" i="22" s="1"/>
  <c r="I65" i="22" s="1"/>
  <c r="J65" i="22" s="1"/>
  <c r="K65" i="22" s="1"/>
  <c r="L65" i="22" s="1"/>
  <c r="M65" i="22" s="1"/>
  <c r="N65" i="22" s="1"/>
  <c r="O65" i="22" s="1"/>
  <c r="P65" i="22" s="1"/>
  <c r="Q65" i="22" s="1"/>
  <c r="R65" i="22" s="1"/>
  <c r="S65" i="22" s="1"/>
  <c r="T65" i="22" s="1"/>
  <c r="U65" i="22" s="1"/>
  <c r="V65" i="22" s="1"/>
  <c r="W65" i="22" s="1"/>
  <c r="X65" i="22" s="1"/>
  <c r="Y65" i="22" s="1"/>
  <c r="Z65" i="22" s="1"/>
  <c r="AA65" i="22" s="1"/>
  <c r="AB65" i="22" s="1"/>
  <c r="AC65" i="22" s="1"/>
  <c r="AD65" i="22" s="1"/>
  <c r="AE65" i="22" s="1"/>
  <c r="AF65" i="22" s="1"/>
  <c r="AG65" i="22" s="1"/>
  <c r="AH65" i="22" s="1"/>
  <c r="AI65" i="22" s="1"/>
  <c r="AJ65" i="22" s="1"/>
  <c r="AK65" i="22" s="1"/>
  <c r="AL65" i="22" s="1"/>
  <c r="AM65" i="22" s="1"/>
  <c r="AN65" i="22" s="1"/>
  <c r="AO65" i="22" s="1"/>
  <c r="AP65" i="22" s="1"/>
  <c r="AQ65" i="22" s="1"/>
  <c r="AR65" i="22" s="1"/>
  <c r="AS65" i="22" s="1"/>
  <c r="AT65" i="22" s="1"/>
  <c r="AU65" i="22" s="1"/>
  <c r="AV65" i="22" s="1"/>
  <c r="AW65" i="22" s="1"/>
  <c r="AX65" i="22" s="1"/>
  <c r="AY65" i="22" s="1"/>
  <c r="AZ65" i="22" s="1"/>
  <c r="BA65" i="22" s="1"/>
  <c r="BB65" i="22" s="1"/>
  <c r="BC65" i="22" s="1"/>
  <c r="BD65" i="22" s="1"/>
  <c r="BE65" i="22" s="1"/>
  <c r="BF65" i="22" s="1"/>
  <c r="BG65" i="22" s="1"/>
  <c r="BH65" i="22" s="1"/>
  <c r="BI65" i="22" s="1"/>
  <c r="BJ65" i="22" s="1"/>
  <c r="BK65" i="22" s="1"/>
  <c r="BL65" i="22" s="1"/>
  <c r="BM65" i="22" s="1"/>
  <c r="BN65" i="22" s="1"/>
  <c r="BO65" i="22" s="1"/>
  <c r="BP65" i="22" s="1"/>
  <c r="BQ65" i="22" s="1"/>
  <c r="BR65" i="22" s="1"/>
  <c r="BS65" i="22" s="1"/>
  <c r="BT65" i="22" s="1"/>
  <c r="BU65" i="22" s="1"/>
  <c r="BV65" i="22" s="1"/>
  <c r="BW65" i="22" s="1"/>
  <c r="BX65" i="22" s="1"/>
  <c r="BY65" i="22" s="1"/>
  <c r="BZ65" i="22" s="1"/>
  <c r="CA65" i="22" s="1"/>
  <c r="CB65" i="22" s="1"/>
  <c r="CC65" i="22" s="1"/>
  <c r="CD65" i="22" s="1"/>
  <c r="CE65" i="22" s="1"/>
  <c r="CF65" i="22" s="1"/>
  <c r="CG65" i="22" s="1"/>
  <c r="CH65" i="22" s="1"/>
  <c r="CI65" i="22" s="1"/>
  <c r="CJ65" i="22" s="1"/>
  <c r="CK65" i="22" s="1"/>
  <c r="CL65" i="22" s="1"/>
  <c r="CM65" i="22" s="1"/>
  <c r="CN65" i="22" s="1"/>
  <c r="CO65" i="22" s="1"/>
  <c r="CP65" i="22" s="1"/>
  <c r="CQ65" i="22" s="1"/>
  <c r="CR65" i="22" s="1"/>
  <c r="CS65" i="22" s="1"/>
  <c r="CT65" i="22" s="1"/>
  <c r="CU65" i="22" s="1"/>
  <c r="CV65" i="22" s="1"/>
  <c r="CW65" i="22" s="1"/>
  <c r="F66" i="22"/>
  <c r="G66" i="22" s="1"/>
  <c r="H66" i="22" s="1"/>
  <c r="I66" i="22" s="1"/>
  <c r="J66" i="22" s="1"/>
  <c r="K66" i="22" s="1"/>
  <c r="L66" i="22" s="1"/>
  <c r="M66" i="22" s="1"/>
  <c r="N66" i="22" s="1"/>
  <c r="O66" i="22" s="1"/>
  <c r="P66" i="22" s="1"/>
  <c r="Q66" i="22" s="1"/>
  <c r="R66" i="22" s="1"/>
  <c r="S66" i="22" s="1"/>
  <c r="T66" i="22" s="1"/>
  <c r="U66" i="22" s="1"/>
  <c r="V66" i="22" s="1"/>
  <c r="W66" i="22" s="1"/>
  <c r="X66" i="22" s="1"/>
  <c r="Y66" i="22" s="1"/>
  <c r="Z66" i="22" s="1"/>
  <c r="AA66" i="22" s="1"/>
  <c r="AB66" i="22" s="1"/>
  <c r="AC66" i="22" s="1"/>
  <c r="AD66" i="22" s="1"/>
  <c r="AE66" i="22" s="1"/>
  <c r="AF66" i="22" s="1"/>
  <c r="AG66" i="22" s="1"/>
  <c r="AH66" i="22" s="1"/>
  <c r="AI66" i="22" s="1"/>
  <c r="AJ66" i="22" s="1"/>
  <c r="AK66" i="22" s="1"/>
  <c r="AL66" i="22" s="1"/>
  <c r="AM66" i="22" s="1"/>
  <c r="AN66" i="22" s="1"/>
  <c r="AO66" i="22" s="1"/>
  <c r="AP66" i="22" s="1"/>
  <c r="AQ66" i="22" s="1"/>
  <c r="AR66" i="22" s="1"/>
  <c r="AS66" i="22" s="1"/>
  <c r="AT66" i="22" s="1"/>
  <c r="AU66" i="22" s="1"/>
  <c r="AV66" i="22" s="1"/>
  <c r="AW66" i="22" s="1"/>
  <c r="AX66" i="22" s="1"/>
  <c r="AY66" i="22" s="1"/>
  <c r="AZ66" i="22" s="1"/>
  <c r="BA66" i="22" s="1"/>
  <c r="BB66" i="22" s="1"/>
  <c r="BC66" i="22" s="1"/>
  <c r="BD66" i="22" s="1"/>
  <c r="BE66" i="22" s="1"/>
  <c r="BF66" i="22" s="1"/>
  <c r="BG66" i="22" s="1"/>
  <c r="BH66" i="22" s="1"/>
  <c r="BI66" i="22" s="1"/>
  <c r="BJ66" i="22" s="1"/>
  <c r="BK66" i="22" s="1"/>
  <c r="BL66" i="22" s="1"/>
  <c r="BM66" i="22" s="1"/>
  <c r="BN66" i="22" s="1"/>
  <c r="BO66" i="22" s="1"/>
  <c r="BP66" i="22" s="1"/>
  <c r="BQ66" i="22" s="1"/>
  <c r="BR66" i="22" s="1"/>
  <c r="BS66" i="22" s="1"/>
  <c r="BT66" i="22" s="1"/>
  <c r="BU66" i="22" s="1"/>
  <c r="BV66" i="22" s="1"/>
  <c r="BW66" i="22" s="1"/>
  <c r="BX66" i="22" s="1"/>
  <c r="BY66" i="22" s="1"/>
  <c r="BZ66" i="22" s="1"/>
  <c r="CA66" i="22" s="1"/>
  <c r="CB66" i="22" s="1"/>
  <c r="CC66" i="22" s="1"/>
  <c r="CD66" i="22" s="1"/>
  <c r="CE66" i="22" s="1"/>
  <c r="CF66" i="22" s="1"/>
  <c r="CG66" i="22" s="1"/>
  <c r="CH66" i="22" s="1"/>
  <c r="CI66" i="22" s="1"/>
  <c r="CJ66" i="22" s="1"/>
  <c r="CK66" i="22" s="1"/>
  <c r="CL66" i="22" s="1"/>
  <c r="CM66" i="22" s="1"/>
  <c r="CN66" i="22" s="1"/>
  <c r="CO66" i="22" s="1"/>
  <c r="CP66" i="22" s="1"/>
  <c r="CQ66" i="22" s="1"/>
  <c r="CR66" i="22" s="1"/>
  <c r="CS66" i="22" s="1"/>
  <c r="CT66" i="22" s="1"/>
  <c r="CU66" i="22" s="1"/>
  <c r="CV66" i="22" s="1"/>
  <c r="CW66" i="22" s="1"/>
  <c r="F67" i="22"/>
  <c r="G67" i="22" s="1"/>
  <c r="H67" i="22" s="1"/>
  <c r="I67" i="22" s="1"/>
  <c r="J67" i="22" s="1"/>
  <c r="K67" i="22" s="1"/>
  <c r="L67" i="22" s="1"/>
  <c r="M67" i="22" s="1"/>
  <c r="N67" i="22" s="1"/>
  <c r="O67" i="22" s="1"/>
  <c r="P67" i="22" s="1"/>
  <c r="Q67" i="22" s="1"/>
  <c r="R67" i="22" s="1"/>
  <c r="S67" i="22" s="1"/>
  <c r="T67" i="22" s="1"/>
  <c r="U67" i="22" s="1"/>
  <c r="V67" i="22" s="1"/>
  <c r="W67" i="22" s="1"/>
  <c r="X67" i="22" s="1"/>
  <c r="Y67" i="22" s="1"/>
  <c r="Z67" i="22" s="1"/>
  <c r="AA67" i="22" s="1"/>
  <c r="AB67" i="22" s="1"/>
  <c r="AC67" i="22" s="1"/>
  <c r="AD67" i="22" s="1"/>
  <c r="AE67" i="22" s="1"/>
  <c r="AF67" i="22" s="1"/>
  <c r="AG67" i="22" s="1"/>
  <c r="AH67" i="22" s="1"/>
  <c r="AI67" i="22" s="1"/>
  <c r="AJ67" i="22" s="1"/>
  <c r="AK67" i="22" s="1"/>
  <c r="AL67" i="22" s="1"/>
  <c r="AM67" i="22" s="1"/>
  <c r="AN67" i="22" s="1"/>
  <c r="AO67" i="22" s="1"/>
  <c r="AP67" i="22" s="1"/>
  <c r="AQ67" i="22" s="1"/>
  <c r="AR67" i="22" s="1"/>
  <c r="AS67" i="22" s="1"/>
  <c r="AT67" i="22" s="1"/>
  <c r="AU67" i="22" s="1"/>
  <c r="AV67" i="22" s="1"/>
  <c r="AW67" i="22" s="1"/>
  <c r="AX67" i="22" s="1"/>
  <c r="AY67" i="22" s="1"/>
  <c r="AZ67" i="22" s="1"/>
  <c r="BA67" i="22" s="1"/>
  <c r="BB67" i="22" s="1"/>
  <c r="BC67" i="22" s="1"/>
  <c r="BD67" i="22" s="1"/>
  <c r="BE67" i="22" s="1"/>
  <c r="BF67" i="22" s="1"/>
  <c r="BG67" i="22" s="1"/>
  <c r="BH67" i="22" s="1"/>
  <c r="BI67" i="22" s="1"/>
  <c r="BJ67" i="22" s="1"/>
  <c r="BK67" i="22" s="1"/>
  <c r="BL67" i="22" s="1"/>
  <c r="BM67" i="22" s="1"/>
  <c r="BN67" i="22" s="1"/>
  <c r="BO67" i="22" s="1"/>
  <c r="BP67" i="22" s="1"/>
  <c r="BQ67" i="22" s="1"/>
  <c r="BR67" i="22" s="1"/>
  <c r="BS67" i="22" s="1"/>
  <c r="BT67" i="22" s="1"/>
  <c r="BU67" i="22" s="1"/>
  <c r="BV67" i="22" s="1"/>
  <c r="BW67" i="22" s="1"/>
  <c r="BX67" i="22" s="1"/>
  <c r="BY67" i="22" s="1"/>
  <c r="BZ67" i="22" s="1"/>
  <c r="CA67" i="22" s="1"/>
  <c r="CB67" i="22" s="1"/>
  <c r="CC67" i="22" s="1"/>
  <c r="CD67" i="22" s="1"/>
  <c r="CE67" i="22" s="1"/>
  <c r="CF67" i="22" s="1"/>
  <c r="CG67" i="22" s="1"/>
  <c r="CH67" i="22" s="1"/>
  <c r="CI67" i="22" s="1"/>
  <c r="CJ67" i="22" s="1"/>
  <c r="CK67" i="22" s="1"/>
  <c r="CL67" i="22" s="1"/>
  <c r="CM67" i="22" s="1"/>
  <c r="CN67" i="22" s="1"/>
  <c r="CO67" i="22" s="1"/>
  <c r="CP67" i="22" s="1"/>
  <c r="CQ67" i="22" s="1"/>
  <c r="CR67" i="22" s="1"/>
  <c r="CS67" i="22" s="1"/>
  <c r="CT67" i="22" s="1"/>
  <c r="CU67" i="22" s="1"/>
  <c r="CV67" i="22" s="1"/>
  <c r="CW67" i="22" s="1"/>
  <c r="F68" i="22"/>
  <c r="G68" i="22" s="1"/>
  <c r="H68" i="22" s="1"/>
  <c r="I68" i="22" s="1"/>
  <c r="J68" i="22" s="1"/>
  <c r="K68" i="22" s="1"/>
  <c r="L68" i="22" s="1"/>
  <c r="M68" i="22" s="1"/>
  <c r="N68" i="22" s="1"/>
  <c r="O68" i="22" s="1"/>
  <c r="P68" i="22" s="1"/>
  <c r="Q68" i="22" s="1"/>
  <c r="R68" i="22" s="1"/>
  <c r="S68" i="22" s="1"/>
  <c r="T68" i="22" s="1"/>
  <c r="U68" i="22" s="1"/>
  <c r="V68" i="22" s="1"/>
  <c r="W68" i="22" s="1"/>
  <c r="X68" i="22" s="1"/>
  <c r="Y68" i="22" s="1"/>
  <c r="Z68" i="22" s="1"/>
  <c r="AA68" i="22" s="1"/>
  <c r="AB68" i="22" s="1"/>
  <c r="AC68" i="22" s="1"/>
  <c r="AD68" i="22" s="1"/>
  <c r="AE68" i="22" s="1"/>
  <c r="AF68" i="22" s="1"/>
  <c r="AG68" i="22" s="1"/>
  <c r="AH68" i="22" s="1"/>
  <c r="AI68" i="22" s="1"/>
  <c r="AJ68" i="22" s="1"/>
  <c r="AK68" i="22" s="1"/>
  <c r="AL68" i="22" s="1"/>
  <c r="AM68" i="22" s="1"/>
  <c r="AN68" i="22" s="1"/>
  <c r="AO68" i="22" s="1"/>
  <c r="AP68" i="22" s="1"/>
  <c r="AQ68" i="22" s="1"/>
  <c r="AR68" i="22" s="1"/>
  <c r="AS68" i="22" s="1"/>
  <c r="AT68" i="22" s="1"/>
  <c r="AU68" i="22" s="1"/>
  <c r="AV68" i="22" s="1"/>
  <c r="AW68" i="22" s="1"/>
  <c r="AX68" i="22" s="1"/>
  <c r="AY68" i="22" s="1"/>
  <c r="AZ68" i="22" s="1"/>
  <c r="BA68" i="22" s="1"/>
  <c r="BB68" i="22" s="1"/>
  <c r="BC68" i="22" s="1"/>
  <c r="BD68" i="22" s="1"/>
  <c r="BE68" i="22" s="1"/>
  <c r="BF68" i="22" s="1"/>
  <c r="BG68" i="22" s="1"/>
  <c r="BH68" i="22" s="1"/>
  <c r="BI68" i="22" s="1"/>
  <c r="BJ68" i="22" s="1"/>
  <c r="BK68" i="22" s="1"/>
  <c r="BL68" i="22" s="1"/>
  <c r="BM68" i="22" s="1"/>
  <c r="BN68" i="22" s="1"/>
  <c r="BO68" i="22" s="1"/>
  <c r="BP68" i="22" s="1"/>
  <c r="BQ68" i="22" s="1"/>
  <c r="BR68" i="22" s="1"/>
  <c r="BS68" i="22" s="1"/>
  <c r="BT68" i="22" s="1"/>
  <c r="BU68" i="22" s="1"/>
  <c r="BV68" i="22" s="1"/>
  <c r="BW68" i="22" s="1"/>
  <c r="BX68" i="22" s="1"/>
  <c r="BY68" i="22" s="1"/>
  <c r="BZ68" i="22" s="1"/>
  <c r="CA68" i="22" s="1"/>
  <c r="CB68" i="22" s="1"/>
  <c r="CC68" i="22" s="1"/>
  <c r="CD68" i="22" s="1"/>
  <c r="CE68" i="22" s="1"/>
  <c r="CF68" i="22" s="1"/>
  <c r="CG68" i="22" s="1"/>
  <c r="CH68" i="22" s="1"/>
  <c r="CI68" i="22" s="1"/>
  <c r="CJ68" i="22" s="1"/>
  <c r="CK68" i="22" s="1"/>
  <c r="CL68" i="22" s="1"/>
  <c r="CM68" i="22" s="1"/>
  <c r="CN68" i="22" s="1"/>
  <c r="CO68" i="22" s="1"/>
  <c r="CP68" i="22" s="1"/>
  <c r="CQ68" i="22" s="1"/>
  <c r="CR68" i="22" s="1"/>
  <c r="CS68" i="22" s="1"/>
  <c r="CT68" i="22" s="1"/>
  <c r="CU68" i="22" s="1"/>
  <c r="CV68" i="22" s="1"/>
  <c r="CW68" i="22" s="1"/>
  <c r="F69" i="22"/>
  <c r="G69" i="22" s="1"/>
  <c r="H69" i="22" s="1"/>
  <c r="I69" i="22" s="1"/>
  <c r="J69" i="22" s="1"/>
  <c r="K69" i="22" s="1"/>
  <c r="L69" i="22" s="1"/>
  <c r="M69" i="22" s="1"/>
  <c r="N69" i="22" s="1"/>
  <c r="O69" i="22" s="1"/>
  <c r="P69" i="22" s="1"/>
  <c r="Q69" i="22" s="1"/>
  <c r="R69" i="22" s="1"/>
  <c r="S69" i="22" s="1"/>
  <c r="T69" i="22" s="1"/>
  <c r="U69" i="22" s="1"/>
  <c r="V69" i="22" s="1"/>
  <c r="W69" i="22" s="1"/>
  <c r="X69" i="22" s="1"/>
  <c r="Y69" i="22" s="1"/>
  <c r="Z69" i="22" s="1"/>
  <c r="AA69" i="22" s="1"/>
  <c r="AB69" i="22" s="1"/>
  <c r="AC69" i="22" s="1"/>
  <c r="AD69" i="22" s="1"/>
  <c r="AE69" i="22" s="1"/>
  <c r="AF69" i="22" s="1"/>
  <c r="AG69" i="22" s="1"/>
  <c r="AH69" i="22" s="1"/>
  <c r="AI69" i="22" s="1"/>
  <c r="AJ69" i="22" s="1"/>
  <c r="AK69" i="22" s="1"/>
  <c r="AL69" i="22" s="1"/>
  <c r="AM69" i="22" s="1"/>
  <c r="AN69" i="22" s="1"/>
  <c r="AO69" i="22" s="1"/>
  <c r="AP69" i="22" s="1"/>
  <c r="AQ69" i="22" s="1"/>
  <c r="AR69" i="22" s="1"/>
  <c r="AS69" i="22" s="1"/>
  <c r="AT69" i="22" s="1"/>
  <c r="AU69" i="22" s="1"/>
  <c r="AV69" i="22" s="1"/>
  <c r="AW69" i="22" s="1"/>
  <c r="AX69" i="22" s="1"/>
  <c r="AY69" i="22" s="1"/>
  <c r="AZ69" i="22" s="1"/>
  <c r="BA69" i="22" s="1"/>
  <c r="BB69" i="22" s="1"/>
  <c r="BC69" i="22" s="1"/>
  <c r="BD69" i="22" s="1"/>
  <c r="BE69" i="22" s="1"/>
  <c r="BF69" i="22" s="1"/>
  <c r="BG69" i="22" s="1"/>
  <c r="BH69" i="22" s="1"/>
  <c r="BI69" i="22" s="1"/>
  <c r="BJ69" i="22" s="1"/>
  <c r="BK69" i="22" s="1"/>
  <c r="BL69" i="22" s="1"/>
  <c r="BM69" i="22" s="1"/>
  <c r="BN69" i="22" s="1"/>
  <c r="BO69" i="22" s="1"/>
  <c r="BP69" i="22" s="1"/>
  <c r="BQ69" i="22" s="1"/>
  <c r="BR69" i="22" s="1"/>
  <c r="BS69" i="22" s="1"/>
  <c r="BT69" i="22" s="1"/>
  <c r="BU69" i="22" s="1"/>
  <c r="BV69" i="22" s="1"/>
  <c r="BW69" i="22" s="1"/>
  <c r="BX69" i="22" s="1"/>
  <c r="BY69" i="22" s="1"/>
  <c r="BZ69" i="22" s="1"/>
  <c r="CA69" i="22" s="1"/>
  <c r="CB69" i="22" s="1"/>
  <c r="CC69" i="22" s="1"/>
  <c r="CD69" i="22" s="1"/>
  <c r="CE69" i="22" s="1"/>
  <c r="CF69" i="22" s="1"/>
  <c r="CG69" i="22" s="1"/>
  <c r="CH69" i="22" s="1"/>
  <c r="CI69" i="22" s="1"/>
  <c r="CJ69" i="22" s="1"/>
  <c r="CK69" i="22" s="1"/>
  <c r="CL69" i="22" s="1"/>
  <c r="CM69" i="22" s="1"/>
  <c r="CN69" i="22" s="1"/>
  <c r="CO69" i="22" s="1"/>
  <c r="CP69" i="22" s="1"/>
  <c r="CQ69" i="22" s="1"/>
  <c r="CR69" i="22" s="1"/>
  <c r="CS69" i="22" s="1"/>
  <c r="CT69" i="22" s="1"/>
  <c r="CU69" i="22" s="1"/>
  <c r="CV69" i="22" s="1"/>
  <c r="CW69" i="22" s="1"/>
  <c r="F70" i="22"/>
  <c r="G70" i="22" s="1"/>
  <c r="H70" i="22" s="1"/>
  <c r="I70" i="22" s="1"/>
  <c r="J70" i="22" s="1"/>
  <c r="K70" i="22" s="1"/>
  <c r="L70" i="22" s="1"/>
  <c r="M70" i="22" s="1"/>
  <c r="N70" i="22" s="1"/>
  <c r="O70" i="22" s="1"/>
  <c r="P70" i="22" s="1"/>
  <c r="Q70" i="22" s="1"/>
  <c r="R70" i="22" s="1"/>
  <c r="S70" i="22" s="1"/>
  <c r="T70" i="22" s="1"/>
  <c r="U70" i="22" s="1"/>
  <c r="V70" i="22" s="1"/>
  <c r="W70" i="22" s="1"/>
  <c r="X70" i="22" s="1"/>
  <c r="Y70" i="22" s="1"/>
  <c r="Z70" i="22" s="1"/>
  <c r="AA70" i="22" s="1"/>
  <c r="AB70" i="22" s="1"/>
  <c r="AC70" i="22" s="1"/>
  <c r="AD70" i="22" s="1"/>
  <c r="AE70" i="22" s="1"/>
  <c r="AF70" i="22" s="1"/>
  <c r="AG70" i="22" s="1"/>
  <c r="AH70" i="22" s="1"/>
  <c r="AI70" i="22" s="1"/>
  <c r="AJ70" i="22" s="1"/>
  <c r="AK70" i="22" s="1"/>
  <c r="AL70" i="22" s="1"/>
  <c r="AM70" i="22" s="1"/>
  <c r="AN70" i="22" s="1"/>
  <c r="AO70" i="22" s="1"/>
  <c r="AP70" i="22" s="1"/>
  <c r="AQ70" i="22" s="1"/>
  <c r="AR70" i="22" s="1"/>
  <c r="AS70" i="22" s="1"/>
  <c r="AT70" i="22" s="1"/>
  <c r="AU70" i="22" s="1"/>
  <c r="AV70" i="22" s="1"/>
  <c r="AW70" i="22" s="1"/>
  <c r="AX70" i="22" s="1"/>
  <c r="AY70" i="22" s="1"/>
  <c r="AZ70" i="22" s="1"/>
  <c r="BA70" i="22" s="1"/>
  <c r="BB70" i="22" s="1"/>
  <c r="BC70" i="22" s="1"/>
  <c r="BD70" i="22" s="1"/>
  <c r="BE70" i="22" s="1"/>
  <c r="BF70" i="22" s="1"/>
  <c r="BG70" i="22" s="1"/>
  <c r="BH70" i="22" s="1"/>
  <c r="BI70" i="22" s="1"/>
  <c r="BJ70" i="22" s="1"/>
  <c r="BK70" i="22" s="1"/>
  <c r="BL70" i="22" s="1"/>
  <c r="BM70" i="22" s="1"/>
  <c r="BN70" i="22" s="1"/>
  <c r="BO70" i="22" s="1"/>
  <c r="BP70" i="22" s="1"/>
  <c r="BQ70" i="22" s="1"/>
  <c r="BR70" i="22" s="1"/>
  <c r="BS70" i="22" s="1"/>
  <c r="BT70" i="22" s="1"/>
  <c r="BU70" i="22" s="1"/>
  <c r="BV70" i="22" s="1"/>
  <c r="BW70" i="22" s="1"/>
  <c r="BX70" i="22" s="1"/>
  <c r="BY70" i="22" s="1"/>
  <c r="BZ70" i="22" s="1"/>
  <c r="CA70" i="22" s="1"/>
  <c r="CB70" i="22" s="1"/>
  <c r="CC70" i="22" s="1"/>
  <c r="CD70" i="22" s="1"/>
  <c r="CE70" i="22" s="1"/>
  <c r="CF70" i="22" s="1"/>
  <c r="CG70" i="22" s="1"/>
  <c r="CH70" i="22" s="1"/>
  <c r="CI70" i="22" s="1"/>
  <c r="CJ70" i="22" s="1"/>
  <c r="CK70" i="22" s="1"/>
  <c r="CL70" i="22" s="1"/>
  <c r="CM70" i="22" s="1"/>
  <c r="CN70" i="22" s="1"/>
  <c r="CO70" i="22" s="1"/>
  <c r="CP70" i="22" s="1"/>
  <c r="CQ70" i="22" s="1"/>
  <c r="CR70" i="22" s="1"/>
  <c r="CS70" i="22" s="1"/>
  <c r="CT70" i="22" s="1"/>
  <c r="CU70" i="22" s="1"/>
  <c r="CV70" i="22" s="1"/>
  <c r="CW70" i="22" s="1"/>
  <c r="F71" i="22"/>
  <c r="G71" i="22" s="1"/>
  <c r="H71" i="22" s="1"/>
  <c r="I71" i="22" s="1"/>
  <c r="J71" i="22" s="1"/>
  <c r="K71" i="22" s="1"/>
  <c r="L71" i="22" s="1"/>
  <c r="M71" i="22" s="1"/>
  <c r="N71" i="22" s="1"/>
  <c r="O71" i="22" s="1"/>
  <c r="P71" i="22" s="1"/>
  <c r="Q71" i="22" s="1"/>
  <c r="R71" i="22" s="1"/>
  <c r="S71" i="22" s="1"/>
  <c r="T71" i="22" s="1"/>
  <c r="U71" i="22" s="1"/>
  <c r="V71" i="22" s="1"/>
  <c r="W71" i="22" s="1"/>
  <c r="X71" i="22" s="1"/>
  <c r="Y71" i="22" s="1"/>
  <c r="Z71" i="22" s="1"/>
  <c r="AA71" i="22" s="1"/>
  <c r="AB71" i="22" s="1"/>
  <c r="AC71" i="22" s="1"/>
  <c r="AD71" i="22" s="1"/>
  <c r="AE71" i="22" s="1"/>
  <c r="AF71" i="22" s="1"/>
  <c r="AG71" i="22" s="1"/>
  <c r="AH71" i="22" s="1"/>
  <c r="AI71" i="22" s="1"/>
  <c r="AJ71" i="22" s="1"/>
  <c r="AK71" i="22" s="1"/>
  <c r="AL71" i="22" s="1"/>
  <c r="AM71" i="22" s="1"/>
  <c r="AN71" i="22" s="1"/>
  <c r="AO71" i="22" s="1"/>
  <c r="AP71" i="22" s="1"/>
  <c r="AQ71" i="22" s="1"/>
  <c r="AR71" i="22" s="1"/>
  <c r="AS71" i="22" s="1"/>
  <c r="AT71" i="22" s="1"/>
  <c r="AU71" i="22" s="1"/>
  <c r="AV71" i="22" s="1"/>
  <c r="AW71" i="22" s="1"/>
  <c r="AX71" i="22" s="1"/>
  <c r="AY71" i="22" s="1"/>
  <c r="AZ71" i="22" s="1"/>
  <c r="BA71" i="22" s="1"/>
  <c r="BB71" i="22" s="1"/>
  <c r="BC71" i="22" s="1"/>
  <c r="BD71" i="22" s="1"/>
  <c r="BE71" i="22" s="1"/>
  <c r="BF71" i="22" s="1"/>
  <c r="BG71" i="22" s="1"/>
  <c r="BH71" i="22" s="1"/>
  <c r="BI71" i="22" s="1"/>
  <c r="BJ71" i="22" s="1"/>
  <c r="BK71" i="22" s="1"/>
  <c r="BL71" i="22" s="1"/>
  <c r="BM71" i="22" s="1"/>
  <c r="BN71" i="22" s="1"/>
  <c r="BO71" i="22" s="1"/>
  <c r="BP71" i="22" s="1"/>
  <c r="BQ71" i="22" s="1"/>
  <c r="BR71" i="22" s="1"/>
  <c r="BS71" i="22" s="1"/>
  <c r="BT71" i="22" s="1"/>
  <c r="BU71" i="22" s="1"/>
  <c r="BV71" i="22" s="1"/>
  <c r="BW71" i="22" s="1"/>
  <c r="BX71" i="22" s="1"/>
  <c r="BY71" i="22" s="1"/>
  <c r="BZ71" i="22" s="1"/>
  <c r="CA71" i="22" s="1"/>
  <c r="CB71" i="22" s="1"/>
  <c r="CC71" i="22" s="1"/>
  <c r="CD71" i="22" s="1"/>
  <c r="CE71" i="22" s="1"/>
  <c r="CF71" i="22" s="1"/>
  <c r="CG71" i="22" s="1"/>
  <c r="CH71" i="22" s="1"/>
  <c r="CI71" i="22" s="1"/>
  <c r="CJ71" i="22" s="1"/>
  <c r="CK71" i="22" s="1"/>
  <c r="CL71" i="22" s="1"/>
  <c r="CM71" i="22" s="1"/>
  <c r="CN71" i="22" s="1"/>
  <c r="CO71" i="22" s="1"/>
  <c r="CP71" i="22" s="1"/>
  <c r="CQ71" i="22" s="1"/>
  <c r="CR71" i="22" s="1"/>
  <c r="CS71" i="22" s="1"/>
  <c r="CT71" i="22" s="1"/>
  <c r="CU71" i="22" s="1"/>
  <c r="CV71" i="22" s="1"/>
  <c r="CW71" i="22" s="1"/>
  <c r="F72" i="22"/>
  <c r="G72" i="22" s="1"/>
  <c r="H72" i="22" s="1"/>
  <c r="I72" i="22" s="1"/>
  <c r="J72" i="22" s="1"/>
  <c r="K72" i="22" s="1"/>
  <c r="L72" i="22" s="1"/>
  <c r="M72" i="22" s="1"/>
  <c r="N72" i="22" s="1"/>
  <c r="O72" i="22" s="1"/>
  <c r="P72" i="22" s="1"/>
  <c r="Q72" i="22" s="1"/>
  <c r="R72" i="22" s="1"/>
  <c r="S72" i="22" s="1"/>
  <c r="T72" i="22" s="1"/>
  <c r="U72" i="22" s="1"/>
  <c r="V72" i="22" s="1"/>
  <c r="W72" i="22" s="1"/>
  <c r="X72" i="22" s="1"/>
  <c r="Y72" i="22" s="1"/>
  <c r="Z72" i="22" s="1"/>
  <c r="AA72" i="22" s="1"/>
  <c r="AB72" i="22" s="1"/>
  <c r="AC72" i="22" s="1"/>
  <c r="AD72" i="22" s="1"/>
  <c r="AE72" i="22" s="1"/>
  <c r="AF72" i="22" s="1"/>
  <c r="AG72" i="22" s="1"/>
  <c r="AH72" i="22" s="1"/>
  <c r="AI72" i="22" s="1"/>
  <c r="AJ72" i="22" s="1"/>
  <c r="AK72" i="22" s="1"/>
  <c r="AL72" i="22" s="1"/>
  <c r="AM72" i="22" s="1"/>
  <c r="AN72" i="22" s="1"/>
  <c r="AO72" i="22" s="1"/>
  <c r="AP72" i="22" s="1"/>
  <c r="AQ72" i="22" s="1"/>
  <c r="AR72" i="22" s="1"/>
  <c r="AS72" i="22" s="1"/>
  <c r="AT72" i="22" s="1"/>
  <c r="AU72" i="22" s="1"/>
  <c r="AV72" i="22" s="1"/>
  <c r="AW72" i="22" s="1"/>
  <c r="AX72" i="22" s="1"/>
  <c r="AY72" i="22" s="1"/>
  <c r="AZ72" i="22" s="1"/>
  <c r="BA72" i="22" s="1"/>
  <c r="BB72" i="22" s="1"/>
  <c r="BC72" i="22" s="1"/>
  <c r="BD72" i="22" s="1"/>
  <c r="BE72" i="22" s="1"/>
  <c r="BF72" i="22" s="1"/>
  <c r="BG72" i="22" s="1"/>
  <c r="BH72" i="22" s="1"/>
  <c r="BI72" i="22" s="1"/>
  <c r="BJ72" i="22" s="1"/>
  <c r="BK72" i="22" s="1"/>
  <c r="BL72" i="22" s="1"/>
  <c r="BM72" i="22" s="1"/>
  <c r="BN72" i="22" s="1"/>
  <c r="BO72" i="22" s="1"/>
  <c r="BP72" i="22" s="1"/>
  <c r="BQ72" i="22" s="1"/>
  <c r="BR72" i="22" s="1"/>
  <c r="BS72" i="22" s="1"/>
  <c r="BT72" i="22" s="1"/>
  <c r="BU72" i="22" s="1"/>
  <c r="BV72" i="22" s="1"/>
  <c r="BW72" i="22" s="1"/>
  <c r="BX72" i="22" s="1"/>
  <c r="BY72" i="22" s="1"/>
  <c r="BZ72" i="22" s="1"/>
  <c r="CA72" i="22" s="1"/>
  <c r="CB72" i="22" s="1"/>
  <c r="CC72" i="22" s="1"/>
  <c r="CD72" i="22" s="1"/>
  <c r="CE72" i="22" s="1"/>
  <c r="CF72" i="22" s="1"/>
  <c r="CG72" i="22" s="1"/>
  <c r="CH72" i="22" s="1"/>
  <c r="CI72" i="22" s="1"/>
  <c r="CJ72" i="22" s="1"/>
  <c r="CK72" i="22" s="1"/>
  <c r="CL72" i="22" s="1"/>
  <c r="CM72" i="22" s="1"/>
  <c r="CN72" i="22" s="1"/>
  <c r="CO72" i="22" s="1"/>
  <c r="CP72" i="22" s="1"/>
  <c r="CQ72" i="22" s="1"/>
  <c r="CR72" i="22" s="1"/>
  <c r="CS72" i="22" s="1"/>
  <c r="CT72" i="22" s="1"/>
  <c r="CU72" i="22" s="1"/>
  <c r="CV72" i="22" s="1"/>
  <c r="CW72" i="22" s="1"/>
  <c r="F73" i="22"/>
  <c r="G73" i="22" s="1"/>
  <c r="H73" i="22" s="1"/>
  <c r="I73" i="22" s="1"/>
  <c r="J73" i="22" s="1"/>
  <c r="K73" i="22" s="1"/>
  <c r="L73" i="22" s="1"/>
  <c r="M73" i="22" s="1"/>
  <c r="N73" i="22" s="1"/>
  <c r="O73" i="22" s="1"/>
  <c r="P73" i="22" s="1"/>
  <c r="Q73" i="22" s="1"/>
  <c r="R73" i="22" s="1"/>
  <c r="S73" i="22" s="1"/>
  <c r="T73" i="22" s="1"/>
  <c r="U73" i="22" s="1"/>
  <c r="V73" i="22" s="1"/>
  <c r="W73" i="22" s="1"/>
  <c r="X73" i="22" s="1"/>
  <c r="Y73" i="22" s="1"/>
  <c r="Z73" i="22" s="1"/>
  <c r="AA73" i="22" s="1"/>
  <c r="AB73" i="22" s="1"/>
  <c r="AC73" i="22" s="1"/>
  <c r="AD73" i="22" s="1"/>
  <c r="AE73" i="22" s="1"/>
  <c r="AF73" i="22" s="1"/>
  <c r="AG73" i="22" s="1"/>
  <c r="AH73" i="22" s="1"/>
  <c r="AI73" i="22" s="1"/>
  <c r="AJ73" i="22" s="1"/>
  <c r="AK73" i="22" s="1"/>
  <c r="AL73" i="22" s="1"/>
  <c r="AM73" i="22" s="1"/>
  <c r="AN73" i="22" s="1"/>
  <c r="AO73" i="22" s="1"/>
  <c r="AP73" i="22" s="1"/>
  <c r="AQ73" i="22" s="1"/>
  <c r="AR73" i="22" s="1"/>
  <c r="AS73" i="22" s="1"/>
  <c r="AT73" i="22" s="1"/>
  <c r="AU73" i="22" s="1"/>
  <c r="AV73" i="22" s="1"/>
  <c r="AW73" i="22" s="1"/>
  <c r="AX73" i="22" s="1"/>
  <c r="AY73" i="22" s="1"/>
  <c r="AZ73" i="22" s="1"/>
  <c r="BA73" i="22" s="1"/>
  <c r="BB73" i="22" s="1"/>
  <c r="BC73" i="22" s="1"/>
  <c r="BD73" i="22" s="1"/>
  <c r="BE73" i="22" s="1"/>
  <c r="BF73" i="22" s="1"/>
  <c r="BG73" i="22" s="1"/>
  <c r="BH73" i="22" s="1"/>
  <c r="BI73" i="22" s="1"/>
  <c r="BJ73" i="22" s="1"/>
  <c r="BK73" i="22" s="1"/>
  <c r="BL73" i="22" s="1"/>
  <c r="BM73" i="22" s="1"/>
  <c r="BN73" i="22" s="1"/>
  <c r="BO73" i="22" s="1"/>
  <c r="BP73" i="22" s="1"/>
  <c r="BQ73" i="22" s="1"/>
  <c r="BR73" i="22" s="1"/>
  <c r="BS73" i="22" s="1"/>
  <c r="BT73" i="22" s="1"/>
  <c r="BU73" i="22" s="1"/>
  <c r="BV73" i="22" s="1"/>
  <c r="BW73" i="22" s="1"/>
  <c r="BX73" i="22" s="1"/>
  <c r="BY73" i="22" s="1"/>
  <c r="BZ73" i="22" s="1"/>
  <c r="CA73" i="22" s="1"/>
  <c r="CB73" i="22" s="1"/>
  <c r="CC73" i="22" s="1"/>
  <c r="CD73" i="22" s="1"/>
  <c r="CE73" i="22" s="1"/>
  <c r="CF73" i="22" s="1"/>
  <c r="CG73" i="22" s="1"/>
  <c r="CH73" i="22" s="1"/>
  <c r="CI73" i="22" s="1"/>
  <c r="CJ73" i="22" s="1"/>
  <c r="CK73" i="22" s="1"/>
  <c r="CL73" i="22" s="1"/>
  <c r="CM73" i="22" s="1"/>
  <c r="CN73" i="22" s="1"/>
  <c r="CO73" i="22" s="1"/>
  <c r="CP73" i="22" s="1"/>
  <c r="CQ73" i="22" s="1"/>
  <c r="CR73" i="22" s="1"/>
  <c r="CS73" i="22" s="1"/>
  <c r="CT73" i="22" s="1"/>
  <c r="CU73" i="22" s="1"/>
  <c r="CV73" i="22" s="1"/>
  <c r="CW73" i="22" s="1"/>
  <c r="F74" i="22"/>
  <c r="G74" i="22" s="1"/>
  <c r="H74" i="22" s="1"/>
  <c r="I74" i="22" s="1"/>
  <c r="J74" i="22" s="1"/>
  <c r="K74" i="22" s="1"/>
  <c r="L74" i="22" s="1"/>
  <c r="M74" i="22" s="1"/>
  <c r="N74" i="22" s="1"/>
  <c r="O74" i="22" s="1"/>
  <c r="P74" i="22" s="1"/>
  <c r="Q74" i="22" s="1"/>
  <c r="R74" i="22" s="1"/>
  <c r="S74" i="22" s="1"/>
  <c r="T74" i="22" s="1"/>
  <c r="U74" i="22" s="1"/>
  <c r="V74" i="22" s="1"/>
  <c r="W74" i="22" s="1"/>
  <c r="X74" i="22" s="1"/>
  <c r="Y74" i="22" s="1"/>
  <c r="Z74" i="22" s="1"/>
  <c r="AA74" i="22" s="1"/>
  <c r="AB74" i="22" s="1"/>
  <c r="AC74" i="22" s="1"/>
  <c r="AD74" i="22" s="1"/>
  <c r="AE74" i="22" s="1"/>
  <c r="AF74" i="22" s="1"/>
  <c r="AG74" i="22" s="1"/>
  <c r="AH74" i="22" s="1"/>
  <c r="AI74" i="22" s="1"/>
  <c r="AJ74" i="22" s="1"/>
  <c r="AK74" i="22" s="1"/>
  <c r="AL74" i="22" s="1"/>
  <c r="AM74" i="22" s="1"/>
  <c r="AN74" i="22" s="1"/>
  <c r="AO74" i="22" s="1"/>
  <c r="AP74" i="22" s="1"/>
  <c r="AQ74" i="22" s="1"/>
  <c r="AR74" i="22" s="1"/>
  <c r="AS74" i="22" s="1"/>
  <c r="AT74" i="22" s="1"/>
  <c r="AU74" i="22" s="1"/>
  <c r="AV74" i="22" s="1"/>
  <c r="AW74" i="22" s="1"/>
  <c r="AX74" i="22" s="1"/>
  <c r="AY74" i="22" s="1"/>
  <c r="AZ74" i="22" s="1"/>
  <c r="BA74" i="22" s="1"/>
  <c r="BB74" i="22" s="1"/>
  <c r="BC74" i="22" s="1"/>
  <c r="BD74" i="22" s="1"/>
  <c r="BE74" i="22" s="1"/>
  <c r="BF74" i="22" s="1"/>
  <c r="BG74" i="22" s="1"/>
  <c r="BH74" i="22" s="1"/>
  <c r="BI74" i="22" s="1"/>
  <c r="BJ74" i="22" s="1"/>
  <c r="BK74" i="22" s="1"/>
  <c r="BL74" i="22" s="1"/>
  <c r="BM74" i="22" s="1"/>
  <c r="BN74" i="22" s="1"/>
  <c r="BO74" i="22" s="1"/>
  <c r="BP74" i="22" s="1"/>
  <c r="BQ74" i="22" s="1"/>
  <c r="BR74" i="22" s="1"/>
  <c r="BS74" i="22" s="1"/>
  <c r="BT74" i="22" s="1"/>
  <c r="BU74" i="22" s="1"/>
  <c r="BV74" i="22" s="1"/>
  <c r="BW74" i="22" s="1"/>
  <c r="BX74" i="22" s="1"/>
  <c r="BY74" i="22" s="1"/>
  <c r="BZ74" i="22" s="1"/>
  <c r="CA74" i="22" s="1"/>
  <c r="CB74" i="22" s="1"/>
  <c r="CC74" i="22" s="1"/>
  <c r="CD74" i="22" s="1"/>
  <c r="CE74" i="22" s="1"/>
  <c r="CF74" i="22" s="1"/>
  <c r="CG74" i="22" s="1"/>
  <c r="CH74" i="22" s="1"/>
  <c r="CI74" i="22" s="1"/>
  <c r="CJ74" i="22" s="1"/>
  <c r="CK74" i="22" s="1"/>
  <c r="CL74" i="22" s="1"/>
  <c r="CM74" i="22" s="1"/>
  <c r="CN74" i="22" s="1"/>
  <c r="CO74" i="22" s="1"/>
  <c r="CP74" i="22" s="1"/>
  <c r="CQ74" i="22" s="1"/>
  <c r="CR74" i="22" s="1"/>
  <c r="CS74" i="22" s="1"/>
  <c r="CT74" i="22" s="1"/>
  <c r="CU74" i="22" s="1"/>
  <c r="CV74" i="22" s="1"/>
  <c r="CW74" i="22" s="1"/>
  <c r="F75" i="22"/>
  <c r="G75" i="22" s="1"/>
  <c r="H75" i="22" s="1"/>
  <c r="I75" i="22" s="1"/>
  <c r="J75" i="22" s="1"/>
  <c r="K75" i="22" s="1"/>
  <c r="L75" i="22" s="1"/>
  <c r="M75" i="22" s="1"/>
  <c r="N75" i="22" s="1"/>
  <c r="O75" i="22" s="1"/>
  <c r="P75" i="22" s="1"/>
  <c r="Q75" i="22" s="1"/>
  <c r="R75" i="22" s="1"/>
  <c r="S75" i="22" s="1"/>
  <c r="T75" i="22" s="1"/>
  <c r="U75" i="22" s="1"/>
  <c r="V75" i="22" s="1"/>
  <c r="W75" i="22" s="1"/>
  <c r="X75" i="22" s="1"/>
  <c r="Y75" i="22" s="1"/>
  <c r="Z75" i="22" s="1"/>
  <c r="AA75" i="22" s="1"/>
  <c r="AB75" i="22" s="1"/>
  <c r="AC75" i="22" s="1"/>
  <c r="AD75" i="22" s="1"/>
  <c r="AE75" i="22" s="1"/>
  <c r="AF75" i="22" s="1"/>
  <c r="AG75" i="22" s="1"/>
  <c r="AH75" i="22" s="1"/>
  <c r="AI75" i="22" s="1"/>
  <c r="AJ75" i="22" s="1"/>
  <c r="AK75" i="22" s="1"/>
  <c r="AL75" i="22" s="1"/>
  <c r="AM75" i="22" s="1"/>
  <c r="AN75" i="22" s="1"/>
  <c r="AO75" i="22" s="1"/>
  <c r="AP75" i="22" s="1"/>
  <c r="AQ75" i="22" s="1"/>
  <c r="AR75" i="22" s="1"/>
  <c r="AS75" i="22" s="1"/>
  <c r="AT75" i="22" s="1"/>
  <c r="AU75" i="22" s="1"/>
  <c r="AV75" i="22" s="1"/>
  <c r="AW75" i="22" s="1"/>
  <c r="AX75" i="22" s="1"/>
  <c r="AY75" i="22" s="1"/>
  <c r="AZ75" i="22" s="1"/>
  <c r="BA75" i="22" s="1"/>
  <c r="BB75" i="22" s="1"/>
  <c r="BC75" i="22" s="1"/>
  <c r="BD75" i="22" s="1"/>
  <c r="BE75" i="22" s="1"/>
  <c r="BF75" i="22" s="1"/>
  <c r="BG75" i="22" s="1"/>
  <c r="BH75" i="22" s="1"/>
  <c r="BI75" i="22" s="1"/>
  <c r="BJ75" i="22" s="1"/>
  <c r="BK75" i="22" s="1"/>
  <c r="BL75" i="22" s="1"/>
  <c r="BM75" i="22" s="1"/>
  <c r="BN75" i="22" s="1"/>
  <c r="BO75" i="22" s="1"/>
  <c r="BP75" i="22" s="1"/>
  <c r="BQ75" i="22" s="1"/>
  <c r="BR75" i="22" s="1"/>
  <c r="BS75" i="22" s="1"/>
  <c r="BT75" i="22" s="1"/>
  <c r="BU75" i="22" s="1"/>
  <c r="BV75" i="22" s="1"/>
  <c r="BW75" i="22" s="1"/>
  <c r="BX75" i="22" s="1"/>
  <c r="BY75" i="22" s="1"/>
  <c r="BZ75" i="22" s="1"/>
  <c r="CA75" i="22" s="1"/>
  <c r="CB75" i="22" s="1"/>
  <c r="CC75" i="22" s="1"/>
  <c r="CD75" i="22" s="1"/>
  <c r="CE75" i="22" s="1"/>
  <c r="CF75" i="22" s="1"/>
  <c r="CG75" i="22" s="1"/>
  <c r="CH75" i="22" s="1"/>
  <c r="CI75" i="22" s="1"/>
  <c r="CJ75" i="22" s="1"/>
  <c r="CK75" i="22" s="1"/>
  <c r="CL75" i="22" s="1"/>
  <c r="CM75" i="22" s="1"/>
  <c r="CN75" i="22" s="1"/>
  <c r="CO75" i="22" s="1"/>
  <c r="CP75" i="22" s="1"/>
  <c r="CQ75" i="22" s="1"/>
  <c r="CR75" i="22" s="1"/>
  <c r="CS75" i="22" s="1"/>
  <c r="CT75" i="22" s="1"/>
  <c r="CU75" i="22" s="1"/>
  <c r="CV75" i="22" s="1"/>
  <c r="CW75" i="22" s="1"/>
  <c r="F76" i="22"/>
  <c r="G76" i="22" s="1"/>
  <c r="H76" i="22" s="1"/>
  <c r="I76" i="22" s="1"/>
  <c r="J76" i="22" s="1"/>
  <c r="K76" i="22" s="1"/>
  <c r="L76" i="22" s="1"/>
  <c r="M76" i="22" s="1"/>
  <c r="N76" i="22" s="1"/>
  <c r="O76" i="22" s="1"/>
  <c r="P76" i="22" s="1"/>
  <c r="Q76" i="22" s="1"/>
  <c r="R76" i="22" s="1"/>
  <c r="S76" i="22" s="1"/>
  <c r="T76" i="22" s="1"/>
  <c r="U76" i="22" s="1"/>
  <c r="V76" i="22" s="1"/>
  <c r="W76" i="22" s="1"/>
  <c r="X76" i="22" s="1"/>
  <c r="Y76" i="22" s="1"/>
  <c r="Z76" i="22" s="1"/>
  <c r="AA76" i="22" s="1"/>
  <c r="AB76" i="22" s="1"/>
  <c r="AC76" i="22" s="1"/>
  <c r="AD76" i="22" s="1"/>
  <c r="AE76" i="22" s="1"/>
  <c r="AF76" i="22" s="1"/>
  <c r="AG76" i="22" s="1"/>
  <c r="AH76" i="22" s="1"/>
  <c r="AI76" i="22" s="1"/>
  <c r="AJ76" i="22" s="1"/>
  <c r="AK76" i="22" s="1"/>
  <c r="AL76" i="22" s="1"/>
  <c r="AM76" i="22" s="1"/>
  <c r="AN76" i="22" s="1"/>
  <c r="AO76" i="22" s="1"/>
  <c r="AP76" i="22" s="1"/>
  <c r="AQ76" i="22" s="1"/>
  <c r="AR76" i="22" s="1"/>
  <c r="AS76" i="22" s="1"/>
  <c r="AT76" i="22" s="1"/>
  <c r="AU76" i="22" s="1"/>
  <c r="AV76" i="22" s="1"/>
  <c r="AW76" i="22" s="1"/>
  <c r="AX76" i="22" s="1"/>
  <c r="AY76" i="22" s="1"/>
  <c r="AZ76" i="22" s="1"/>
  <c r="BA76" i="22" s="1"/>
  <c r="BB76" i="22" s="1"/>
  <c r="BC76" i="22" s="1"/>
  <c r="BD76" i="22" s="1"/>
  <c r="BE76" i="22" s="1"/>
  <c r="BF76" i="22" s="1"/>
  <c r="BG76" i="22" s="1"/>
  <c r="BH76" i="22" s="1"/>
  <c r="BI76" i="22" s="1"/>
  <c r="BJ76" i="22" s="1"/>
  <c r="BK76" i="22" s="1"/>
  <c r="BL76" i="22" s="1"/>
  <c r="BM76" i="22" s="1"/>
  <c r="BN76" i="22" s="1"/>
  <c r="BO76" i="22" s="1"/>
  <c r="BP76" i="22" s="1"/>
  <c r="BQ76" i="22" s="1"/>
  <c r="BR76" i="22" s="1"/>
  <c r="BS76" i="22" s="1"/>
  <c r="BT76" i="22" s="1"/>
  <c r="BU76" i="22" s="1"/>
  <c r="BV76" i="22" s="1"/>
  <c r="BW76" i="22" s="1"/>
  <c r="BX76" i="22" s="1"/>
  <c r="BY76" i="22" s="1"/>
  <c r="BZ76" i="22" s="1"/>
  <c r="CA76" i="22" s="1"/>
  <c r="CB76" i="22" s="1"/>
  <c r="CC76" i="22" s="1"/>
  <c r="CD76" i="22" s="1"/>
  <c r="CE76" i="22" s="1"/>
  <c r="CF76" i="22" s="1"/>
  <c r="CG76" i="22" s="1"/>
  <c r="CH76" i="22" s="1"/>
  <c r="CI76" i="22" s="1"/>
  <c r="CJ76" i="22" s="1"/>
  <c r="CK76" i="22" s="1"/>
  <c r="CL76" i="22" s="1"/>
  <c r="CM76" i="22" s="1"/>
  <c r="CN76" i="22" s="1"/>
  <c r="CO76" i="22" s="1"/>
  <c r="CP76" i="22" s="1"/>
  <c r="CQ76" i="22" s="1"/>
  <c r="CR76" i="22" s="1"/>
  <c r="CS76" i="22" s="1"/>
  <c r="CT76" i="22" s="1"/>
  <c r="CU76" i="22" s="1"/>
  <c r="CV76" i="22" s="1"/>
  <c r="CW76" i="22" s="1"/>
  <c r="F77" i="22"/>
  <c r="G77" i="22" s="1"/>
  <c r="H77" i="22" s="1"/>
  <c r="I77" i="22" s="1"/>
  <c r="J77" i="22" s="1"/>
  <c r="K77" i="22" s="1"/>
  <c r="L77" i="22" s="1"/>
  <c r="M77" i="22" s="1"/>
  <c r="N77" i="22" s="1"/>
  <c r="O77" i="22" s="1"/>
  <c r="P77" i="22" s="1"/>
  <c r="Q77" i="22" s="1"/>
  <c r="R77" i="22" s="1"/>
  <c r="S77" i="22" s="1"/>
  <c r="T77" i="22" s="1"/>
  <c r="U77" i="22" s="1"/>
  <c r="V77" i="22" s="1"/>
  <c r="W77" i="22" s="1"/>
  <c r="X77" i="22" s="1"/>
  <c r="Y77" i="22" s="1"/>
  <c r="Z77" i="22" s="1"/>
  <c r="AA77" i="22" s="1"/>
  <c r="AB77" i="22" s="1"/>
  <c r="AC77" i="22" s="1"/>
  <c r="AD77" i="22" s="1"/>
  <c r="AE77" i="22" s="1"/>
  <c r="AF77" i="22" s="1"/>
  <c r="AG77" i="22" s="1"/>
  <c r="AH77" i="22" s="1"/>
  <c r="AI77" i="22" s="1"/>
  <c r="AJ77" i="22" s="1"/>
  <c r="AK77" i="22" s="1"/>
  <c r="AL77" i="22" s="1"/>
  <c r="AM77" i="22" s="1"/>
  <c r="AN77" i="22" s="1"/>
  <c r="AO77" i="22" s="1"/>
  <c r="AP77" i="22" s="1"/>
  <c r="AQ77" i="22" s="1"/>
  <c r="AR77" i="22" s="1"/>
  <c r="AS77" i="22" s="1"/>
  <c r="AT77" i="22" s="1"/>
  <c r="AU77" i="22" s="1"/>
  <c r="AV77" i="22" s="1"/>
  <c r="AW77" i="22" s="1"/>
  <c r="AX77" i="22" s="1"/>
  <c r="AY77" i="22" s="1"/>
  <c r="AZ77" i="22" s="1"/>
  <c r="BA77" i="22" s="1"/>
  <c r="BB77" i="22" s="1"/>
  <c r="BC77" i="22" s="1"/>
  <c r="BD77" i="22" s="1"/>
  <c r="BE77" i="22" s="1"/>
  <c r="BF77" i="22" s="1"/>
  <c r="BG77" i="22" s="1"/>
  <c r="BH77" i="22" s="1"/>
  <c r="BI77" i="22" s="1"/>
  <c r="BJ77" i="22" s="1"/>
  <c r="BK77" i="22" s="1"/>
  <c r="BL77" i="22" s="1"/>
  <c r="BM77" i="22" s="1"/>
  <c r="BN77" i="22" s="1"/>
  <c r="BO77" i="22" s="1"/>
  <c r="BP77" i="22" s="1"/>
  <c r="BQ77" i="22" s="1"/>
  <c r="BR77" i="22" s="1"/>
  <c r="BS77" i="22" s="1"/>
  <c r="BT77" i="22" s="1"/>
  <c r="BU77" i="22" s="1"/>
  <c r="BV77" i="22" s="1"/>
  <c r="BW77" i="22" s="1"/>
  <c r="BX77" i="22" s="1"/>
  <c r="BY77" i="22" s="1"/>
  <c r="BZ77" i="22" s="1"/>
  <c r="CA77" i="22" s="1"/>
  <c r="CB77" i="22" s="1"/>
  <c r="CC77" i="22" s="1"/>
  <c r="CD77" i="22" s="1"/>
  <c r="CE77" i="22" s="1"/>
  <c r="CF77" i="22" s="1"/>
  <c r="CG77" i="22" s="1"/>
  <c r="CH77" i="22" s="1"/>
  <c r="CI77" i="22" s="1"/>
  <c r="CJ77" i="22" s="1"/>
  <c r="CK77" i="22" s="1"/>
  <c r="CL77" i="22" s="1"/>
  <c r="CM77" i="22" s="1"/>
  <c r="CN77" i="22" s="1"/>
  <c r="CO77" i="22" s="1"/>
  <c r="CP77" i="22" s="1"/>
  <c r="CQ77" i="22" s="1"/>
  <c r="CR77" i="22" s="1"/>
  <c r="CS77" i="22" s="1"/>
  <c r="CT77" i="22" s="1"/>
  <c r="CU77" i="22" s="1"/>
  <c r="CV77" i="22" s="1"/>
  <c r="CW77" i="22" s="1"/>
  <c r="F78" i="22"/>
  <c r="G78" i="22" s="1"/>
  <c r="H78" i="22" s="1"/>
  <c r="I78" i="22" s="1"/>
  <c r="J78" i="22" s="1"/>
  <c r="K78" i="22" s="1"/>
  <c r="L78" i="22" s="1"/>
  <c r="M78" i="22" s="1"/>
  <c r="N78" i="22" s="1"/>
  <c r="O78" i="22" s="1"/>
  <c r="P78" i="22" s="1"/>
  <c r="Q78" i="22" s="1"/>
  <c r="R78" i="22" s="1"/>
  <c r="S78" i="22" s="1"/>
  <c r="T78" i="22" s="1"/>
  <c r="U78" i="22" s="1"/>
  <c r="V78" i="22" s="1"/>
  <c r="W78" i="22" s="1"/>
  <c r="X78" i="22" s="1"/>
  <c r="Y78" i="22" s="1"/>
  <c r="Z78" i="22" s="1"/>
  <c r="AA78" i="22" s="1"/>
  <c r="AB78" i="22" s="1"/>
  <c r="AC78" i="22" s="1"/>
  <c r="AD78" i="22" s="1"/>
  <c r="AE78" i="22" s="1"/>
  <c r="AF78" i="22" s="1"/>
  <c r="AG78" i="22" s="1"/>
  <c r="AH78" i="22" s="1"/>
  <c r="AI78" i="22" s="1"/>
  <c r="AJ78" i="22" s="1"/>
  <c r="AK78" i="22" s="1"/>
  <c r="AL78" i="22" s="1"/>
  <c r="AM78" i="22" s="1"/>
  <c r="AN78" i="22" s="1"/>
  <c r="AO78" i="22" s="1"/>
  <c r="AP78" i="22" s="1"/>
  <c r="AQ78" i="22" s="1"/>
  <c r="AR78" i="22" s="1"/>
  <c r="AS78" i="22" s="1"/>
  <c r="AT78" i="22" s="1"/>
  <c r="AU78" i="22" s="1"/>
  <c r="AV78" i="22" s="1"/>
  <c r="AW78" i="22" s="1"/>
  <c r="AX78" i="22" s="1"/>
  <c r="AY78" i="22" s="1"/>
  <c r="AZ78" i="22" s="1"/>
  <c r="BA78" i="22" s="1"/>
  <c r="BB78" i="22" s="1"/>
  <c r="BC78" i="22" s="1"/>
  <c r="BD78" i="22" s="1"/>
  <c r="BE78" i="22" s="1"/>
  <c r="BF78" i="22" s="1"/>
  <c r="BG78" i="22" s="1"/>
  <c r="BH78" i="22" s="1"/>
  <c r="BI78" i="22" s="1"/>
  <c r="BJ78" i="22" s="1"/>
  <c r="BK78" i="22" s="1"/>
  <c r="BL78" i="22" s="1"/>
  <c r="BM78" i="22" s="1"/>
  <c r="BN78" i="22" s="1"/>
  <c r="BO78" i="22" s="1"/>
  <c r="BP78" i="22" s="1"/>
  <c r="BQ78" i="22" s="1"/>
  <c r="BR78" i="22" s="1"/>
  <c r="BS78" i="22" s="1"/>
  <c r="BT78" i="22" s="1"/>
  <c r="BU78" i="22" s="1"/>
  <c r="BV78" i="22" s="1"/>
  <c r="BW78" i="22" s="1"/>
  <c r="BX78" i="22" s="1"/>
  <c r="BY78" i="22" s="1"/>
  <c r="BZ78" i="22" s="1"/>
  <c r="CA78" i="22" s="1"/>
  <c r="CB78" i="22" s="1"/>
  <c r="CC78" i="22" s="1"/>
  <c r="CD78" i="22" s="1"/>
  <c r="CE78" i="22" s="1"/>
  <c r="CF78" i="22" s="1"/>
  <c r="CG78" i="22" s="1"/>
  <c r="CH78" i="22" s="1"/>
  <c r="CI78" i="22" s="1"/>
  <c r="CJ78" i="22" s="1"/>
  <c r="CK78" i="22" s="1"/>
  <c r="CL78" i="22" s="1"/>
  <c r="CM78" i="22" s="1"/>
  <c r="CN78" i="22" s="1"/>
  <c r="CO78" i="22" s="1"/>
  <c r="CP78" i="22" s="1"/>
  <c r="CQ78" i="22" s="1"/>
  <c r="CR78" i="22" s="1"/>
  <c r="CS78" i="22" s="1"/>
  <c r="CT78" i="22" s="1"/>
  <c r="CU78" i="22" s="1"/>
  <c r="CV78" i="22" s="1"/>
  <c r="CW78" i="22" s="1"/>
  <c r="F79" i="22"/>
  <c r="G79" i="22" s="1"/>
  <c r="H79" i="22" s="1"/>
  <c r="I79" i="22" s="1"/>
  <c r="J79" i="22" s="1"/>
  <c r="K79" i="22" s="1"/>
  <c r="L79" i="22" s="1"/>
  <c r="M79" i="22" s="1"/>
  <c r="N79" i="22" s="1"/>
  <c r="O79" i="22" s="1"/>
  <c r="P79" i="22" s="1"/>
  <c r="Q79" i="22" s="1"/>
  <c r="R79" i="22" s="1"/>
  <c r="S79" i="22" s="1"/>
  <c r="T79" i="22" s="1"/>
  <c r="U79" i="22" s="1"/>
  <c r="V79" i="22" s="1"/>
  <c r="W79" i="22" s="1"/>
  <c r="X79" i="22" s="1"/>
  <c r="Y79" i="22" s="1"/>
  <c r="Z79" i="22" s="1"/>
  <c r="AA79" i="22" s="1"/>
  <c r="AB79" i="22" s="1"/>
  <c r="AC79" i="22" s="1"/>
  <c r="AD79" i="22" s="1"/>
  <c r="AE79" i="22" s="1"/>
  <c r="AF79" i="22" s="1"/>
  <c r="AG79" i="22" s="1"/>
  <c r="AH79" i="22" s="1"/>
  <c r="AI79" i="22" s="1"/>
  <c r="AJ79" i="22" s="1"/>
  <c r="AK79" i="22" s="1"/>
  <c r="AL79" i="22" s="1"/>
  <c r="AM79" i="22" s="1"/>
  <c r="AN79" i="22" s="1"/>
  <c r="AO79" i="22" s="1"/>
  <c r="AP79" i="22" s="1"/>
  <c r="AQ79" i="22" s="1"/>
  <c r="AR79" i="22" s="1"/>
  <c r="AS79" i="22" s="1"/>
  <c r="AT79" i="22" s="1"/>
  <c r="AU79" i="22" s="1"/>
  <c r="AV79" i="22" s="1"/>
  <c r="AW79" i="22" s="1"/>
  <c r="AX79" i="22" s="1"/>
  <c r="AY79" i="22" s="1"/>
  <c r="AZ79" i="22" s="1"/>
  <c r="BA79" i="22" s="1"/>
  <c r="BB79" i="22" s="1"/>
  <c r="BC79" i="22" s="1"/>
  <c r="BD79" i="22" s="1"/>
  <c r="BE79" i="22" s="1"/>
  <c r="BF79" i="22" s="1"/>
  <c r="BG79" i="22" s="1"/>
  <c r="BH79" i="22" s="1"/>
  <c r="BI79" i="22" s="1"/>
  <c r="BJ79" i="22" s="1"/>
  <c r="BK79" i="22" s="1"/>
  <c r="BL79" i="22" s="1"/>
  <c r="BM79" i="22" s="1"/>
  <c r="BN79" i="22" s="1"/>
  <c r="BO79" i="22" s="1"/>
  <c r="BP79" i="22" s="1"/>
  <c r="BQ79" i="22" s="1"/>
  <c r="BR79" i="22" s="1"/>
  <c r="BS79" i="22" s="1"/>
  <c r="BT79" i="22" s="1"/>
  <c r="BU79" i="22" s="1"/>
  <c r="BV79" i="22" s="1"/>
  <c r="BW79" i="22" s="1"/>
  <c r="BX79" i="22" s="1"/>
  <c r="BY79" i="22" s="1"/>
  <c r="BZ79" i="22" s="1"/>
  <c r="CA79" i="22" s="1"/>
  <c r="CB79" i="22" s="1"/>
  <c r="CC79" i="22" s="1"/>
  <c r="CD79" i="22" s="1"/>
  <c r="CE79" i="22" s="1"/>
  <c r="CF79" i="22" s="1"/>
  <c r="CG79" i="22" s="1"/>
  <c r="CH79" i="22" s="1"/>
  <c r="CI79" i="22" s="1"/>
  <c r="CJ79" i="22" s="1"/>
  <c r="CK79" i="22" s="1"/>
  <c r="CL79" i="22" s="1"/>
  <c r="CM79" i="22" s="1"/>
  <c r="CN79" i="22" s="1"/>
  <c r="CO79" i="22" s="1"/>
  <c r="CP79" i="22" s="1"/>
  <c r="CQ79" i="22" s="1"/>
  <c r="CR79" i="22" s="1"/>
  <c r="CS79" i="22" s="1"/>
  <c r="CT79" i="22" s="1"/>
  <c r="CU79" i="22" s="1"/>
  <c r="CV79" i="22" s="1"/>
  <c r="CW79" i="22" s="1"/>
  <c r="F80" i="22"/>
  <c r="G80" i="22" s="1"/>
  <c r="H80" i="22" s="1"/>
  <c r="I80" i="22" s="1"/>
  <c r="J80" i="22" s="1"/>
  <c r="K80" i="22" s="1"/>
  <c r="L80" i="22" s="1"/>
  <c r="M80" i="22" s="1"/>
  <c r="N80" i="22" s="1"/>
  <c r="O80" i="22" s="1"/>
  <c r="P80" i="22" s="1"/>
  <c r="Q80" i="22" s="1"/>
  <c r="R80" i="22" s="1"/>
  <c r="S80" i="22" s="1"/>
  <c r="T80" i="22" s="1"/>
  <c r="U80" i="22" s="1"/>
  <c r="V80" i="22" s="1"/>
  <c r="W80" i="22" s="1"/>
  <c r="X80" i="22" s="1"/>
  <c r="Y80" i="22" s="1"/>
  <c r="Z80" i="22" s="1"/>
  <c r="AA80" i="22" s="1"/>
  <c r="AB80" i="22" s="1"/>
  <c r="AC80" i="22" s="1"/>
  <c r="AD80" i="22" s="1"/>
  <c r="AE80" i="22" s="1"/>
  <c r="AF80" i="22" s="1"/>
  <c r="AG80" i="22" s="1"/>
  <c r="AH80" i="22" s="1"/>
  <c r="AI80" i="22" s="1"/>
  <c r="AJ80" i="22" s="1"/>
  <c r="AK80" i="22" s="1"/>
  <c r="AL80" i="22" s="1"/>
  <c r="AM80" i="22" s="1"/>
  <c r="AN80" i="22" s="1"/>
  <c r="AO80" i="22" s="1"/>
  <c r="AP80" i="22" s="1"/>
  <c r="AQ80" i="22" s="1"/>
  <c r="AR80" i="22" s="1"/>
  <c r="AS80" i="22" s="1"/>
  <c r="AT80" i="22" s="1"/>
  <c r="AU80" i="22" s="1"/>
  <c r="AV80" i="22" s="1"/>
  <c r="AW80" i="22" s="1"/>
  <c r="AX80" i="22" s="1"/>
  <c r="AY80" i="22" s="1"/>
  <c r="AZ80" i="22" s="1"/>
  <c r="BA80" i="22" s="1"/>
  <c r="BB80" i="22" s="1"/>
  <c r="BC80" i="22" s="1"/>
  <c r="BD80" i="22" s="1"/>
  <c r="BE80" i="22" s="1"/>
  <c r="BF80" i="22" s="1"/>
  <c r="BG80" i="22" s="1"/>
  <c r="BH80" i="22" s="1"/>
  <c r="BI80" i="22" s="1"/>
  <c r="BJ80" i="22" s="1"/>
  <c r="BK80" i="22" s="1"/>
  <c r="BL80" i="22" s="1"/>
  <c r="BM80" i="22" s="1"/>
  <c r="BN80" i="22" s="1"/>
  <c r="BO80" i="22" s="1"/>
  <c r="BP80" i="22" s="1"/>
  <c r="BQ80" i="22" s="1"/>
  <c r="BR80" i="22" s="1"/>
  <c r="BS80" i="22" s="1"/>
  <c r="BT80" i="22" s="1"/>
  <c r="BU80" i="22" s="1"/>
  <c r="BV80" i="22" s="1"/>
  <c r="BW80" i="22" s="1"/>
  <c r="BX80" i="22" s="1"/>
  <c r="BY80" i="22" s="1"/>
  <c r="BZ80" i="22" s="1"/>
  <c r="CA80" i="22" s="1"/>
  <c r="CB80" i="22" s="1"/>
  <c r="CC80" i="22" s="1"/>
  <c r="CD80" i="22" s="1"/>
  <c r="CE80" i="22" s="1"/>
  <c r="CF80" i="22" s="1"/>
  <c r="CG80" i="22" s="1"/>
  <c r="CH80" i="22" s="1"/>
  <c r="CI80" i="22" s="1"/>
  <c r="CJ80" i="22" s="1"/>
  <c r="CK80" i="22" s="1"/>
  <c r="CL80" i="22" s="1"/>
  <c r="CM80" i="22" s="1"/>
  <c r="CN80" i="22" s="1"/>
  <c r="CO80" i="22" s="1"/>
  <c r="CP80" i="22" s="1"/>
  <c r="CQ80" i="22" s="1"/>
  <c r="CR80" i="22" s="1"/>
  <c r="CS80" i="22" s="1"/>
  <c r="CT80" i="22" s="1"/>
  <c r="CU80" i="22" s="1"/>
  <c r="CV80" i="22" s="1"/>
  <c r="CW80" i="22" s="1"/>
  <c r="F81" i="22"/>
  <c r="G81" i="22" s="1"/>
  <c r="H81" i="22" s="1"/>
  <c r="I81" i="22" s="1"/>
  <c r="J81" i="22" s="1"/>
  <c r="K81" i="22" s="1"/>
  <c r="L81" i="22" s="1"/>
  <c r="M81" i="22" s="1"/>
  <c r="N81" i="22" s="1"/>
  <c r="O81" i="22" s="1"/>
  <c r="P81" i="22" s="1"/>
  <c r="Q81" i="22" s="1"/>
  <c r="R81" i="22" s="1"/>
  <c r="S81" i="22" s="1"/>
  <c r="T81" i="22" s="1"/>
  <c r="U81" i="22" s="1"/>
  <c r="V81" i="22" s="1"/>
  <c r="W81" i="22" s="1"/>
  <c r="X81" i="22" s="1"/>
  <c r="Y81" i="22" s="1"/>
  <c r="Z81" i="22" s="1"/>
  <c r="AA81" i="22" s="1"/>
  <c r="AB81" i="22" s="1"/>
  <c r="AC81" i="22" s="1"/>
  <c r="AD81" i="22" s="1"/>
  <c r="AE81" i="22" s="1"/>
  <c r="AF81" i="22" s="1"/>
  <c r="AG81" i="22" s="1"/>
  <c r="AH81" i="22" s="1"/>
  <c r="AI81" i="22" s="1"/>
  <c r="AJ81" i="22" s="1"/>
  <c r="AK81" i="22" s="1"/>
  <c r="AL81" i="22" s="1"/>
  <c r="AM81" i="22" s="1"/>
  <c r="AN81" i="22" s="1"/>
  <c r="AO81" i="22" s="1"/>
  <c r="AP81" i="22" s="1"/>
  <c r="AQ81" i="22" s="1"/>
  <c r="AR81" i="22" s="1"/>
  <c r="AS81" i="22" s="1"/>
  <c r="AT81" i="22" s="1"/>
  <c r="AU81" i="22" s="1"/>
  <c r="AV81" i="22" s="1"/>
  <c r="AW81" i="22" s="1"/>
  <c r="AX81" i="22" s="1"/>
  <c r="AY81" i="22" s="1"/>
  <c r="AZ81" i="22" s="1"/>
  <c r="BA81" i="22" s="1"/>
  <c r="BB81" i="22" s="1"/>
  <c r="BC81" i="22" s="1"/>
  <c r="BD81" i="22" s="1"/>
  <c r="BE81" i="22" s="1"/>
  <c r="BF81" i="22" s="1"/>
  <c r="BG81" i="22" s="1"/>
  <c r="BH81" i="22" s="1"/>
  <c r="BI81" i="22" s="1"/>
  <c r="BJ81" i="22" s="1"/>
  <c r="BK81" i="22" s="1"/>
  <c r="BL81" i="22" s="1"/>
  <c r="BM81" i="22" s="1"/>
  <c r="BN81" i="22" s="1"/>
  <c r="BO81" i="22" s="1"/>
  <c r="BP81" i="22" s="1"/>
  <c r="BQ81" i="22" s="1"/>
  <c r="BR81" i="22" s="1"/>
  <c r="BS81" i="22" s="1"/>
  <c r="BT81" i="22" s="1"/>
  <c r="BU81" i="22" s="1"/>
  <c r="BV81" i="22" s="1"/>
  <c r="BW81" i="22" s="1"/>
  <c r="BX81" i="22" s="1"/>
  <c r="BY81" i="22" s="1"/>
  <c r="BZ81" i="22" s="1"/>
  <c r="CA81" i="22" s="1"/>
  <c r="CB81" i="22" s="1"/>
  <c r="CC81" i="22" s="1"/>
  <c r="CD81" i="22" s="1"/>
  <c r="CE81" i="22" s="1"/>
  <c r="CF81" i="22" s="1"/>
  <c r="CG81" i="22" s="1"/>
  <c r="CH81" i="22" s="1"/>
  <c r="CI81" i="22" s="1"/>
  <c r="CJ81" i="22" s="1"/>
  <c r="CK81" i="22" s="1"/>
  <c r="CL81" i="22" s="1"/>
  <c r="CM81" i="22" s="1"/>
  <c r="CN81" i="22" s="1"/>
  <c r="CO81" i="22" s="1"/>
  <c r="CP81" i="22" s="1"/>
  <c r="CQ81" i="22" s="1"/>
  <c r="CR81" i="22" s="1"/>
  <c r="CS81" i="22" s="1"/>
  <c r="CT81" i="22" s="1"/>
  <c r="CU81" i="22" s="1"/>
  <c r="CV81" i="22" s="1"/>
  <c r="CW81" i="22" s="1"/>
  <c r="F82" i="22"/>
  <c r="G82" i="22" s="1"/>
  <c r="H82" i="22" s="1"/>
  <c r="I82" i="22" s="1"/>
  <c r="J82" i="22" s="1"/>
  <c r="K82" i="22" s="1"/>
  <c r="L82" i="22" s="1"/>
  <c r="M82" i="22" s="1"/>
  <c r="N82" i="22" s="1"/>
  <c r="O82" i="22" s="1"/>
  <c r="P82" i="22" s="1"/>
  <c r="Q82" i="22" s="1"/>
  <c r="R82" i="22" s="1"/>
  <c r="S82" i="22" s="1"/>
  <c r="T82" i="22" s="1"/>
  <c r="U82" i="22" s="1"/>
  <c r="V82" i="22" s="1"/>
  <c r="W82" i="22" s="1"/>
  <c r="X82" i="22" s="1"/>
  <c r="Y82" i="22" s="1"/>
  <c r="Z82" i="22" s="1"/>
  <c r="AA82" i="22" s="1"/>
  <c r="AB82" i="22" s="1"/>
  <c r="AC82" i="22" s="1"/>
  <c r="AD82" i="22" s="1"/>
  <c r="AE82" i="22" s="1"/>
  <c r="AF82" i="22" s="1"/>
  <c r="AG82" i="22" s="1"/>
  <c r="AH82" i="22" s="1"/>
  <c r="AI82" i="22" s="1"/>
  <c r="AJ82" i="22" s="1"/>
  <c r="AK82" i="22" s="1"/>
  <c r="AL82" i="22" s="1"/>
  <c r="AM82" i="22" s="1"/>
  <c r="AN82" i="22" s="1"/>
  <c r="AO82" i="22" s="1"/>
  <c r="AP82" i="22" s="1"/>
  <c r="AQ82" i="22" s="1"/>
  <c r="AR82" i="22" s="1"/>
  <c r="AS82" i="22" s="1"/>
  <c r="AT82" i="22" s="1"/>
  <c r="AU82" i="22" s="1"/>
  <c r="AV82" i="22" s="1"/>
  <c r="AW82" i="22" s="1"/>
  <c r="AX82" i="22" s="1"/>
  <c r="AY82" i="22" s="1"/>
  <c r="AZ82" i="22" s="1"/>
  <c r="BA82" i="22" s="1"/>
  <c r="BB82" i="22" s="1"/>
  <c r="BC82" i="22" s="1"/>
  <c r="BD82" i="22" s="1"/>
  <c r="BE82" i="22" s="1"/>
  <c r="BF82" i="22" s="1"/>
  <c r="BG82" i="22" s="1"/>
  <c r="BH82" i="22" s="1"/>
  <c r="BI82" i="22" s="1"/>
  <c r="BJ82" i="22" s="1"/>
  <c r="BK82" i="22" s="1"/>
  <c r="BL82" i="22" s="1"/>
  <c r="BM82" i="22" s="1"/>
  <c r="BN82" i="22" s="1"/>
  <c r="BO82" i="22" s="1"/>
  <c r="BP82" i="22" s="1"/>
  <c r="BQ82" i="22" s="1"/>
  <c r="BR82" i="22" s="1"/>
  <c r="BS82" i="22" s="1"/>
  <c r="BT82" i="22" s="1"/>
  <c r="BU82" i="22" s="1"/>
  <c r="BV82" i="22" s="1"/>
  <c r="BW82" i="22" s="1"/>
  <c r="BX82" i="22" s="1"/>
  <c r="BY82" i="22" s="1"/>
  <c r="BZ82" i="22" s="1"/>
  <c r="CA82" i="22" s="1"/>
  <c r="CB82" i="22" s="1"/>
  <c r="CC82" i="22" s="1"/>
  <c r="CD82" i="22" s="1"/>
  <c r="CE82" i="22" s="1"/>
  <c r="CF82" i="22" s="1"/>
  <c r="CG82" i="22" s="1"/>
  <c r="CH82" i="22" s="1"/>
  <c r="CI82" i="22" s="1"/>
  <c r="CJ82" i="22" s="1"/>
  <c r="CK82" i="22" s="1"/>
  <c r="CL82" i="22" s="1"/>
  <c r="CM82" i="22" s="1"/>
  <c r="CN82" i="22" s="1"/>
  <c r="CO82" i="22" s="1"/>
  <c r="CP82" i="22" s="1"/>
  <c r="CQ82" i="22" s="1"/>
  <c r="CR82" i="22" s="1"/>
  <c r="CS82" i="22" s="1"/>
  <c r="CT82" i="22" s="1"/>
  <c r="CU82" i="22" s="1"/>
  <c r="CV82" i="22" s="1"/>
  <c r="CW82" i="22" s="1"/>
  <c r="F83" i="22"/>
  <c r="G83" i="22" s="1"/>
  <c r="H83" i="22" s="1"/>
  <c r="I83" i="22" s="1"/>
  <c r="J83" i="22" s="1"/>
  <c r="K83" i="22" s="1"/>
  <c r="L83" i="22" s="1"/>
  <c r="M83" i="22" s="1"/>
  <c r="N83" i="22" s="1"/>
  <c r="O83" i="22" s="1"/>
  <c r="P83" i="22" s="1"/>
  <c r="Q83" i="22" s="1"/>
  <c r="R83" i="22" s="1"/>
  <c r="S83" i="22" s="1"/>
  <c r="T83" i="22" s="1"/>
  <c r="U83" i="22" s="1"/>
  <c r="V83" i="22" s="1"/>
  <c r="W83" i="22" s="1"/>
  <c r="X83" i="22" s="1"/>
  <c r="Y83" i="22" s="1"/>
  <c r="Z83" i="22" s="1"/>
  <c r="AA83" i="22" s="1"/>
  <c r="AB83" i="22" s="1"/>
  <c r="AC83" i="22" s="1"/>
  <c r="AD83" i="22" s="1"/>
  <c r="AE83" i="22" s="1"/>
  <c r="AF83" i="22" s="1"/>
  <c r="AG83" i="22" s="1"/>
  <c r="AH83" i="22" s="1"/>
  <c r="AI83" i="22" s="1"/>
  <c r="AJ83" i="22" s="1"/>
  <c r="AK83" i="22" s="1"/>
  <c r="AL83" i="22" s="1"/>
  <c r="AM83" i="22" s="1"/>
  <c r="AN83" i="22" s="1"/>
  <c r="AO83" i="22" s="1"/>
  <c r="AP83" i="22" s="1"/>
  <c r="AQ83" i="22" s="1"/>
  <c r="AR83" i="22" s="1"/>
  <c r="AS83" i="22" s="1"/>
  <c r="AT83" i="22" s="1"/>
  <c r="AU83" i="22" s="1"/>
  <c r="AV83" i="22" s="1"/>
  <c r="AW83" i="22" s="1"/>
  <c r="AX83" i="22" s="1"/>
  <c r="AY83" i="22" s="1"/>
  <c r="AZ83" i="22" s="1"/>
  <c r="BA83" i="22" s="1"/>
  <c r="BB83" i="22" s="1"/>
  <c r="BC83" i="22" s="1"/>
  <c r="BD83" i="22" s="1"/>
  <c r="BE83" i="22" s="1"/>
  <c r="BF83" i="22" s="1"/>
  <c r="BG83" i="22" s="1"/>
  <c r="BH83" i="22" s="1"/>
  <c r="BI83" i="22" s="1"/>
  <c r="BJ83" i="22" s="1"/>
  <c r="BK83" i="22" s="1"/>
  <c r="BL83" i="22" s="1"/>
  <c r="BM83" i="22" s="1"/>
  <c r="BN83" i="22" s="1"/>
  <c r="BO83" i="22" s="1"/>
  <c r="BP83" i="22" s="1"/>
  <c r="BQ83" i="22" s="1"/>
  <c r="BR83" i="22" s="1"/>
  <c r="BS83" i="22" s="1"/>
  <c r="BT83" i="22" s="1"/>
  <c r="BU83" i="22" s="1"/>
  <c r="BV83" i="22" s="1"/>
  <c r="BW83" i="22" s="1"/>
  <c r="BX83" i="22" s="1"/>
  <c r="BY83" i="22" s="1"/>
  <c r="BZ83" i="22" s="1"/>
  <c r="CA83" i="22" s="1"/>
  <c r="CB83" i="22" s="1"/>
  <c r="CC83" i="22" s="1"/>
  <c r="CD83" i="22" s="1"/>
  <c r="CE83" i="22" s="1"/>
  <c r="CF83" i="22" s="1"/>
  <c r="CG83" i="22" s="1"/>
  <c r="CH83" i="22" s="1"/>
  <c r="CI83" i="22" s="1"/>
  <c r="CJ83" i="22" s="1"/>
  <c r="CK83" i="22" s="1"/>
  <c r="CL83" i="22" s="1"/>
  <c r="CM83" i="22" s="1"/>
  <c r="CN83" i="22" s="1"/>
  <c r="CO83" i="22" s="1"/>
  <c r="CP83" i="22" s="1"/>
  <c r="CQ83" i="22" s="1"/>
  <c r="CR83" i="22" s="1"/>
  <c r="CS83" i="22" s="1"/>
  <c r="CT83" i="22" s="1"/>
  <c r="CU83" i="22" s="1"/>
  <c r="CV83" i="22" s="1"/>
  <c r="CW83" i="22" s="1"/>
  <c r="F84" i="22"/>
  <c r="G84" i="22" s="1"/>
  <c r="H84" i="22" s="1"/>
  <c r="I84" i="22" s="1"/>
  <c r="J84" i="22" s="1"/>
  <c r="K84" i="22" s="1"/>
  <c r="L84" i="22" s="1"/>
  <c r="M84" i="22" s="1"/>
  <c r="N84" i="22" s="1"/>
  <c r="O84" i="22" s="1"/>
  <c r="P84" i="22" s="1"/>
  <c r="Q84" i="22" s="1"/>
  <c r="R84" i="22" s="1"/>
  <c r="S84" i="22" s="1"/>
  <c r="T84" i="22" s="1"/>
  <c r="U84" i="22" s="1"/>
  <c r="V84" i="22" s="1"/>
  <c r="W84" i="22" s="1"/>
  <c r="X84" i="22" s="1"/>
  <c r="Y84" i="22" s="1"/>
  <c r="Z84" i="22" s="1"/>
  <c r="AA84" i="22" s="1"/>
  <c r="AB84" i="22" s="1"/>
  <c r="AC84" i="22" s="1"/>
  <c r="AD84" i="22" s="1"/>
  <c r="AE84" i="22" s="1"/>
  <c r="AF84" i="22" s="1"/>
  <c r="AG84" i="22" s="1"/>
  <c r="AH84" i="22" s="1"/>
  <c r="AI84" i="22" s="1"/>
  <c r="AJ84" i="22" s="1"/>
  <c r="AK84" i="22" s="1"/>
  <c r="AL84" i="22" s="1"/>
  <c r="AM84" i="22" s="1"/>
  <c r="AN84" i="22" s="1"/>
  <c r="AO84" i="22" s="1"/>
  <c r="AP84" i="22" s="1"/>
  <c r="AQ84" i="22" s="1"/>
  <c r="AR84" i="22" s="1"/>
  <c r="AS84" i="22" s="1"/>
  <c r="AT84" i="22" s="1"/>
  <c r="AU84" i="22" s="1"/>
  <c r="AV84" i="22" s="1"/>
  <c r="AW84" i="22" s="1"/>
  <c r="AX84" i="22" s="1"/>
  <c r="AY84" i="22" s="1"/>
  <c r="AZ84" i="22" s="1"/>
  <c r="BA84" i="22" s="1"/>
  <c r="BB84" i="22" s="1"/>
  <c r="BC84" i="22" s="1"/>
  <c r="BD84" i="22" s="1"/>
  <c r="BE84" i="22" s="1"/>
  <c r="BF84" i="22" s="1"/>
  <c r="BG84" i="22" s="1"/>
  <c r="BH84" i="22" s="1"/>
  <c r="BI84" i="22" s="1"/>
  <c r="BJ84" i="22" s="1"/>
  <c r="BK84" i="22" s="1"/>
  <c r="BL84" i="22" s="1"/>
  <c r="BM84" i="22" s="1"/>
  <c r="BN84" i="22" s="1"/>
  <c r="BO84" i="22" s="1"/>
  <c r="BP84" i="22" s="1"/>
  <c r="BQ84" i="22" s="1"/>
  <c r="BR84" i="22" s="1"/>
  <c r="BS84" i="22" s="1"/>
  <c r="BT84" i="22" s="1"/>
  <c r="BU84" i="22" s="1"/>
  <c r="BV84" i="22" s="1"/>
  <c r="BW84" i="22" s="1"/>
  <c r="BX84" i="22" s="1"/>
  <c r="BY84" i="22" s="1"/>
  <c r="BZ84" i="22" s="1"/>
  <c r="CA84" i="22" s="1"/>
  <c r="CB84" i="22" s="1"/>
  <c r="CC84" i="22" s="1"/>
  <c r="CD84" i="22" s="1"/>
  <c r="CE84" i="22" s="1"/>
  <c r="CF84" i="22" s="1"/>
  <c r="CG84" i="22" s="1"/>
  <c r="CH84" i="22" s="1"/>
  <c r="CI84" i="22" s="1"/>
  <c r="CJ84" i="22" s="1"/>
  <c r="CK84" i="22" s="1"/>
  <c r="CL84" i="22" s="1"/>
  <c r="CM84" i="22" s="1"/>
  <c r="CN84" i="22" s="1"/>
  <c r="CO84" i="22" s="1"/>
  <c r="CP84" i="22" s="1"/>
  <c r="CQ84" i="22" s="1"/>
  <c r="CR84" i="22" s="1"/>
  <c r="CS84" i="22" s="1"/>
  <c r="CT84" i="22" s="1"/>
  <c r="CU84" i="22" s="1"/>
  <c r="CV84" i="22" s="1"/>
  <c r="CW84" i="22" s="1"/>
  <c r="F85" i="22"/>
  <c r="G85" i="22" s="1"/>
  <c r="H85" i="22" s="1"/>
  <c r="I85" i="22" s="1"/>
  <c r="J85" i="22" s="1"/>
  <c r="K85" i="22" s="1"/>
  <c r="L85" i="22" s="1"/>
  <c r="M85" i="22" s="1"/>
  <c r="N85" i="22" s="1"/>
  <c r="O85" i="22" s="1"/>
  <c r="P85" i="22" s="1"/>
  <c r="Q85" i="22" s="1"/>
  <c r="R85" i="22" s="1"/>
  <c r="S85" i="22" s="1"/>
  <c r="T85" i="22" s="1"/>
  <c r="U85" i="22" s="1"/>
  <c r="V85" i="22" s="1"/>
  <c r="W85" i="22" s="1"/>
  <c r="X85" i="22" s="1"/>
  <c r="Y85" i="22" s="1"/>
  <c r="Z85" i="22" s="1"/>
  <c r="AA85" i="22" s="1"/>
  <c r="AB85" i="22" s="1"/>
  <c r="AC85" i="22" s="1"/>
  <c r="AD85" i="22" s="1"/>
  <c r="AE85" i="22" s="1"/>
  <c r="AF85" i="22" s="1"/>
  <c r="AG85" i="22" s="1"/>
  <c r="AH85" i="22" s="1"/>
  <c r="AI85" i="22" s="1"/>
  <c r="AJ85" i="22" s="1"/>
  <c r="AK85" i="22" s="1"/>
  <c r="AL85" i="22" s="1"/>
  <c r="AM85" i="22" s="1"/>
  <c r="AN85" i="22" s="1"/>
  <c r="AO85" i="22" s="1"/>
  <c r="AP85" i="22" s="1"/>
  <c r="AQ85" i="22" s="1"/>
  <c r="AR85" i="22" s="1"/>
  <c r="AS85" i="22" s="1"/>
  <c r="AT85" i="22" s="1"/>
  <c r="AU85" i="22" s="1"/>
  <c r="AV85" i="22" s="1"/>
  <c r="AW85" i="22" s="1"/>
  <c r="AX85" i="22" s="1"/>
  <c r="AY85" i="22" s="1"/>
  <c r="AZ85" i="22" s="1"/>
  <c r="BA85" i="22" s="1"/>
  <c r="BB85" i="22" s="1"/>
  <c r="BC85" i="22" s="1"/>
  <c r="BD85" i="22" s="1"/>
  <c r="BE85" i="22" s="1"/>
  <c r="BF85" i="22" s="1"/>
  <c r="BG85" i="22" s="1"/>
  <c r="BH85" i="22" s="1"/>
  <c r="BI85" i="22" s="1"/>
  <c r="BJ85" i="22" s="1"/>
  <c r="BK85" i="22" s="1"/>
  <c r="BL85" i="22" s="1"/>
  <c r="BM85" i="22" s="1"/>
  <c r="BN85" i="22" s="1"/>
  <c r="BO85" i="22" s="1"/>
  <c r="BP85" i="22" s="1"/>
  <c r="BQ85" i="22" s="1"/>
  <c r="BR85" i="22" s="1"/>
  <c r="BS85" i="22" s="1"/>
  <c r="BT85" i="22" s="1"/>
  <c r="BU85" i="22" s="1"/>
  <c r="BV85" i="22" s="1"/>
  <c r="BW85" i="22" s="1"/>
  <c r="BX85" i="22" s="1"/>
  <c r="BY85" i="22" s="1"/>
  <c r="BZ85" i="22" s="1"/>
  <c r="CA85" i="22" s="1"/>
  <c r="CB85" i="22" s="1"/>
  <c r="CC85" i="22" s="1"/>
  <c r="CD85" i="22" s="1"/>
  <c r="CE85" i="22" s="1"/>
  <c r="CF85" i="22" s="1"/>
  <c r="CG85" i="22" s="1"/>
  <c r="CH85" i="22" s="1"/>
  <c r="CI85" i="22" s="1"/>
  <c r="CJ85" i="22" s="1"/>
  <c r="CK85" i="22" s="1"/>
  <c r="CL85" i="22" s="1"/>
  <c r="CM85" i="22" s="1"/>
  <c r="CN85" i="22" s="1"/>
  <c r="CO85" i="22" s="1"/>
  <c r="CP85" i="22" s="1"/>
  <c r="CQ85" i="22" s="1"/>
  <c r="CR85" i="22" s="1"/>
  <c r="CS85" i="22" s="1"/>
  <c r="CT85" i="22" s="1"/>
  <c r="CU85" i="22" s="1"/>
  <c r="CV85" i="22" s="1"/>
  <c r="CW85" i="22" s="1"/>
  <c r="F86" i="22"/>
  <c r="G86" i="22" s="1"/>
  <c r="H86" i="22" s="1"/>
  <c r="I86" i="22" s="1"/>
  <c r="J86" i="22" s="1"/>
  <c r="K86" i="22" s="1"/>
  <c r="L86" i="22" s="1"/>
  <c r="M86" i="22" s="1"/>
  <c r="N86" i="22" s="1"/>
  <c r="O86" i="22" s="1"/>
  <c r="P86" i="22" s="1"/>
  <c r="Q86" i="22" s="1"/>
  <c r="R86" i="22" s="1"/>
  <c r="S86" i="22" s="1"/>
  <c r="T86" i="22" s="1"/>
  <c r="U86" i="22" s="1"/>
  <c r="V86" i="22" s="1"/>
  <c r="W86" i="22" s="1"/>
  <c r="X86" i="22" s="1"/>
  <c r="Y86" i="22" s="1"/>
  <c r="Z86" i="22" s="1"/>
  <c r="AA86" i="22" s="1"/>
  <c r="AB86" i="22" s="1"/>
  <c r="AC86" i="22" s="1"/>
  <c r="AD86" i="22" s="1"/>
  <c r="AE86" i="22" s="1"/>
  <c r="AF86" i="22" s="1"/>
  <c r="AG86" i="22" s="1"/>
  <c r="AH86" i="22" s="1"/>
  <c r="AI86" i="22" s="1"/>
  <c r="AJ86" i="22" s="1"/>
  <c r="AK86" i="22" s="1"/>
  <c r="AL86" i="22" s="1"/>
  <c r="AM86" i="22" s="1"/>
  <c r="AN86" i="22" s="1"/>
  <c r="AO86" i="22" s="1"/>
  <c r="AP86" i="22" s="1"/>
  <c r="AQ86" i="22" s="1"/>
  <c r="AR86" i="22" s="1"/>
  <c r="AS86" i="22" s="1"/>
  <c r="AT86" i="22" s="1"/>
  <c r="AU86" i="22" s="1"/>
  <c r="AV86" i="22" s="1"/>
  <c r="AW86" i="22" s="1"/>
  <c r="AX86" i="22" s="1"/>
  <c r="AY86" i="22" s="1"/>
  <c r="AZ86" i="22" s="1"/>
  <c r="BA86" i="22" s="1"/>
  <c r="BB86" i="22" s="1"/>
  <c r="BC86" i="22" s="1"/>
  <c r="BD86" i="22" s="1"/>
  <c r="BE86" i="22" s="1"/>
  <c r="BF86" i="22" s="1"/>
  <c r="BG86" i="22" s="1"/>
  <c r="BH86" i="22" s="1"/>
  <c r="BI86" i="22" s="1"/>
  <c r="BJ86" i="22" s="1"/>
  <c r="BK86" i="22" s="1"/>
  <c r="BL86" i="22" s="1"/>
  <c r="BM86" i="22" s="1"/>
  <c r="BN86" i="22" s="1"/>
  <c r="BO86" i="22" s="1"/>
  <c r="BP86" i="22" s="1"/>
  <c r="BQ86" i="22" s="1"/>
  <c r="BR86" i="22" s="1"/>
  <c r="BS86" i="22" s="1"/>
  <c r="BT86" i="22" s="1"/>
  <c r="BU86" i="22" s="1"/>
  <c r="BV86" i="22" s="1"/>
  <c r="BW86" i="22" s="1"/>
  <c r="BX86" i="22" s="1"/>
  <c r="BY86" i="22" s="1"/>
  <c r="BZ86" i="22" s="1"/>
  <c r="CA86" i="22" s="1"/>
  <c r="CB86" i="22" s="1"/>
  <c r="CC86" i="22" s="1"/>
  <c r="CD86" i="22" s="1"/>
  <c r="CE86" i="22" s="1"/>
  <c r="CF86" i="22" s="1"/>
  <c r="CG86" i="22" s="1"/>
  <c r="CH86" i="22" s="1"/>
  <c r="CI86" i="22" s="1"/>
  <c r="CJ86" i="22" s="1"/>
  <c r="CK86" i="22" s="1"/>
  <c r="CL86" i="22" s="1"/>
  <c r="CM86" i="22" s="1"/>
  <c r="CN86" i="22" s="1"/>
  <c r="CO86" i="22" s="1"/>
  <c r="CP86" i="22" s="1"/>
  <c r="CQ86" i="22" s="1"/>
  <c r="CR86" i="22" s="1"/>
  <c r="CS86" i="22" s="1"/>
  <c r="CT86" i="22" s="1"/>
  <c r="CU86" i="22" s="1"/>
  <c r="CV86" i="22" s="1"/>
  <c r="CW86" i="22" s="1"/>
  <c r="F87" i="22"/>
  <c r="G87" i="22" s="1"/>
  <c r="H87" i="22" s="1"/>
  <c r="I87" i="22" s="1"/>
  <c r="J87" i="22" s="1"/>
  <c r="K87" i="22" s="1"/>
  <c r="L87" i="22" s="1"/>
  <c r="M87" i="22" s="1"/>
  <c r="N87" i="22" s="1"/>
  <c r="O87" i="22" s="1"/>
  <c r="P87" i="22" s="1"/>
  <c r="Q87" i="22" s="1"/>
  <c r="R87" i="22" s="1"/>
  <c r="S87" i="22" s="1"/>
  <c r="T87" i="22" s="1"/>
  <c r="U87" i="22" s="1"/>
  <c r="V87" i="22" s="1"/>
  <c r="W87" i="22" s="1"/>
  <c r="X87" i="22" s="1"/>
  <c r="Y87" i="22" s="1"/>
  <c r="Z87" i="22" s="1"/>
  <c r="AA87" i="22" s="1"/>
  <c r="AB87" i="22" s="1"/>
  <c r="AC87" i="22" s="1"/>
  <c r="AD87" i="22" s="1"/>
  <c r="AE87" i="22" s="1"/>
  <c r="AF87" i="22" s="1"/>
  <c r="AG87" i="22" s="1"/>
  <c r="AH87" i="22" s="1"/>
  <c r="AI87" i="22" s="1"/>
  <c r="AJ87" i="22" s="1"/>
  <c r="AK87" i="22" s="1"/>
  <c r="AL87" i="22" s="1"/>
  <c r="AM87" i="22" s="1"/>
  <c r="AN87" i="22" s="1"/>
  <c r="AO87" i="22" s="1"/>
  <c r="AP87" i="22" s="1"/>
  <c r="AQ87" i="22" s="1"/>
  <c r="AR87" i="22" s="1"/>
  <c r="AS87" i="22" s="1"/>
  <c r="AT87" i="22" s="1"/>
  <c r="AU87" i="22" s="1"/>
  <c r="AV87" i="22" s="1"/>
  <c r="AW87" i="22" s="1"/>
  <c r="AX87" i="22" s="1"/>
  <c r="AY87" i="22" s="1"/>
  <c r="AZ87" i="22" s="1"/>
  <c r="BA87" i="22" s="1"/>
  <c r="BB87" i="22" s="1"/>
  <c r="BC87" i="22" s="1"/>
  <c r="BD87" i="22" s="1"/>
  <c r="BE87" i="22" s="1"/>
  <c r="BF87" i="22" s="1"/>
  <c r="BG87" i="22" s="1"/>
  <c r="BH87" i="22" s="1"/>
  <c r="BI87" i="22" s="1"/>
  <c r="BJ87" i="22" s="1"/>
  <c r="BK87" i="22" s="1"/>
  <c r="BL87" i="22" s="1"/>
  <c r="BM87" i="22" s="1"/>
  <c r="BN87" i="22" s="1"/>
  <c r="BO87" i="22" s="1"/>
  <c r="BP87" i="22" s="1"/>
  <c r="BQ87" i="22" s="1"/>
  <c r="BR87" i="22" s="1"/>
  <c r="BS87" i="22" s="1"/>
  <c r="BT87" i="22" s="1"/>
  <c r="BU87" i="22" s="1"/>
  <c r="BV87" i="22" s="1"/>
  <c r="BW87" i="22" s="1"/>
  <c r="BX87" i="22" s="1"/>
  <c r="BY87" i="22" s="1"/>
  <c r="BZ87" i="22" s="1"/>
  <c r="CA87" i="22" s="1"/>
  <c r="CB87" i="22" s="1"/>
  <c r="CC87" i="22" s="1"/>
  <c r="CD87" i="22" s="1"/>
  <c r="CE87" i="22" s="1"/>
  <c r="CF87" i="22" s="1"/>
  <c r="CG87" i="22" s="1"/>
  <c r="CH87" i="22" s="1"/>
  <c r="CI87" i="22" s="1"/>
  <c r="CJ87" i="22" s="1"/>
  <c r="CK87" i="22" s="1"/>
  <c r="CL87" i="22" s="1"/>
  <c r="CM87" i="22" s="1"/>
  <c r="CN87" i="22" s="1"/>
  <c r="CO87" i="22" s="1"/>
  <c r="CP87" i="22" s="1"/>
  <c r="CQ87" i="22" s="1"/>
  <c r="CR87" i="22" s="1"/>
  <c r="CS87" i="22" s="1"/>
  <c r="CT87" i="22" s="1"/>
  <c r="CU87" i="22" s="1"/>
  <c r="CV87" i="22" s="1"/>
  <c r="CW87" i="22" s="1"/>
  <c r="F88" i="22"/>
  <c r="G88" i="22" s="1"/>
  <c r="H88" i="22" s="1"/>
  <c r="I88" i="22" s="1"/>
  <c r="J88" i="22" s="1"/>
  <c r="K88" i="22" s="1"/>
  <c r="L88" i="22" s="1"/>
  <c r="M88" i="22" s="1"/>
  <c r="N88" i="22" s="1"/>
  <c r="O88" i="22" s="1"/>
  <c r="P88" i="22" s="1"/>
  <c r="Q88" i="22" s="1"/>
  <c r="R88" i="22" s="1"/>
  <c r="S88" i="22" s="1"/>
  <c r="T88" i="22" s="1"/>
  <c r="U88" i="22" s="1"/>
  <c r="V88" i="22" s="1"/>
  <c r="W88" i="22" s="1"/>
  <c r="X88" i="22" s="1"/>
  <c r="Y88" i="22" s="1"/>
  <c r="Z88" i="22" s="1"/>
  <c r="AA88" i="22" s="1"/>
  <c r="AB88" i="22" s="1"/>
  <c r="AC88" i="22" s="1"/>
  <c r="AD88" i="22" s="1"/>
  <c r="AE88" i="22" s="1"/>
  <c r="AF88" i="22" s="1"/>
  <c r="AG88" i="22" s="1"/>
  <c r="AH88" i="22" s="1"/>
  <c r="AI88" i="22" s="1"/>
  <c r="AJ88" i="22" s="1"/>
  <c r="AK88" i="22" s="1"/>
  <c r="AL88" i="22" s="1"/>
  <c r="AM88" i="22" s="1"/>
  <c r="AN88" i="22" s="1"/>
  <c r="AO88" i="22" s="1"/>
  <c r="AP88" i="22" s="1"/>
  <c r="AQ88" i="22" s="1"/>
  <c r="AR88" i="22" s="1"/>
  <c r="AS88" i="22" s="1"/>
  <c r="AT88" i="22" s="1"/>
  <c r="AU88" i="22" s="1"/>
  <c r="AV88" i="22" s="1"/>
  <c r="AW88" i="22" s="1"/>
  <c r="AX88" i="22" s="1"/>
  <c r="AY88" i="22" s="1"/>
  <c r="AZ88" i="22" s="1"/>
  <c r="BA88" i="22" s="1"/>
  <c r="BB88" i="22" s="1"/>
  <c r="BC88" i="22" s="1"/>
  <c r="BD88" i="22" s="1"/>
  <c r="BE88" i="22" s="1"/>
  <c r="BF88" i="22" s="1"/>
  <c r="BG88" i="22" s="1"/>
  <c r="BH88" i="22" s="1"/>
  <c r="BI88" i="22" s="1"/>
  <c r="BJ88" i="22" s="1"/>
  <c r="BK88" i="22" s="1"/>
  <c r="BL88" i="22" s="1"/>
  <c r="BM88" i="22" s="1"/>
  <c r="BN88" i="22" s="1"/>
  <c r="BO88" i="22" s="1"/>
  <c r="BP88" i="22" s="1"/>
  <c r="BQ88" i="22" s="1"/>
  <c r="BR88" i="22" s="1"/>
  <c r="BS88" i="22" s="1"/>
  <c r="BT88" i="22" s="1"/>
  <c r="BU88" i="22" s="1"/>
  <c r="BV88" i="22" s="1"/>
  <c r="BW88" i="22" s="1"/>
  <c r="BX88" i="22" s="1"/>
  <c r="BY88" i="22" s="1"/>
  <c r="BZ88" i="22" s="1"/>
  <c r="CA88" i="22" s="1"/>
  <c r="CB88" i="22" s="1"/>
  <c r="CC88" i="22" s="1"/>
  <c r="CD88" i="22" s="1"/>
  <c r="CE88" i="22" s="1"/>
  <c r="CF88" i="22" s="1"/>
  <c r="CG88" i="22" s="1"/>
  <c r="CH88" i="22" s="1"/>
  <c r="CI88" i="22" s="1"/>
  <c r="CJ88" i="22" s="1"/>
  <c r="CK88" i="22" s="1"/>
  <c r="CL88" i="22" s="1"/>
  <c r="CM88" i="22" s="1"/>
  <c r="CN88" i="22" s="1"/>
  <c r="CO88" i="22" s="1"/>
  <c r="CP88" i="22" s="1"/>
  <c r="CQ88" i="22" s="1"/>
  <c r="CR88" i="22" s="1"/>
  <c r="CS88" i="22" s="1"/>
  <c r="CT88" i="22" s="1"/>
  <c r="CU88" i="22" s="1"/>
  <c r="CV88" i="22" s="1"/>
  <c r="CW88" i="22" s="1"/>
  <c r="F89" i="22"/>
  <c r="G89" i="22" s="1"/>
  <c r="H89" i="22" s="1"/>
  <c r="I89" i="22" s="1"/>
  <c r="J89" i="22" s="1"/>
  <c r="K89" i="22" s="1"/>
  <c r="L89" i="22" s="1"/>
  <c r="M89" i="22" s="1"/>
  <c r="N89" i="22" s="1"/>
  <c r="O89" i="22" s="1"/>
  <c r="P89" i="22" s="1"/>
  <c r="Q89" i="22" s="1"/>
  <c r="R89" i="22" s="1"/>
  <c r="S89" i="22" s="1"/>
  <c r="T89" i="22" s="1"/>
  <c r="U89" i="22" s="1"/>
  <c r="V89" i="22" s="1"/>
  <c r="W89" i="22" s="1"/>
  <c r="X89" i="22" s="1"/>
  <c r="Y89" i="22" s="1"/>
  <c r="Z89" i="22" s="1"/>
  <c r="AA89" i="22" s="1"/>
  <c r="AB89" i="22" s="1"/>
  <c r="AC89" i="22" s="1"/>
  <c r="AD89" i="22" s="1"/>
  <c r="AE89" i="22" s="1"/>
  <c r="AF89" i="22" s="1"/>
  <c r="AG89" i="22" s="1"/>
  <c r="AH89" i="22" s="1"/>
  <c r="AI89" i="22" s="1"/>
  <c r="AJ89" i="22" s="1"/>
  <c r="AK89" i="22" s="1"/>
  <c r="AL89" i="22" s="1"/>
  <c r="AM89" i="22" s="1"/>
  <c r="AN89" i="22" s="1"/>
  <c r="AO89" i="22" s="1"/>
  <c r="AP89" i="22" s="1"/>
  <c r="AQ89" i="22" s="1"/>
  <c r="AR89" i="22" s="1"/>
  <c r="AS89" i="22" s="1"/>
  <c r="AT89" i="22" s="1"/>
  <c r="AU89" i="22" s="1"/>
  <c r="AV89" i="22" s="1"/>
  <c r="AW89" i="22" s="1"/>
  <c r="AX89" i="22" s="1"/>
  <c r="AY89" i="22" s="1"/>
  <c r="AZ89" i="22" s="1"/>
  <c r="BA89" i="22" s="1"/>
  <c r="BB89" i="22" s="1"/>
  <c r="BC89" i="22" s="1"/>
  <c r="BD89" i="22" s="1"/>
  <c r="BE89" i="22" s="1"/>
  <c r="BF89" i="22" s="1"/>
  <c r="BG89" i="22" s="1"/>
  <c r="BH89" i="22" s="1"/>
  <c r="BI89" i="22" s="1"/>
  <c r="BJ89" i="22" s="1"/>
  <c r="BK89" i="22" s="1"/>
  <c r="BL89" i="22" s="1"/>
  <c r="BM89" i="22" s="1"/>
  <c r="BN89" i="22" s="1"/>
  <c r="BO89" i="22" s="1"/>
  <c r="BP89" i="22" s="1"/>
  <c r="BQ89" i="22" s="1"/>
  <c r="BR89" i="22" s="1"/>
  <c r="BS89" i="22" s="1"/>
  <c r="BT89" i="22" s="1"/>
  <c r="BU89" i="22" s="1"/>
  <c r="BV89" i="22" s="1"/>
  <c r="BW89" i="22" s="1"/>
  <c r="BX89" i="22" s="1"/>
  <c r="BY89" i="22" s="1"/>
  <c r="BZ89" i="22" s="1"/>
  <c r="CA89" i="22" s="1"/>
  <c r="CB89" i="22" s="1"/>
  <c r="CC89" i="22" s="1"/>
  <c r="CD89" i="22" s="1"/>
  <c r="CE89" i="22" s="1"/>
  <c r="CF89" i="22" s="1"/>
  <c r="CG89" i="22" s="1"/>
  <c r="CH89" i="22" s="1"/>
  <c r="CI89" i="22" s="1"/>
  <c r="CJ89" i="22" s="1"/>
  <c r="CK89" i="22" s="1"/>
  <c r="CL89" i="22" s="1"/>
  <c r="CM89" i="22" s="1"/>
  <c r="CN89" i="22" s="1"/>
  <c r="CO89" i="22" s="1"/>
  <c r="CP89" i="22" s="1"/>
  <c r="CQ89" i="22" s="1"/>
  <c r="CR89" i="22" s="1"/>
  <c r="CS89" i="22" s="1"/>
  <c r="CT89" i="22" s="1"/>
  <c r="CU89" i="22" s="1"/>
  <c r="CV89" i="22" s="1"/>
  <c r="CW89" i="22" s="1"/>
  <c r="F90" i="22"/>
  <c r="G90" i="22" s="1"/>
  <c r="H90" i="22" s="1"/>
  <c r="I90" i="22" s="1"/>
  <c r="J90" i="22" s="1"/>
  <c r="K90" i="22" s="1"/>
  <c r="L90" i="22" s="1"/>
  <c r="M90" i="22" s="1"/>
  <c r="N90" i="22" s="1"/>
  <c r="O90" i="22" s="1"/>
  <c r="P90" i="22" s="1"/>
  <c r="Q90" i="22" s="1"/>
  <c r="R90" i="22" s="1"/>
  <c r="S90" i="22" s="1"/>
  <c r="T90" i="22" s="1"/>
  <c r="U90" i="22" s="1"/>
  <c r="V90" i="22" s="1"/>
  <c r="W90" i="22" s="1"/>
  <c r="X90" i="22" s="1"/>
  <c r="Y90" i="22" s="1"/>
  <c r="Z90" i="22" s="1"/>
  <c r="AA90" i="22" s="1"/>
  <c r="AB90" i="22" s="1"/>
  <c r="AC90" i="22" s="1"/>
  <c r="AD90" i="22" s="1"/>
  <c r="AE90" i="22" s="1"/>
  <c r="AF90" i="22" s="1"/>
  <c r="AG90" i="22" s="1"/>
  <c r="AH90" i="22" s="1"/>
  <c r="AI90" i="22" s="1"/>
  <c r="AJ90" i="22" s="1"/>
  <c r="AK90" i="22" s="1"/>
  <c r="AL90" i="22" s="1"/>
  <c r="AM90" i="22" s="1"/>
  <c r="AN90" i="22" s="1"/>
  <c r="AO90" i="22" s="1"/>
  <c r="AP90" i="22" s="1"/>
  <c r="AQ90" i="22" s="1"/>
  <c r="AR90" i="22" s="1"/>
  <c r="AS90" i="22" s="1"/>
  <c r="AT90" i="22" s="1"/>
  <c r="AU90" i="22" s="1"/>
  <c r="AV90" i="22" s="1"/>
  <c r="AW90" i="22" s="1"/>
  <c r="AX90" i="22" s="1"/>
  <c r="AY90" i="22" s="1"/>
  <c r="AZ90" i="22" s="1"/>
  <c r="BA90" i="22" s="1"/>
  <c r="BB90" i="22" s="1"/>
  <c r="BC90" i="22" s="1"/>
  <c r="BD90" i="22" s="1"/>
  <c r="BE90" i="22" s="1"/>
  <c r="BF90" i="22" s="1"/>
  <c r="BG90" i="22" s="1"/>
  <c r="BH90" i="22" s="1"/>
  <c r="BI90" i="22" s="1"/>
  <c r="BJ90" i="22" s="1"/>
  <c r="BK90" i="22" s="1"/>
  <c r="BL90" i="22" s="1"/>
  <c r="BM90" i="22" s="1"/>
  <c r="BN90" i="22" s="1"/>
  <c r="BO90" i="22" s="1"/>
  <c r="BP90" i="22" s="1"/>
  <c r="BQ90" i="22" s="1"/>
  <c r="BR90" i="22" s="1"/>
  <c r="BS90" i="22" s="1"/>
  <c r="BT90" i="22" s="1"/>
  <c r="BU90" i="22" s="1"/>
  <c r="BV90" i="22" s="1"/>
  <c r="BW90" i="22" s="1"/>
  <c r="BX90" i="22" s="1"/>
  <c r="BY90" i="22" s="1"/>
  <c r="BZ90" i="22" s="1"/>
  <c r="CA90" i="22" s="1"/>
  <c r="CB90" i="22" s="1"/>
  <c r="CC90" i="22" s="1"/>
  <c r="CD90" i="22" s="1"/>
  <c r="CE90" i="22" s="1"/>
  <c r="CF90" i="22" s="1"/>
  <c r="CG90" i="22" s="1"/>
  <c r="CH90" i="22" s="1"/>
  <c r="CI90" i="22" s="1"/>
  <c r="CJ90" i="22" s="1"/>
  <c r="CK90" i="22" s="1"/>
  <c r="CL90" i="22" s="1"/>
  <c r="CM90" i="22" s="1"/>
  <c r="CN90" i="22" s="1"/>
  <c r="CO90" i="22" s="1"/>
  <c r="CP90" i="22" s="1"/>
  <c r="CQ90" i="22" s="1"/>
  <c r="CR90" i="22" s="1"/>
  <c r="CS90" i="22" s="1"/>
  <c r="CT90" i="22" s="1"/>
  <c r="CU90" i="22" s="1"/>
  <c r="CV90" i="22" s="1"/>
  <c r="CW90" i="22" s="1"/>
  <c r="F91" i="22"/>
  <c r="G91" i="22" s="1"/>
  <c r="H91" i="22" s="1"/>
  <c r="I91" i="22" s="1"/>
  <c r="J91" i="22" s="1"/>
  <c r="K91" i="22" s="1"/>
  <c r="L91" i="22" s="1"/>
  <c r="M91" i="22" s="1"/>
  <c r="N91" i="22" s="1"/>
  <c r="O91" i="22" s="1"/>
  <c r="P91" i="22" s="1"/>
  <c r="Q91" i="22" s="1"/>
  <c r="R91" i="22" s="1"/>
  <c r="S91" i="22" s="1"/>
  <c r="T91" i="22" s="1"/>
  <c r="U91" i="22" s="1"/>
  <c r="V91" i="22" s="1"/>
  <c r="W91" i="22" s="1"/>
  <c r="X91" i="22" s="1"/>
  <c r="Y91" i="22" s="1"/>
  <c r="Z91" i="22" s="1"/>
  <c r="AA91" i="22" s="1"/>
  <c r="AB91" i="22" s="1"/>
  <c r="AC91" i="22" s="1"/>
  <c r="AD91" i="22" s="1"/>
  <c r="AE91" i="22" s="1"/>
  <c r="AF91" i="22" s="1"/>
  <c r="AG91" i="22" s="1"/>
  <c r="AH91" i="22" s="1"/>
  <c r="AI91" i="22" s="1"/>
  <c r="AJ91" i="22" s="1"/>
  <c r="AK91" i="22" s="1"/>
  <c r="AL91" i="22" s="1"/>
  <c r="AM91" i="22" s="1"/>
  <c r="AN91" i="22" s="1"/>
  <c r="AO91" i="22" s="1"/>
  <c r="AP91" i="22" s="1"/>
  <c r="AQ91" i="22" s="1"/>
  <c r="AR91" i="22" s="1"/>
  <c r="AS91" i="22" s="1"/>
  <c r="AT91" i="22" s="1"/>
  <c r="AU91" i="22" s="1"/>
  <c r="AV91" i="22" s="1"/>
  <c r="AW91" i="22" s="1"/>
  <c r="AX91" i="22" s="1"/>
  <c r="AY91" i="22" s="1"/>
  <c r="AZ91" i="22" s="1"/>
  <c r="BA91" i="22" s="1"/>
  <c r="BB91" i="22" s="1"/>
  <c r="BC91" i="22" s="1"/>
  <c r="BD91" i="22" s="1"/>
  <c r="BE91" i="22" s="1"/>
  <c r="BF91" i="22" s="1"/>
  <c r="BG91" i="22" s="1"/>
  <c r="BH91" i="22" s="1"/>
  <c r="BI91" i="22" s="1"/>
  <c r="BJ91" i="22" s="1"/>
  <c r="BK91" i="22" s="1"/>
  <c r="BL91" i="22" s="1"/>
  <c r="BM91" i="22" s="1"/>
  <c r="BN91" i="22" s="1"/>
  <c r="BO91" i="22" s="1"/>
  <c r="BP91" i="22" s="1"/>
  <c r="BQ91" i="22" s="1"/>
  <c r="BR91" i="22" s="1"/>
  <c r="BS91" i="22" s="1"/>
  <c r="BT91" i="22" s="1"/>
  <c r="BU91" i="22" s="1"/>
  <c r="BV91" i="22" s="1"/>
  <c r="BW91" i="22" s="1"/>
  <c r="BX91" i="22" s="1"/>
  <c r="BY91" i="22" s="1"/>
  <c r="BZ91" i="22" s="1"/>
  <c r="CA91" i="22" s="1"/>
  <c r="CB91" i="22" s="1"/>
  <c r="CC91" i="22" s="1"/>
  <c r="CD91" i="22" s="1"/>
  <c r="CE91" i="22" s="1"/>
  <c r="CF91" i="22" s="1"/>
  <c r="CG91" i="22" s="1"/>
  <c r="CH91" i="22" s="1"/>
  <c r="CI91" i="22" s="1"/>
  <c r="CJ91" i="22" s="1"/>
  <c r="CK91" i="22" s="1"/>
  <c r="CL91" i="22" s="1"/>
  <c r="CM91" i="22" s="1"/>
  <c r="CN91" i="22" s="1"/>
  <c r="CO91" i="22" s="1"/>
  <c r="CP91" i="22" s="1"/>
  <c r="CQ91" i="22" s="1"/>
  <c r="CR91" i="22" s="1"/>
  <c r="CS91" i="22" s="1"/>
  <c r="CT91" i="22" s="1"/>
  <c r="CU91" i="22" s="1"/>
  <c r="CV91" i="22" s="1"/>
  <c r="CW91" i="22" s="1"/>
  <c r="F92" i="22"/>
  <c r="G92" i="22" s="1"/>
  <c r="H92" i="22" s="1"/>
  <c r="I92" i="22" s="1"/>
  <c r="J92" i="22" s="1"/>
  <c r="K92" i="22" s="1"/>
  <c r="L92" i="22" s="1"/>
  <c r="M92" i="22" s="1"/>
  <c r="N92" i="22" s="1"/>
  <c r="O92" i="22" s="1"/>
  <c r="P92" i="22" s="1"/>
  <c r="Q92" i="22" s="1"/>
  <c r="R92" i="22" s="1"/>
  <c r="S92" i="22" s="1"/>
  <c r="T92" i="22" s="1"/>
  <c r="U92" i="22" s="1"/>
  <c r="V92" i="22" s="1"/>
  <c r="W92" i="22" s="1"/>
  <c r="X92" i="22" s="1"/>
  <c r="Y92" i="22" s="1"/>
  <c r="Z92" i="22" s="1"/>
  <c r="AA92" i="22" s="1"/>
  <c r="AB92" i="22" s="1"/>
  <c r="AC92" i="22" s="1"/>
  <c r="AD92" i="22" s="1"/>
  <c r="AE92" i="22" s="1"/>
  <c r="AF92" i="22" s="1"/>
  <c r="AG92" i="22" s="1"/>
  <c r="AH92" i="22" s="1"/>
  <c r="AI92" i="22" s="1"/>
  <c r="AJ92" i="22" s="1"/>
  <c r="AK92" i="22" s="1"/>
  <c r="AL92" i="22" s="1"/>
  <c r="AM92" i="22" s="1"/>
  <c r="AN92" i="22" s="1"/>
  <c r="AO92" i="22" s="1"/>
  <c r="AP92" i="22" s="1"/>
  <c r="AQ92" i="22" s="1"/>
  <c r="AR92" i="22" s="1"/>
  <c r="AS92" i="22" s="1"/>
  <c r="AT92" i="22" s="1"/>
  <c r="AU92" i="22" s="1"/>
  <c r="AV92" i="22" s="1"/>
  <c r="AW92" i="22" s="1"/>
  <c r="AX92" i="22" s="1"/>
  <c r="AY92" i="22" s="1"/>
  <c r="AZ92" i="22" s="1"/>
  <c r="BA92" i="22" s="1"/>
  <c r="BB92" i="22" s="1"/>
  <c r="BC92" i="22" s="1"/>
  <c r="BD92" i="22" s="1"/>
  <c r="BE92" i="22" s="1"/>
  <c r="BF92" i="22" s="1"/>
  <c r="BG92" i="22" s="1"/>
  <c r="BH92" i="22" s="1"/>
  <c r="BI92" i="22" s="1"/>
  <c r="BJ92" i="22" s="1"/>
  <c r="BK92" i="22" s="1"/>
  <c r="BL92" i="22" s="1"/>
  <c r="BM92" i="22" s="1"/>
  <c r="BN92" i="22" s="1"/>
  <c r="BO92" i="22" s="1"/>
  <c r="BP92" i="22" s="1"/>
  <c r="BQ92" i="22" s="1"/>
  <c r="BR92" i="22" s="1"/>
  <c r="BS92" i="22" s="1"/>
  <c r="BT92" i="22" s="1"/>
  <c r="BU92" i="22" s="1"/>
  <c r="BV92" i="22" s="1"/>
  <c r="BW92" i="22" s="1"/>
  <c r="BX92" i="22" s="1"/>
  <c r="BY92" i="22" s="1"/>
  <c r="BZ92" i="22" s="1"/>
  <c r="CA92" i="22" s="1"/>
  <c r="CB92" i="22" s="1"/>
  <c r="CC92" i="22" s="1"/>
  <c r="CD92" i="22" s="1"/>
  <c r="CE92" i="22" s="1"/>
  <c r="CF92" i="22" s="1"/>
  <c r="CG92" i="22" s="1"/>
  <c r="CH92" i="22" s="1"/>
  <c r="CI92" i="22" s="1"/>
  <c r="CJ92" i="22" s="1"/>
  <c r="CK92" i="22" s="1"/>
  <c r="CL92" i="22" s="1"/>
  <c r="CM92" i="22" s="1"/>
  <c r="CN92" i="22" s="1"/>
  <c r="CO92" i="22" s="1"/>
  <c r="CP92" i="22" s="1"/>
  <c r="CQ92" i="22" s="1"/>
  <c r="CR92" i="22" s="1"/>
  <c r="CS92" i="22" s="1"/>
  <c r="CT92" i="22" s="1"/>
  <c r="CU92" i="22" s="1"/>
  <c r="CV92" i="22" s="1"/>
  <c r="CW92" i="22" s="1"/>
  <c r="F93" i="22"/>
  <c r="G93" i="22" s="1"/>
  <c r="H93" i="22" s="1"/>
  <c r="I93" i="22" s="1"/>
  <c r="J93" i="22" s="1"/>
  <c r="K93" i="22" s="1"/>
  <c r="L93" i="22" s="1"/>
  <c r="M93" i="22" s="1"/>
  <c r="N93" i="22" s="1"/>
  <c r="O93" i="22" s="1"/>
  <c r="P93" i="22" s="1"/>
  <c r="Q93" i="22" s="1"/>
  <c r="R93" i="22" s="1"/>
  <c r="S93" i="22" s="1"/>
  <c r="T93" i="22" s="1"/>
  <c r="U93" i="22" s="1"/>
  <c r="V93" i="22" s="1"/>
  <c r="W93" i="22" s="1"/>
  <c r="X93" i="22" s="1"/>
  <c r="Y93" i="22" s="1"/>
  <c r="Z93" i="22" s="1"/>
  <c r="AA93" i="22" s="1"/>
  <c r="AB93" i="22" s="1"/>
  <c r="AC93" i="22" s="1"/>
  <c r="AD93" i="22" s="1"/>
  <c r="AE93" i="22" s="1"/>
  <c r="AF93" i="22" s="1"/>
  <c r="AG93" i="22" s="1"/>
  <c r="AH93" i="22" s="1"/>
  <c r="AI93" i="22" s="1"/>
  <c r="AJ93" i="22" s="1"/>
  <c r="AK93" i="22" s="1"/>
  <c r="AL93" i="22" s="1"/>
  <c r="AM93" i="22" s="1"/>
  <c r="AN93" i="22" s="1"/>
  <c r="AO93" i="22" s="1"/>
  <c r="AP93" i="22" s="1"/>
  <c r="AQ93" i="22" s="1"/>
  <c r="AR93" i="22" s="1"/>
  <c r="AS93" i="22" s="1"/>
  <c r="AT93" i="22" s="1"/>
  <c r="AU93" i="22" s="1"/>
  <c r="AV93" i="22" s="1"/>
  <c r="AW93" i="22" s="1"/>
  <c r="AX93" i="22" s="1"/>
  <c r="AY93" i="22" s="1"/>
  <c r="AZ93" i="22" s="1"/>
  <c r="BA93" i="22" s="1"/>
  <c r="BB93" i="22" s="1"/>
  <c r="BC93" i="22" s="1"/>
  <c r="BD93" i="22" s="1"/>
  <c r="BE93" i="22" s="1"/>
  <c r="BF93" i="22" s="1"/>
  <c r="BG93" i="22" s="1"/>
  <c r="BH93" i="22" s="1"/>
  <c r="BI93" i="22" s="1"/>
  <c r="BJ93" i="22" s="1"/>
  <c r="BK93" i="22" s="1"/>
  <c r="BL93" i="22" s="1"/>
  <c r="BM93" i="22" s="1"/>
  <c r="BN93" i="22" s="1"/>
  <c r="BO93" i="22" s="1"/>
  <c r="BP93" i="22" s="1"/>
  <c r="BQ93" i="22" s="1"/>
  <c r="BR93" i="22" s="1"/>
  <c r="BS93" i="22" s="1"/>
  <c r="BT93" i="22" s="1"/>
  <c r="BU93" i="22" s="1"/>
  <c r="BV93" i="22" s="1"/>
  <c r="BW93" i="22" s="1"/>
  <c r="BX93" i="22" s="1"/>
  <c r="BY93" i="22" s="1"/>
  <c r="BZ93" i="22" s="1"/>
  <c r="CA93" i="22" s="1"/>
  <c r="CB93" i="22" s="1"/>
  <c r="CC93" i="22" s="1"/>
  <c r="CD93" i="22" s="1"/>
  <c r="CE93" i="22" s="1"/>
  <c r="CF93" i="22" s="1"/>
  <c r="CG93" i="22" s="1"/>
  <c r="CH93" i="22" s="1"/>
  <c r="CI93" i="22" s="1"/>
  <c r="CJ93" i="22" s="1"/>
  <c r="CK93" i="22" s="1"/>
  <c r="CL93" i="22" s="1"/>
  <c r="CM93" i="22" s="1"/>
  <c r="CN93" i="22" s="1"/>
  <c r="CO93" i="22" s="1"/>
  <c r="CP93" i="22" s="1"/>
  <c r="CQ93" i="22" s="1"/>
  <c r="CR93" i="22" s="1"/>
  <c r="CS93" i="22" s="1"/>
  <c r="CT93" i="22" s="1"/>
  <c r="CU93" i="22" s="1"/>
  <c r="CV93" i="22" s="1"/>
  <c r="CW93" i="22" s="1"/>
  <c r="F94" i="22"/>
  <c r="G94" i="22" s="1"/>
  <c r="H94" i="22" s="1"/>
  <c r="I94" i="22" s="1"/>
  <c r="J94" i="22" s="1"/>
  <c r="K94" i="22" s="1"/>
  <c r="L94" i="22" s="1"/>
  <c r="M94" i="22" s="1"/>
  <c r="N94" i="22" s="1"/>
  <c r="O94" i="22" s="1"/>
  <c r="P94" i="22" s="1"/>
  <c r="Q94" i="22" s="1"/>
  <c r="R94" i="22" s="1"/>
  <c r="S94" i="22" s="1"/>
  <c r="T94" i="22" s="1"/>
  <c r="U94" i="22" s="1"/>
  <c r="V94" i="22" s="1"/>
  <c r="W94" i="22" s="1"/>
  <c r="X94" i="22" s="1"/>
  <c r="Y94" i="22" s="1"/>
  <c r="Z94" i="22" s="1"/>
  <c r="AA94" i="22" s="1"/>
  <c r="AB94" i="22" s="1"/>
  <c r="AC94" i="22" s="1"/>
  <c r="AD94" i="22" s="1"/>
  <c r="AE94" i="22" s="1"/>
  <c r="AF94" i="22" s="1"/>
  <c r="AG94" i="22" s="1"/>
  <c r="AH94" i="22" s="1"/>
  <c r="AI94" i="22" s="1"/>
  <c r="AJ94" i="22" s="1"/>
  <c r="AK94" i="22" s="1"/>
  <c r="AL94" i="22" s="1"/>
  <c r="AM94" i="22" s="1"/>
  <c r="AN94" i="22" s="1"/>
  <c r="AO94" i="22" s="1"/>
  <c r="AP94" i="22" s="1"/>
  <c r="AQ94" i="22" s="1"/>
  <c r="AR94" i="22" s="1"/>
  <c r="AS94" i="22" s="1"/>
  <c r="AT94" i="22" s="1"/>
  <c r="AU94" i="22" s="1"/>
  <c r="AV94" i="22" s="1"/>
  <c r="AW94" i="22" s="1"/>
  <c r="AX94" i="22" s="1"/>
  <c r="AY94" i="22" s="1"/>
  <c r="AZ94" i="22" s="1"/>
  <c r="BA94" i="22" s="1"/>
  <c r="BB94" i="22" s="1"/>
  <c r="BC94" i="22" s="1"/>
  <c r="BD94" i="22" s="1"/>
  <c r="BE94" i="22" s="1"/>
  <c r="BF94" i="22" s="1"/>
  <c r="BG94" i="22" s="1"/>
  <c r="BH94" i="22" s="1"/>
  <c r="BI94" i="22" s="1"/>
  <c r="BJ94" i="22" s="1"/>
  <c r="BK94" i="22" s="1"/>
  <c r="BL94" i="22" s="1"/>
  <c r="BM94" i="22" s="1"/>
  <c r="BN94" i="22" s="1"/>
  <c r="BO94" i="22" s="1"/>
  <c r="BP94" i="22" s="1"/>
  <c r="BQ94" i="22" s="1"/>
  <c r="BR94" i="22" s="1"/>
  <c r="BS94" i="22" s="1"/>
  <c r="BT94" i="22" s="1"/>
  <c r="BU94" i="22" s="1"/>
  <c r="BV94" i="22" s="1"/>
  <c r="BW94" i="22" s="1"/>
  <c r="BX94" i="22" s="1"/>
  <c r="BY94" i="22" s="1"/>
  <c r="BZ94" i="22" s="1"/>
  <c r="CA94" i="22" s="1"/>
  <c r="CB94" i="22" s="1"/>
  <c r="CC94" i="22" s="1"/>
  <c r="CD94" i="22" s="1"/>
  <c r="CE94" i="22" s="1"/>
  <c r="CF94" i="22" s="1"/>
  <c r="CG94" i="22" s="1"/>
  <c r="CH94" i="22" s="1"/>
  <c r="CI94" i="22" s="1"/>
  <c r="CJ94" i="22" s="1"/>
  <c r="CK94" i="22" s="1"/>
  <c r="CL94" i="22" s="1"/>
  <c r="CM94" i="22" s="1"/>
  <c r="CN94" i="22" s="1"/>
  <c r="CO94" i="22" s="1"/>
  <c r="CP94" i="22" s="1"/>
  <c r="CQ94" i="22" s="1"/>
  <c r="CR94" i="22" s="1"/>
  <c r="CS94" i="22" s="1"/>
  <c r="CT94" i="22" s="1"/>
  <c r="CU94" i="22" s="1"/>
  <c r="CV94" i="22" s="1"/>
  <c r="CW94" i="22" s="1"/>
  <c r="F95" i="22"/>
  <c r="G95" i="22" s="1"/>
  <c r="H95" i="22" s="1"/>
  <c r="I95" i="22" s="1"/>
  <c r="J95" i="22" s="1"/>
  <c r="K95" i="22" s="1"/>
  <c r="L95" i="22" s="1"/>
  <c r="M95" i="22" s="1"/>
  <c r="N95" i="22" s="1"/>
  <c r="O95" i="22" s="1"/>
  <c r="P95" i="22" s="1"/>
  <c r="Q95" i="22" s="1"/>
  <c r="R95" i="22" s="1"/>
  <c r="S95" i="22" s="1"/>
  <c r="T95" i="22" s="1"/>
  <c r="U95" i="22" s="1"/>
  <c r="V95" i="22" s="1"/>
  <c r="W95" i="22" s="1"/>
  <c r="X95" i="22" s="1"/>
  <c r="Y95" i="22" s="1"/>
  <c r="Z95" i="22" s="1"/>
  <c r="AA95" i="22" s="1"/>
  <c r="AB95" i="22" s="1"/>
  <c r="AC95" i="22" s="1"/>
  <c r="AD95" i="22" s="1"/>
  <c r="AE95" i="22" s="1"/>
  <c r="AF95" i="22" s="1"/>
  <c r="AG95" i="22" s="1"/>
  <c r="AH95" i="22" s="1"/>
  <c r="AI95" i="22" s="1"/>
  <c r="AJ95" i="22" s="1"/>
  <c r="AK95" i="22" s="1"/>
  <c r="AL95" i="22" s="1"/>
  <c r="AM95" i="22" s="1"/>
  <c r="AN95" i="22" s="1"/>
  <c r="AO95" i="22" s="1"/>
  <c r="AP95" i="22" s="1"/>
  <c r="AQ95" i="22" s="1"/>
  <c r="AR95" i="22" s="1"/>
  <c r="AS95" i="22" s="1"/>
  <c r="AT95" i="22" s="1"/>
  <c r="AU95" i="22" s="1"/>
  <c r="AV95" i="22" s="1"/>
  <c r="AW95" i="22" s="1"/>
  <c r="AX95" i="22" s="1"/>
  <c r="AY95" i="22" s="1"/>
  <c r="AZ95" i="22" s="1"/>
  <c r="BA95" i="22" s="1"/>
  <c r="BB95" i="22" s="1"/>
  <c r="BC95" i="22" s="1"/>
  <c r="BD95" i="22" s="1"/>
  <c r="BE95" i="22" s="1"/>
  <c r="BF95" i="22" s="1"/>
  <c r="BG95" i="22" s="1"/>
  <c r="BH95" i="22" s="1"/>
  <c r="BI95" i="22" s="1"/>
  <c r="BJ95" i="22" s="1"/>
  <c r="BK95" i="22" s="1"/>
  <c r="BL95" i="22" s="1"/>
  <c r="BM95" i="22" s="1"/>
  <c r="BN95" i="22" s="1"/>
  <c r="BO95" i="22" s="1"/>
  <c r="BP95" i="22" s="1"/>
  <c r="BQ95" i="22" s="1"/>
  <c r="BR95" i="22" s="1"/>
  <c r="BS95" i="22" s="1"/>
  <c r="BT95" i="22" s="1"/>
  <c r="BU95" i="22" s="1"/>
  <c r="BV95" i="22" s="1"/>
  <c r="BW95" i="22" s="1"/>
  <c r="BX95" i="22" s="1"/>
  <c r="BY95" i="22" s="1"/>
  <c r="BZ95" i="22" s="1"/>
  <c r="CA95" i="22" s="1"/>
  <c r="CB95" i="22" s="1"/>
  <c r="CC95" i="22" s="1"/>
  <c r="CD95" i="22" s="1"/>
  <c r="CE95" i="22" s="1"/>
  <c r="CF95" i="22" s="1"/>
  <c r="CG95" i="22" s="1"/>
  <c r="CH95" i="22" s="1"/>
  <c r="CI95" i="22" s="1"/>
  <c r="CJ95" i="22" s="1"/>
  <c r="CK95" i="22" s="1"/>
  <c r="CL95" i="22" s="1"/>
  <c r="CM95" i="22" s="1"/>
  <c r="CN95" i="22" s="1"/>
  <c r="CO95" i="22" s="1"/>
  <c r="CP95" i="22" s="1"/>
  <c r="CQ95" i="22" s="1"/>
  <c r="CR95" i="22" s="1"/>
  <c r="CS95" i="22" s="1"/>
  <c r="CT95" i="22" s="1"/>
  <c r="CU95" i="22" s="1"/>
  <c r="CV95" i="22" s="1"/>
  <c r="CW95" i="22" s="1"/>
  <c r="F96" i="22"/>
  <c r="G96" i="22" s="1"/>
  <c r="H96" i="22" s="1"/>
  <c r="I96" i="22" s="1"/>
  <c r="J96" i="22" s="1"/>
  <c r="K96" i="22" s="1"/>
  <c r="L96" i="22" s="1"/>
  <c r="M96" i="22" s="1"/>
  <c r="N96" i="22" s="1"/>
  <c r="O96" i="22" s="1"/>
  <c r="P96" i="22" s="1"/>
  <c r="Q96" i="22" s="1"/>
  <c r="R96" i="22" s="1"/>
  <c r="S96" i="22" s="1"/>
  <c r="T96" i="22" s="1"/>
  <c r="U96" i="22" s="1"/>
  <c r="V96" i="22" s="1"/>
  <c r="W96" i="22" s="1"/>
  <c r="X96" i="22" s="1"/>
  <c r="Y96" i="22" s="1"/>
  <c r="Z96" i="22" s="1"/>
  <c r="AA96" i="22" s="1"/>
  <c r="AB96" i="22" s="1"/>
  <c r="AC96" i="22" s="1"/>
  <c r="AD96" i="22" s="1"/>
  <c r="AE96" i="22" s="1"/>
  <c r="AF96" i="22" s="1"/>
  <c r="AG96" i="22" s="1"/>
  <c r="AH96" i="22" s="1"/>
  <c r="AI96" i="22" s="1"/>
  <c r="AJ96" i="22" s="1"/>
  <c r="AK96" i="22" s="1"/>
  <c r="AL96" i="22" s="1"/>
  <c r="AM96" i="22" s="1"/>
  <c r="AN96" i="22" s="1"/>
  <c r="AO96" i="22" s="1"/>
  <c r="AP96" i="22" s="1"/>
  <c r="AQ96" i="22" s="1"/>
  <c r="AR96" i="22" s="1"/>
  <c r="AS96" i="22" s="1"/>
  <c r="AT96" i="22" s="1"/>
  <c r="AU96" i="22" s="1"/>
  <c r="AV96" i="22" s="1"/>
  <c r="AW96" i="22" s="1"/>
  <c r="AX96" i="22" s="1"/>
  <c r="AY96" i="22" s="1"/>
  <c r="AZ96" i="22" s="1"/>
  <c r="BA96" i="22" s="1"/>
  <c r="BB96" i="22" s="1"/>
  <c r="BC96" i="22" s="1"/>
  <c r="BD96" i="22" s="1"/>
  <c r="BE96" i="22" s="1"/>
  <c r="BF96" i="22" s="1"/>
  <c r="BG96" i="22" s="1"/>
  <c r="BH96" i="22" s="1"/>
  <c r="BI96" i="22" s="1"/>
  <c r="BJ96" i="22" s="1"/>
  <c r="BK96" i="22" s="1"/>
  <c r="BL96" i="22" s="1"/>
  <c r="BM96" i="22" s="1"/>
  <c r="BN96" i="22" s="1"/>
  <c r="BO96" i="22" s="1"/>
  <c r="BP96" i="22" s="1"/>
  <c r="BQ96" i="22" s="1"/>
  <c r="BR96" i="22" s="1"/>
  <c r="BS96" i="22" s="1"/>
  <c r="BT96" i="22" s="1"/>
  <c r="BU96" i="22" s="1"/>
  <c r="BV96" i="22" s="1"/>
  <c r="BW96" i="22" s="1"/>
  <c r="BX96" i="22" s="1"/>
  <c r="BY96" i="22" s="1"/>
  <c r="BZ96" i="22" s="1"/>
  <c r="CA96" i="22" s="1"/>
  <c r="CB96" i="22" s="1"/>
  <c r="CC96" i="22" s="1"/>
  <c r="CD96" i="22" s="1"/>
  <c r="CE96" i="22" s="1"/>
  <c r="CF96" i="22" s="1"/>
  <c r="CG96" i="22" s="1"/>
  <c r="CH96" i="22" s="1"/>
  <c r="CI96" i="22" s="1"/>
  <c r="CJ96" i="22" s="1"/>
  <c r="CK96" i="22" s="1"/>
  <c r="CL96" i="22" s="1"/>
  <c r="CM96" i="22" s="1"/>
  <c r="CN96" i="22" s="1"/>
  <c r="CO96" i="22" s="1"/>
  <c r="CP96" i="22" s="1"/>
  <c r="CQ96" i="22" s="1"/>
  <c r="CR96" i="22" s="1"/>
  <c r="CS96" i="22" s="1"/>
  <c r="CT96" i="22" s="1"/>
  <c r="CU96" i="22" s="1"/>
  <c r="CV96" i="22" s="1"/>
  <c r="CW96" i="22" s="1"/>
  <c r="F97" i="22"/>
  <c r="G97" i="22" s="1"/>
  <c r="H97" i="22" s="1"/>
  <c r="I97" i="22" s="1"/>
  <c r="J97" i="22" s="1"/>
  <c r="K97" i="22" s="1"/>
  <c r="L97" i="22" s="1"/>
  <c r="M97" i="22" s="1"/>
  <c r="N97" i="22" s="1"/>
  <c r="O97" i="22" s="1"/>
  <c r="P97" i="22" s="1"/>
  <c r="Q97" i="22" s="1"/>
  <c r="R97" i="22" s="1"/>
  <c r="S97" i="22" s="1"/>
  <c r="T97" i="22" s="1"/>
  <c r="U97" i="22" s="1"/>
  <c r="V97" i="22" s="1"/>
  <c r="W97" i="22" s="1"/>
  <c r="X97" i="22" s="1"/>
  <c r="Y97" i="22" s="1"/>
  <c r="Z97" i="22" s="1"/>
  <c r="AA97" i="22" s="1"/>
  <c r="AB97" i="22" s="1"/>
  <c r="AC97" i="22" s="1"/>
  <c r="AD97" i="22" s="1"/>
  <c r="AE97" i="22" s="1"/>
  <c r="AF97" i="22" s="1"/>
  <c r="AG97" i="22" s="1"/>
  <c r="AH97" i="22" s="1"/>
  <c r="AI97" i="22" s="1"/>
  <c r="AJ97" i="22" s="1"/>
  <c r="AK97" i="22" s="1"/>
  <c r="AL97" i="22" s="1"/>
  <c r="AM97" i="22" s="1"/>
  <c r="AN97" i="22" s="1"/>
  <c r="AO97" i="22" s="1"/>
  <c r="AP97" i="22" s="1"/>
  <c r="AQ97" i="22" s="1"/>
  <c r="AR97" i="22" s="1"/>
  <c r="AS97" i="22" s="1"/>
  <c r="AT97" i="22" s="1"/>
  <c r="AU97" i="22" s="1"/>
  <c r="AV97" i="22" s="1"/>
  <c r="AW97" i="22" s="1"/>
  <c r="AX97" i="22" s="1"/>
  <c r="AY97" i="22" s="1"/>
  <c r="AZ97" i="22" s="1"/>
  <c r="BA97" i="22" s="1"/>
  <c r="BB97" i="22" s="1"/>
  <c r="BC97" i="22" s="1"/>
  <c r="BD97" i="22" s="1"/>
  <c r="BE97" i="22" s="1"/>
  <c r="BF97" i="22" s="1"/>
  <c r="BG97" i="22" s="1"/>
  <c r="BH97" i="22" s="1"/>
  <c r="BI97" i="22" s="1"/>
  <c r="BJ97" i="22" s="1"/>
  <c r="BK97" i="22" s="1"/>
  <c r="BL97" i="22" s="1"/>
  <c r="BM97" i="22" s="1"/>
  <c r="BN97" i="22" s="1"/>
  <c r="BO97" i="22" s="1"/>
  <c r="BP97" i="22" s="1"/>
  <c r="BQ97" i="22" s="1"/>
  <c r="BR97" i="22" s="1"/>
  <c r="BS97" i="22" s="1"/>
  <c r="BT97" i="22" s="1"/>
  <c r="BU97" i="22" s="1"/>
  <c r="BV97" i="22" s="1"/>
  <c r="BW97" i="22" s="1"/>
  <c r="BX97" i="22" s="1"/>
  <c r="BY97" i="22" s="1"/>
  <c r="BZ97" i="22" s="1"/>
  <c r="CA97" i="22" s="1"/>
  <c r="CB97" i="22" s="1"/>
  <c r="CC97" i="22" s="1"/>
  <c r="CD97" i="22" s="1"/>
  <c r="CE97" i="22" s="1"/>
  <c r="CF97" i="22" s="1"/>
  <c r="CG97" i="22" s="1"/>
  <c r="CH97" i="22" s="1"/>
  <c r="CI97" i="22" s="1"/>
  <c r="CJ97" i="22" s="1"/>
  <c r="CK97" i="22" s="1"/>
  <c r="CL97" i="22" s="1"/>
  <c r="CM97" i="22" s="1"/>
  <c r="CN97" i="22" s="1"/>
  <c r="CO97" i="22" s="1"/>
  <c r="CP97" i="22" s="1"/>
  <c r="CQ97" i="22" s="1"/>
  <c r="CR97" i="22" s="1"/>
  <c r="CS97" i="22" s="1"/>
  <c r="CT97" i="22" s="1"/>
  <c r="CU97" i="22" s="1"/>
  <c r="F98" i="22"/>
  <c r="G98" i="22" s="1"/>
  <c r="H98" i="22" s="1"/>
  <c r="I98" i="22" s="1"/>
  <c r="J98" i="22" s="1"/>
  <c r="K98" i="22" s="1"/>
  <c r="L98" i="22" s="1"/>
  <c r="M98" i="22" s="1"/>
  <c r="N98" i="22" s="1"/>
  <c r="O98" i="22" s="1"/>
  <c r="P98" i="22" s="1"/>
  <c r="Q98" i="22" s="1"/>
  <c r="R98" i="22" s="1"/>
  <c r="S98" i="22" s="1"/>
  <c r="T98" i="22" s="1"/>
  <c r="U98" i="22" s="1"/>
  <c r="V98" i="22" s="1"/>
  <c r="W98" i="22" s="1"/>
  <c r="X98" i="22" s="1"/>
  <c r="Y98" i="22" s="1"/>
  <c r="Z98" i="22" s="1"/>
  <c r="AA98" i="22" s="1"/>
  <c r="AB98" i="22" s="1"/>
  <c r="AC98" i="22" s="1"/>
  <c r="AD98" i="22" s="1"/>
  <c r="AE98" i="22" s="1"/>
  <c r="AF98" i="22" s="1"/>
  <c r="AG98" i="22" s="1"/>
  <c r="AH98" i="22" s="1"/>
  <c r="AI98" i="22" s="1"/>
  <c r="AJ98" i="22" s="1"/>
  <c r="AK98" i="22" s="1"/>
  <c r="AL98" i="22" s="1"/>
  <c r="AM98" i="22" s="1"/>
  <c r="AN98" i="22" s="1"/>
  <c r="AO98" i="22" s="1"/>
  <c r="AP98" i="22" s="1"/>
  <c r="AQ98" i="22" s="1"/>
  <c r="AR98" i="22" s="1"/>
  <c r="AS98" i="22" s="1"/>
  <c r="AT98" i="22" s="1"/>
  <c r="AU98" i="22" s="1"/>
  <c r="AV98" i="22" s="1"/>
  <c r="AW98" i="22" s="1"/>
  <c r="AX98" i="22" s="1"/>
  <c r="AY98" i="22" s="1"/>
  <c r="AZ98" i="22" s="1"/>
  <c r="BA98" i="22" s="1"/>
  <c r="BB98" i="22" s="1"/>
  <c r="BC98" i="22" s="1"/>
  <c r="BD98" i="22" s="1"/>
  <c r="BE98" i="22" s="1"/>
  <c r="BF98" i="22" s="1"/>
  <c r="BG98" i="22" s="1"/>
  <c r="BH98" i="22" s="1"/>
  <c r="BI98" i="22" s="1"/>
  <c r="BJ98" i="22" s="1"/>
  <c r="BK98" i="22" s="1"/>
  <c r="BL98" i="22" s="1"/>
  <c r="BM98" i="22" s="1"/>
  <c r="BN98" i="22" s="1"/>
  <c r="BO98" i="22" s="1"/>
  <c r="BP98" i="22" s="1"/>
  <c r="BQ98" i="22" s="1"/>
  <c r="BR98" i="22" s="1"/>
  <c r="BS98" i="22" s="1"/>
  <c r="BT98" i="22" s="1"/>
  <c r="BU98" i="22" s="1"/>
  <c r="BV98" i="22" s="1"/>
  <c r="BW98" i="22" s="1"/>
  <c r="BX98" i="22" s="1"/>
  <c r="BY98" i="22" s="1"/>
  <c r="BZ98" i="22" s="1"/>
  <c r="CA98" i="22" s="1"/>
  <c r="CB98" i="22" s="1"/>
  <c r="CC98" i="22" s="1"/>
  <c r="CD98" i="22" s="1"/>
  <c r="CE98" i="22" s="1"/>
  <c r="CF98" i="22" s="1"/>
  <c r="CG98" i="22" s="1"/>
  <c r="CH98" i="22" s="1"/>
  <c r="CI98" i="22" s="1"/>
  <c r="CJ98" i="22" s="1"/>
  <c r="CK98" i="22" s="1"/>
  <c r="CL98" i="22" s="1"/>
  <c r="CM98" i="22" s="1"/>
  <c r="CN98" i="22" s="1"/>
  <c r="CO98" i="22" s="1"/>
  <c r="CP98" i="22" s="1"/>
  <c r="CQ98" i="22" s="1"/>
  <c r="CR98" i="22" s="1"/>
  <c r="CS98" i="22" s="1"/>
  <c r="CT98" i="22" s="1"/>
  <c r="CU98" i="22" s="1"/>
  <c r="CV98" i="22" s="1"/>
  <c r="CW98" i="22" s="1"/>
  <c r="F99" i="22"/>
  <c r="G99" i="22" s="1"/>
  <c r="H99" i="22" s="1"/>
  <c r="I99" i="22" s="1"/>
  <c r="J99" i="22" s="1"/>
  <c r="K99" i="22" s="1"/>
  <c r="L99" i="22" s="1"/>
  <c r="M99" i="22" s="1"/>
  <c r="N99" i="22" s="1"/>
  <c r="O99" i="22" s="1"/>
  <c r="P99" i="22" s="1"/>
  <c r="Q99" i="22" s="1"/>
  <c r="R99" i="22" s="1"/>
  <c r="S99" i="22" s="1"/>
  <c r="T99" i="22" s="1"/>
  <c r="U99" i="22" s="1"/>
  <c r="V99" i="22" s="1"/>
  <c r="W99" i="22" s="1"/>
  <c r="X99" i="22" s="1"/>
  <c r="Y99" i="22" s="1"/>
  <c r="Z99" i="22" s="1"/>
  <c r="AA99" i="22" s="1"/>
  <c r="AB99" i="22" s="1"/>
  <c r="AC99" i="22" s="1"/>
  <c r="AD99" i="22" s="1"/>
  <c r="AE99" i="22" s="1"/>
  <c r="AF99" i="22" s="1"/>
  <c r="AG99" i="22" s="1"/>
  <c r="AH99" i="22" s="1"/>
  <c r="AI99" i="22" s="1"/>
  <c r="AJ99" i="22" s="1"/>
  <c r="AK99" i="22" s="1"/>
  <c r="AL99" i="22" s="1"/>
  <c r="AM99" i="22" s="1"/>
  <c r="AN99" i="22" s="1"/>
  <c r="AO99" i="22" s="1"/>
  <c r="AP99" i="22" s="1"/>
  <c r="AQ99" i="22" s="1"/>
  <c r="AR99" i="22" s="1"/>
  <c r="AS99" i="22" s="1"/>
  <c r="AT99" i="22" s="1"/>
  <c r="AU99" i="22" s="1"/>
  <c r="AV99" i="22" s="1"/>
  <c r="AW99" i="22" s="1"/>
  <c r="AX99" i="22" s="1"/>
  <c r="AY99" i="22" s="1"/>
  <c r="AZ99" i="22" s="1"/>
  <c r="BA99" i="22" s="1"/>
  <c r="BB99" i="22" s="1"/>
  <c r="BC99" i="22" s="1"/>
  <c r="BD99" i="22" s="1"/>
  <c r="BE99" i="22" s="1"/>
  <c r="BF99" i="22" s="1"/>
  <c r="BG99" i="22" s="1"/>
  <c r="BH99" i="22" s="1"/>
  <c r="BI99" i="22" s="1"/>
  <c r="BJ99" i="22" s="1"/>
  <c r="BK99" i="22" s="1"/>
  <c r="BL99" i="22" s="1"/>
  <c r="BM99" i="22" s="1"/>
  <c r="BN99" i="22" s="1"/>
  <c r="BO99" i="22" s="1"/>
  <c r="BP99" i="22" s="1"/>
  <c r="BQ99" i="22" s="1"/>
  <c r="BR99" i="22" s="1"/>
  <c r="BS99" i="22" s="1"/>
  <c r="BT99" i="22" s="1"/>
  <c r="BU99" i="22" s="1"/>
  <c r="BV99" i="22" s="1"/>
  <c r="BW99" i="22" s="1"/>
  <c r="BX99" i="22" s="1"/>
  <c r="BY99" i="22" s="1"/>
  <c r="BZ99" i="22" s="1"/>
  <c r="CA99" i="22" s="1"/>
  <c r="CB99" i="22" s="1"/>
  <c r="CC99" i="22" s="1"/>
  <c r="CD99" i="22" s="1"/>
  <c r="CE99" i="22" s="1"/>
  <c r="CF99" i="22" s="1"/>
  <c r="CG99" i="22" s="1"/>
  <c r="CH99" i="22" s="1"/>
  <c r="CI99" i="22" s="1"/>
  <c r="CJ99" i="22" s="1"/>
  <c r="CK99" i="22" s="1"/>
  <c r="CL99" i="22" s="1"/>
  <c r="CM99" i="22" s="1"/>
  <c r="CN99" i="22" s="1"/>
  <c r="CO99" i="22" s="1"/>
  <c r="CP99" i="22" s="1"/>
  <c r="CQ99" i="22" s="1"/>
  <c r="CR99" i="22" s="1"/>
  <c r="CS99" i="22" s="1"/>
  <c r="CT99" i="22" s="1"/>
  <c r="CU99" i="22" s="1"/>
  <c r="CV99" i="22" s="1"/>
  <c r="CW99" i="22" s="1"/>
  <c r="F100" i="22"/>
  <c r="G100" i="22" s="1"/>
  <c r="H100" i="22" s="1"/>
  <c r="I100" i="22" s="1"/>
  <c r="J100" i="22" s="1"/>
  <c r="K100" i="22" s="1"/>
  <c r="L100" i="22" s="1"/>
  <c r="M100" i="22" s="1"/>
  <c r="N100" i="22" s="1"/>
  <c r="O100" i="22" s="1"/>
  <c r="P100" i="22" s="1"/>
  <c r="Q100" i="22" s="1"/>
  <c r="R100" i="22" s="1"/>
  <c r="S100" i="22" s="1"/>
  <c r="T100" i="22" s="1"/>
  <c r="U100" i="22" s="1"/>
  <c r="V100" i="22" s="1"/>
  <c r="W100" i="22" s="1"/>
  <c r="X100" i="22" s="1"/>
  <c r="Y100" i="22" s="1"/>
  <c r="Z100" i="22" s="1"/>
  <c r="AA100" i="22" s="1"/>
  <c r="AB100" i="22" s="1"/>
  <c r="AC100" i="22" s="1"/>
  <c r="AD100" i="22" s="1"/>
  <c r="AE100" i="22" s="1"/>
  <c r="AF100" i="22" s="1"/>
  <c r="AG100" i="22" s="1"/>
  <c r="AH100" i="22" s="1"/>
  <c r="AI100" i="22" s="1"/>
  <c r="AJ100" i="22" s="1"/>
  <c r="AK100" i="22" s="1"/>
  <c r="AL100" i="22" s="1"/>
  <c r="AM100" i="22" s="1"/>
  <c r="AN100" i="22" s="1"/>
  <c r="AO100" i="22" s="1"/>
  <c r="AP100" i="22" s="1"/>
  <c r="AQ100" i="22" s="1"/>
  <c r="AR100" i="22" s="1"/>
  <c r="AS100" i="22" s="1"/>
  <c r="AT100" i="22" s="1"/>
  <c r="AU100" i="22" s="1"/>
  <c r="AV100" i="22" s="1"/>
  <c r="AW100" i="22" s="1"/>
  <c r="AX100" i="22" s="1"/>
  <c r="AY100" i="22" s="1"/>
  <c r="AZ100" i="22" s="1"/>
  <c r="BA100" i="22" s="1"/>
  <c r="BB100" i="22" s="1"/>
  <c r="BC100" i="22" s="1"/>
  <c r="BD100" i="22" s="1"/>
  <c r="BE100" i="22" s="1"/>
  <c r="BF100" i="22" s="1"/>
  <c r="BG100" i="22" s="1"/>
  <c r="BH100" i="22" s="1"/>
  <c r="BI100" i="22" s="1"/>
  <c r="BJ100" i="22" s="1"/>
  <c r="BK100" i="22" s="1"/>
  <c r="BL100" i="22" s="1"/>
  <c r="BM100" i="22" s="1"/>
  <c r="BN100" i="22" s="1"/>
  <c r="BO100" i="22" s="1"/>
  <c r="BP100" i="22" s="1"/>
  <c r="BQ100" i="22" s="1"/>
  <c r="BR100" i="22" s="1"/>
  <c r="BS100" i="22" s="1"/>
  <c r="BT100" i="22" s="1"/>
  <c r="BU100" i="22" s="1"/>
  <c r="BV100" i="22" s="1"/>
  <c r="BW100" i="22" s="1"/>
  <c r="BX100" i="22" s="1"/>
  <c r="BY100" i="22" s="1"/>
  <c r="BZ100" i="22" s="1"/>
  <c r="CA100" i="22" s="1"/>
  <c r="CB100" i="22" s="1"/>
  <c r="CC100" i="22" s="1"/>
  <c r="CD100" i="22" s="1"/>
  <c r="CE100" i="22" s="1"/>
  <c r="CF100" i="22" s="1"/>
  <c r="CG100" i="22" s="1"/>
  <c r="CH100" i="22" s="1"/>
  <c r="CI100" i="22" s="1"/>
  <c r="CJ100" i="22" s="1"/>
  <c r="CK100" i="22" s="1"/>
  <c r="CL100" i="22" s="1"/>
  <c r="CM100" i="22" s="1"/>
  <c r="CN100" i="22" s="1"/>
  <c r="CO100" i="22" s="1"/>
  <c r="CP100" i="22" s="1"/>
  <c r="CQ100" i="22" s="1"/>
  <c r="CR100" i="22" s="1"/>
  <c r="CS100" i="22" s="1"/>
  <c r="CT100" i="22" s="1"/>
  <c r="CU100" i="22" s="1"/>
  <c r="CV100" i="22" s="1"/>
  <c r="CW100" i="22" s="1"/>
  <c r="F101" i="22"/>
  <c r="G101" i="22" s="1"/>
  <c r="H101" i="22" s="1"/>
  <c r="I101" i="22" s="1"/>
  <c r="J101" i="22" s="1"/>
  <c r="K101" i="22" s="1"/>
  <c r="L101" i="22" s="1"/>
  <c r="M101" i="22" s="1"/>
  <c r="N101" i="22" s="1"/>
  <c r="O101" i="22" s="1"/>
  <c r="P101" i="22" s="1"/>
  <c r="Q101" i="22" s="1"/>
  <c r="R101" i="22" s="1"/>
  <c r="S101" i="22" s="1"/>
  <c r="T101" i="22" s="1"/>
  <c r="U101" i="22" s="1"/>
  <c r="V101" i="22" s="1"/>
  <c r="W101" i="22" s="1"/>
  <c r="X101" i="22" s="1"/>
  <c r="Y101" i="22" s="1"/>
  <c r="Z101" i="22" s="1"/>
  <c r="AA101" i="22" s="1"/>
  <c r="AB101" i="22" s="1"/>
  <c r="AC101" i="22" s="1"/>
  <c r="AD101" i="22" s="1"/>
  <c r="AE101" i="22" s="1"/>
  <c r="AF101" i="22" s="1"/>
  <c r="AG101" i="22" s="1"/>
  <c r="AH101" i="22" s="1"/>
  <c r="AI101" i="22" s="1"/>
  <c r="AJ101" i="22" s="1"/>
  <c r="AK101" i="22" s="1"/>
  <c r="AL101" i="22" s="1"/>
  <c r="AM101" i="22" s="1"/>
  <c r="AN101" i="22" s="1"/>
  <c r="AO101" i="22" s="1"/>
  <c r="AP101" i="22" s="1"/>
  <c r="AQ101" i="22" s="1"/>
  <c r="AR101" i="22" s="1"/>
  <c r="AS101" i="22" s="1"/>
  <c r="AT101" i="22" s="1"/>
  <c r="AU101" i="22" s="1"/>
  <c r="AV101" i="22" s="1"/>
  <c r="AW101" i="22" s="1"/>
  <c r="AX101" i="22" s="1"/>
  <c r="AY101" i="22" s="1"/>
  <c r="AZ101" i="22" s="1"/>
  <c r="BA101" i="22" s="1"/>
  <c r="BB101" i="22" s="1"/>
  <c r="BC101" i="22" s="1"/>
  <c r="BD101" i="22" s="1"/>
  <c r="BE101" i="22" s="1"/>
  <c r="BF101" i="22" s="1"/>
  <c r="BG101" i="22" s="1"/>
  <c r="BH101" i="22" s="1"/>
  <c r="BI101" i="22" s="1"/>
  <c r="BJ101" i="22" s="1"/>
  <c r="BK101" i="22" s="1"/>
  <c r="BL101" i="22" s="1"/>
  <c r="BM101" i="22" s="1"/>
  <c r="BN101" i="22" s="1"/>
  <c r="BO101" i="22" s="1"/>
  <c r="BP101" i="22" s="1"/>
  <c r="BQ101" i="22" s="1"/>
  <c r="BR101" i="22" s="1"/>
  <c r="BS101" i="22" s="1"/>
  <c r="BT101" i="22" s="1"/>
  <c r="BU101" i="22" s="1"/>
  <c r="BV101" i="22" s="1"/>
  <c r="BW101" i="22" s="1"/>
  <c r="BX101" i="22" s="1"/>
  <c r="BY101" i="22" s="1"/>
  <c r="BZ101" i="22" s="1"/>
  <c r="CA101" i="22" s="1"/>
  <c r="CB101" i="22" s="1"/>
  <c r="CC101" i="22" s="1"/>
  <c r="CD101" i="22" s="1"/>
  <c r="CE101" i="22" s="1"/>
  <c r="CF101" i="22" s="1"/>
  <c r="CG101" i="22" s="1"/>
  <c r="CH101" i="22" s="1"/>
  <c r="CI101" i="22" s="1"/>
  <c r="CJ101" i="22" s="1"/>
  <c r="CK101" i="22" s="1"/>
  <c r="CL101" i="22" s="1"/>
  <c r="CM101" i="22" s="1"/>
  <c r="CN101" i="22" s="1"/>
  <c r="CO101" i="22" s="1"/>
  <c r="CP101" i="22" s="1"/>
  <c r="CQ101" i="22" s="1"/>
  <c r="CR101" i="22" s="1"/>
  <c r="CS101" i="22" s="1"/>
  <c r="CT101" i="22" s="1"/>
  <c r="CU101" i="22" s="1"/>
  <c r="CV101" i="22" s="1"/>
  <c r="CW101" i="22" s="1"/>
  <c r="F2" i="22"/>
  <c r="G2" i="22" s="1"/>
  <c r="CU103" i="22"/>
  <c r="CV40" i="22"/>
  <c r="CW40" i="22" s="1"/>
  <c r="CV37" i="22"/>
  <c r="CW37" i="22" s="1"/>
  <c r="B11" i="22"/>
  <c r="K1" i="22"/>
  <c r="L1" i="22" s="1"/>
  <c r="M1" i="22" s="1"/>
  <c r="N1" i="22" s="1"/>
  <c r="O1" i="22" s="1"/>
  <c r="P1" i="22" s="1"/>
  <c r="Q1" i="22" s="1"/>
  <c r="R1" i="22" s="1"/>
  <c r="S1" i="22" s="1"/>
  <c r="T1" i="22" s="1"/>
  <c r="U1" i="22" s="1"/>
  <c r="V1" i="22" s="1"/>
  <c r="W1" i="22" s="1"/>
  <c r="X1" i="22" s="1"/>
  <c r="Y1" i="22" s="1"/>
  <c r="Z1" i="22" s="1"/>
  <c r="AA1" i="22" s="1"/>
  <c r="AB1" i="22" s="1"/>
  <c r="AC1" i="22" s="1"/>
  <c r="AD1" i="22" s="1"/>
  <c r="AE1" i="22" s="1"/>
  <c r="AF1" i="22" s="1"/>
  <c r="AG1" i="22" s="1"/>
  <c r="AH1" i="22" s="1"/>
  <c r="AI1" i="22" s="1"/>
  <c r="AJ1" i="22" s="1"/>
  <c r="AK1" i="22" s="1"/>
  <c r="AL1" i="22" s="1"/>
  <c r="AM1" i="22" s="1"/>
  <c r="AN1" i="22" s="1"/>
  <c r="AO1" i="22" s="1"/>
  <c r="AP1" i="22" s="1"/>
  <c r="AQ1" i="22" s="1"/>
  <c r="AR1" i="22" s="1"/>
  <c r="AS1" i="22" s="1"/>
  <c r="AT1" i="22" s="1"/>
  <c r="AU1" i="22" s="1"/>
  <c r="AV1" i="22" s="1"/>
  <c r="AW1" i="22" s="1"/>
  <c r="AX1" i="22" s="1"/>
  <c r="AY1" i="22" s="1"/>
  <c r="AZ1" i="22" s="1"/>
  <c r="BA1" i="22" s="1"/>
  <c r="BB1" i="22" s="1"/>
  <c r="BC1" i="22" s="1"/>
  <c r="BD1" i="22" s="1"/>
  <c r="BE1" i="22" s="1"/>
  <c r="BF1" i="22" s="1"/>
  <c r="BG1" i="22" s="1"/>
  <c r="BH1" i="22" s="1"/>
  <c r="BI1" i="22" s="1"/>
  <c r="BJ1" i="22" s="1"/>
  <c r="BK1" i="22" s="1"/>
  <c r="BL1" i="22" s="1"/>
  <c r="BM1" i="22" s="1"/>
  <c r="BN1" i="22" s="1"/>
  <c r="BO1" i="22" s="1"/>
  <c r="BP1" i="22" s="1"/>
  <c r="BQ1" i="22" s="1"/>
  <c r="BR1" i="22" s="1"/>
  <c r="BS1" i="22" s="1"/>
  <c r="BT1" i="22" s="1"/>
  <c r="BU1" i="22" s="1"/>
  <c r="BV1" i="22" s="1"/>
  <c r="BW1" i="22" s="1"/>
  <c r="BX1" i="22" s="1"/>
  <c r="BY1" i="22" s="1"/>
  <c r="BZ1" i="22" s="1"/>
  <c r="CA1" i="22" s="1"/>
  <c r="CB1" i="22" s="1"/>
  <c r="CC1" i="22" s="1"/>
  <c r="CD1" i="22" s="1"/>
  <c r="CE1" i="22" s="1"/>
  <c r="CF1" i="22" s="1"/>
  <c r="CG1" i="22" s="1"/>
  <c r="CH1" i="22" s="1"/>
  <c r="CI1" i="22" s="1"/>
  <c r="CJ1" i="22" s="1"/>
  <c r="CK1" i="22" s="1"/>
  <c r="CL1" i="22" s="1"/>
  <c r="CM1" i="22" s="1"/>
  <c r="CN1" i="22" s="1"/>
  <c r="CO1" i="22" s="1"/>
  <c r="CP1" i="22" s="1"/>
  <c r="CQ1" i="22" s="1"/>
  <c r="CR1" i="22" s="1"/>
  <c r="CS1" i="22" s="1"/>
  <c r="CT1" i="22" s="1"/>
  <c r="CU1" i="22" s="1"/>
  <c r="H1" i="22"/>
  <c r="I1" i="22" s="1"/>
  <c r="J1" i="22" s="1"/>
  <c r="G1" i="22"/>
  <c r="C11" i="22"/>
  <c r="CV97" i="22" l="1"/>
  <c r="CW97" i="22" s="1"/>
  <c r="H2" i="22"/>
  <c r="I2" i="22" s="1"/>
  <c r="J2" i="22" s="1"/>
  <c r="K2" i="22" s="1"/>
  <c r="L2" i="22" s="1"/>
  <c r="M2" i="22" s="1"/>
  <c r="N2" i="22" s="1"/>
  <c r="O2" i="22" s="1"/>
  <c r="P2" i="22" s="1"/>
  <c r="Q2" i="22" s="1"/>
  <c r="R2" i="22" s="1"/>
  <c r="S2" i="22" s="1"/>
  <c r="T2" i="22" s="1"/>
  <c r="U2" i="22" s="1"/>
  <c r="V2" i="22" s="1"/>
  <c r="W2" i="22" s="1"/>
  <c r="X2" i="22" s="1"/>
  <c r="Y2" i="22" s="1"/>
  <c r="Z2" i="22" s="1"/>
  <c r="AA2" i="22" s="1"/>
  <c r="AB2" i="22" s="1"/>
  <c r="AC2" i="22" s="1"/>
  <c r="AD2" i="22" s="1"/>
  <c r="AE2" i="22" s="1"/>
  <c r="AF2" i="22" s="1"/>
  <c r="AG2" i="22" s="1"/>
  <c r="AH2" i="22" s="1"/>
  <c r="AI2" i="22" s="1"/>
  <c r="AJ2" i="22" s="1"/>
  <c r="AK2" i="22" s="1"/>
  <c r="AL2" i="22" s="1"/>
  <c r="AM2" i="22" s="1"/>
  <c r="AN2" i="22" s="1"/>
  <c r="AO2" i="22" s="1"/>
  <c r="AP2" i="22" s="1"/>
  <c r="AQ2" i="22" s="1"/>
  <c r="AR2" i="22" s="1"/>
  <c r="AS2" i="22" s="1"/>
  <c r="AT2" i="22" s="1"/>
  <c r="AU2" i="22" s="1"/>
  <c r="AV2" i="22" s="1"/>
  <c r="AW2" i="22" s="1"/>
  <c r="AX2" i="22" s="1"/>
  <c r="AY2" i="22" s="1"/>
  <c r="AZ2" i="22" s="1"/>
  <c r="BA2" i="22" s="1"/>
  <c r="BB2" i="22" s="1"/>
  <c r="BC2" i="22" s="1"/>
  <c r="BD2" i="22" s="1"/>
  <c r="BE2" i="22" s="1"/>
  <c r="BF2" i="22" s="1"/>
  <c r="BG2" i="22" s="1"/>
  <c r="BH2" i="22" s="1"/>
  <c r="BI2" i="22" s="1"/>
  <c r="BJ2" i="22" s="1"/>
  <c r="BK2" i="22" s="1"/>
  <c r="BL2" i="22" s="1"/>
  <c r="BM2" i="22" s="1"/>
  <c r="BN2" i="22" s="1"/>
  <c r="BO2" i="22" s="1"/>
  <c r="BP2" i="22" s="1"/>
  <c r="BQ2" i="22" s="1"/>
  <c r="BR2" i="22" s="1"/>
  <c r="BS2" i="22" s="1"/>
  <c r="BT2" i="22" s="1"/>
  <c r="BU2" i="22" s="1"/>
  <c r="BV2" i="22" s="1"/>
  <c r="BW2" i="22" s="1"/>
  <c r="BX2" i="22" s="1"/>
  <c r="BY2" i="22" s="1"/>
  <c r="BZ2" i="22" s="1"/>
  <c r="CA2" i="22" s="1"/>
  <c r="CB2" i="22" s="1"/>
  <c r="CC2" i="22" s="1"/>
  <c r="CD2" i="22" s="1"/>
  <c r="CE2" i="22" s="1"/>
  <c r="CF2" i="22" s="1"/>
  <c r="CG2" i="22" s="1"/>
  <c r="CH2" i="22" s="1"/>
  <c r="CI2" i="22" s="1"/>
  <c r="CJ2" i="22" s="1"/>
  <c r="CK2" i="22" s="1"/>
  <c r="CL2" i="22" s="1"/>
  <c r="CM2" i="22" s="1"/>
  <c r="CN2" i="22" s="1"/>
  <c r="CO2" i="22" s="1"/>
  <c r="CP2" i="22" s="1"/>
  <c r="CQ2" i="22" s="1"/>
  <c r="CR2" i="22" s="1"/>
  <c r="CS2" i="22" s="1"/>
  <c r="CT2" i="22" s="1"/>
  <c r="G109" i="15"/>
  <c r="H107" i="15"/>
  <c r="I107" i="15" s="1"/>
  <c r="F108" i="15"/>
  <c r="CU2" i="22" l="1"/>
  <c r="CV2" i="22" s="1"/>
  <c r="F109" i="15"/>
  <c r="H108" i="15"/>
  <c r="I108" i="15" s="1"/>
  <c r="G110" i="15"/>
  <c r="CW2" i="22" l="1"/>
  <c r="CW102" i="22" s="1"/>
  <c r="CV103" i="22"/>
  <c r="G111" i="15"/>
  <c r="H109" i="15"/>
  <c r="I109" i="15" s="1"/>
  <c r="F110" i="15"/>
  <c r="B3" i="18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3" i="11"/>
  <c r="H17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D16" i="14"/>
  <c r="E15" i="14"/>
  <c r="D15" i="14"/>
  <c r="E14" i="14"/>
  <c r="D14" i="14"/>
  <c r="E13" i="14"/>
  <c r="D13" i="14"/>
  <c r="C13" i="14"/>
  <c r="E12" i="14"/>
  <c r="D12" i="14"/>
  <c r="C12" i="14"/>
  <c r="E11" i="14"/>
  <c r="D11" i="14"/>
  <c r="C11" i="14"/>
  <c r="E10" i="14"/>
  <c r="D10" i="14"/>
  <c r="C10" i="14"/>
  <c r="E9" i="14"/>
  <c r="D9" i="14"/>
  <c r="C9" i="14"/>
  <c r="E8" i="14"/>
  <c r="D8" i="14"/>
  <c r="C8" i="14"/>
  <c r="E7" i="14"/>
  <c r="D7" i="14"/>
  <c r="C7" i="14"/>
  <c r="E6" i="14"/>
  <c r="D6" i="14"/>
  <c r="C6" i="14"/>
  <c r="E5" i="14"/>
  <c r="D5" i="14"/>
  <c r="C5" i="14"/>
  <c r="G2" i="14"/>
  <c r="E2" i="14"/>
  <c r="D2" i="14"/>
  <c r="C2" i="14"/>
  <c r="K25" i="11"/>
  <c r="H110" i="15" l="1"/>
  <c r="I110" i="15" s="1"/>
  <c r="F111" i="15"/>
  <c r="G112" i="15"/>
  <c r="G3" i="18"/>
  <c r="D17" i="14"/>
  <c r="D18" i="14" s="1"/>
  <c r="D19" i="14" s="1"/>
  <c r="E31" i="14"/>
  <c r="E32" i="14" s="1"/>
  <c r="E33" i="14" s="1"/>
  <c r="E34" i="14" s="1"/>
  <c r="E35" i="14" s="1"/>
  <c r="E36" i="14" s="1"/>
  <c r="E37" i="14" s="1"/>
  <c r="E38" i="14" s="1"/>
  <c r="E39" i="14" s="1"/>
  <c r="E40" i="14" s="1"/>
  <c r="E41" i="14" s="1"/>
  <c r="E42" i="14" s="1"/>
  <c r="E43" i="14" s="1"/>
  <c r="E44" i="14" s="1"/>
  <c r="E45" i="14" s="1"/>
  <c r="E46" i="14" s="1"/>
  <c r="E47" i="14" s="1"/>
  <c r="E48" i="14" s="1"/>
  <c r="E49" i="14" s="1"/>
  <c r="E50" i="14" s="1"/>
  <c r="E51" i="14" s="1"/>
  <c r="E52" i="14" s="1"/>
  <c r="E53" i="14" s="1"/>
  <c r="E54" i="14" s="1"/>
  <c r="E55" i="14" s="1"/>
  <c r="E56" i="14" s="1"/>
  <c r="E57" i="14" s="1"/>
  <c r="E58" i="14" s="1"/>
  <c r="E59" i="14" s="1"/>
  <c r="E60" i="14" s="1"/>
  <c r="E61" i="14" s="1"/>
  <c r="E62" i="14" s="1"/>
  <c r="E63" i="14" s="1"/>
  <c r="E64" i="14" s="1"/>
  <c r="E65" i="14" s="1"/>
  <c r="E66" i="14" s="1"/>
  <c r="E67" i="14" s="1"/>
  <c r="E68" i="14" s="1"/>
  <c r="E69" i="14" s="1"/>
  <c r="E70" i="14" s="1"/>
  <c r="E71" i="14" s="1"/>
  <c r="E72" i="14" s="1"/>
  <c r="E73" i="14" s="1"/>
  <c r="E74" i="14" s="1"/>
  <c r="E75" i="14" s="1"/>
  <c r="E76" i="14" s="1"/>
  <c r="E77" i="14" s="1"/>
  <c r="E78" i="14" s="1"/>
  <c r="E79" i="14" s="1"/>
  <c r="E80" i="14" s="1"/>
  <c r="E81" i="14" s="1"/>
  <c r="E82" i="14" s="1"/>
  <c r="E83" i="14" s="1"/>
  <c r="E84" i="14" s="1"/>
  <c r="E85" i="14" s="1"/>
  <c r="E86" i="14" s="1"/>
  <c r="E87" i="14" s="1"/>
  <c r="E88" i="14" s="1"/>
  <c r="E89" i="14" s="1"/>
  <c r="E90" i="14" s="1"/>
  <c r="E91" i="14" s="1"/>
  <c r="E92" i="14" s="1"/>
  <c r="E93" i="14" s="1"/>
  <c r="E94" i="14" s="1"/>
  <c r="E95" i="14" s="1"/>
  <c r="E96" i="14" s="1"/>
  <c r="E97" i="14" s="1"/>
  <c r="E98" i="14" s="1"/>
  <c r="E99" i="14" s="1"/>
  <c r="E100" i="14" s="1"/>
  <c r="E101" i="14" s="1"/>
  <c r="E102" i="14" s="1"/>
  <c r="E103" i="14" s="1"/>
  <c r="E104" i="14" s="1"/>
  <c r="E105" i="14" s="1"/>
  <c r="E106" i="14" s="1"/>
  <c r="E107" i="14" s="1"/>
  <c r="E108" i="14" s="1"/>
  <c r="E109" i="14" s="1"/>
  <c r="E110" i="14" s="1"/>
  <c r="E111" i="14" s="1"/>
  <c r="E112" i="14" s="1"/>
  <c r="E113" i="14" s="1"/>
  <c r="E114" i="14" s="1"/>
  <c r="E115" i="14" s="1"/>
  <c r="E116" i="14" s="1"/>
  <c r="E117" i="14" s="1"/>
  <c r="E118" i="14" s="1"/>
  <c r="E119" i="14" s="1"/>
  <c r="E120" i="14" s="1"/>
  <c r="E121" i="14" s="1"/>
  <c r="E122" i="14" s="1"/>
  <c r="E123" i="14" s="1"/>
  <c r="E124" i="14" s="1"/>
  <c r="E125" i="14" s="1"/>
  <c r="E126" i="14" s="1"/>
  <c r="E127" i="14" s="1"/>
  <c r="E128" i="14" s="1"/>
  <c r="E129" i="14" s="1"/>
  <c r="E130" i="14" s="1"/>
  <c r="E131" i="14" s="1"/>
  <c r="E132" i="14" s="1"/>
  <c r="E133" i="14" s="1"/>
  <c r="E134" i="14" s="1"/>
  <c r="E135" i="14" s="1"/>
  <c r="E136" i="14" s="1"/>
  <c r="E137" i="14" s="1"/>
  <c r="E138" i="14" s="1"/>
  <c r="E139" i="14" s="1"/>
  <c r="E140" i="14" s="1"/>
  <c r="E141" i="14" s="1"/>
  <c r="E142" i="14" s="1"/>
  <c r="E143" i="14" s="1"/>
  <c r="E144" i="14" s="1"/>
  <c r="E145" i="14" s="1"/>
  <c r="E146" i="14" s="1"/>
  <c r="E147" i="14" s="1"/>
  <c r="E148" i="14" s="1"/>
  <c r="E149" i="14" s="1"/>
  <c r="E150" i="14" s="1"/>
  <c r="E151" i="14" s="1"/>
  <c r="E152" i="14" s="1"/>
  <c r="E153" i="14" s="1"/>
  <c r="E154" i="14" s="1"/>
  <c r="E155" i="14" s="1"/>
  <c r="E156" i="14" s="1"/>
  <c r="E157" i="14" s="1"/>
  <c r="E158" i="14" s="1"/>
  <c r="E159" i="14" s="1"/>
  <c r="E160" i="14" s="1"/>
  <c r="E161" i="14" s="1"/>
  <c r="E162" i="14" s="1"/>
  <c r="E163" i="14" s="1"/>
  <c r="E164" i="14" s="1"/>
  <c r="E165" i="14" s="1"/>
  <c r="E166" i="14" s="1"/>
  <c r="E167" i="14" s="1"/>
  <c r="E168" i="14" s="1"/>
  <c r="E169" i="14" s="1"/>
  <c r="E170" i="14" s="1"/>
  <c r="E171" i="14" s="1"/>
  <c r="E172" i="14" s="1"/>
  <c r="E173" i="14" s="1"/>
  <c r="E174" i="14" s="1"/>
  <c r="E175" i="14" s="1"/>
  <c r="E176" i="14" s="1"/>
  <c r="E177" i="14" s="1"/>
  <c r="E178" i="14" s="1"/>
  <c r="E179" i="14" s="1"/>
  <c r="E180" i="14" s="1"/>
  <c r="E181" i="14" s="1"/>
  <c r="E182" i="14" s="1"/>
  <c r="E183" i="14" s="1"/>
  <c r="E184" i="14" s="1"/>
  <c r="E185" i="14" s="1"/>
  <c r="E186" i="14" s="1"/>
  <c r="E187" i="14" s="1"/>
  <c r="E188" i="14" s="1"/>
  <c r="E189" i="14" s="1"/>
  <c r="E190" i="14" s="1"/>
  <c r="E191" i="14" s="1"/>
  <c r="E192" i="14" s="1"/>
  <c r="C15" i="14"/>
  <c r="C16" i="14" s="1"/>
  <c r="C17" i="14" s="1"/>
  <c r="C18" i="14" s="1"/>
  <c r="C19" i="14" s="1"/>
  <c r="C20" i="14" s="1"/>
  <c r="C21" i="14" s="1"/>
  <c r="C22" i="14" s="1"/>
  <c r="C23" i="14" s="1"/>
  <c r="C24" i="14" s="1"/>
  <c r="C25" i="14" s="1"/>
  <c r="C26" i="14" s="1"/>
  <c r="C27" i="14" s="1"/>
  <c r="C28" i="14" s="1"/>
  <c r="C29" i="14" s="1"/>
  <c r="C30" i="14" s="1"/>
  <c r="C31" i="14" s="1"/>
  <c r="C32" i="14" s="1"/>
  <c r="C33" i="14" s="1"/>
  <c r="C34" i="14" s="1"/>
  <c r="C35" i="14" s="1"/>
  <c r="C36" i="14" s="1"/>
  <c r="C37" i="14" s="1"/>
  <c r="C38" i="14" s="1"/>
  <c r="C39" i="14" s="1"/>
  <c r="C40" i="14" s="1"/>
  <c r="C41" i="14" s="1"/>
  <c r="C42" i="14" s="1"/>
  <c r="C43" i="14" s="1"/>
  <c r="C44" i="14" s="1"/>
  <c r="C45" i="14" s="1"/>
  <c r="C46" i="14" s="1"/>
  <c r="C47" i="14" s="1"/>
  <c r="C48" i="14" s="1"/>
  <c r="C49" i="14" s="1"/>
  <c r="C50" i="14" s="1"/>
  <c r="C51" i="14" s="1"/>
  <c r="C52" i="14" s="1"/>
  <c r="C53" i="14" s="1"/>
  <c r="C54" i="14" s="1"/>
  <c r="C55" i="14" s="1"/>
  <c r="C56" i="14" s="1"/>
  <c r="C57" i="14" s="1"/>
  <c r="C58" i="14" s="1"/>
  <c r="C59" i="14" s="1"/>
  <c r="C60" i="14" s="1"/>
  <c r="C61" i="14" s="1"/>
  <c r="C62" i="14" s="1"/>
  <c r="C63" i="14" s="1"/>
  <c r="C64" i="14" s="1"/>
  <c r="C65" i="14" s="1"/>
  <c r="C66" i="14" s="1"/>
  <c r="C67" i="14" s="1"/>
  <c r="C68" i="14" s="1"/>
  <c r="C69" i="14" s="1"/>
  <c r="C70" i="14" s="1"/>
  <c r="C71" i="14" s="1"/>
  <c r="C72" i="14" s="1"/>
  <c r="C73" i="14" s="1"/>
  <c r="C74" i="14" s="1"/>
  <c r="C75" i="14" s="1"/>
  <c r="C76" i="14" s="1"/>
  <c r="C77" i="14" s="1"/>
  <c r="C78" i="14" s="1"/>
  <c r="C79" i="14" s="1"/>
  <c r="C80" i="14" s="1"/>
  <c r="C81" i="14" s="1"/>
  <c r="C82" i="14" s="1"/>
  <c r="C83" i="14" s="1"/>
  <c r="C84" i="14" s="1"/>
  <c r="C85" i="14" s="1"/>
  <c r="C86" i="14" s="1"/>
  <c r="C87" i="14" s="1"/>
  <c r="C88" i="14" s="1"/>
  <c r="C89" i="14" s="1"/>
  <c r="C90" i="14" s="1"/>
  <c r="C91" i="14" s="1"/>
  <c r="C92" i="14" s="1"/>
  <c r="C93" i="14" s="1"/>
  <c r="C94" i="14" s="1"/>
  <c r="C95" i="14" s="1"/>
  <c r="C96" i="14" s="1"/>
  <c r="C97" i="14" s="1"/>
  <c r="C98" i="14" s="1"/>
  <c r="C99" i="14" s="1"/>
  <c r="C100" i="14" s="1"/>
  <c r="C101" i="14" s="1"/>
  <c r="C102" i="14" s="1"/>
  <c r="C103" i="14" s="1"/>
  <c r="C104" i="14" s="1"/>
  <c r="C105" i="14" s="1"/>
  <c r="C106" i="14" s="1"/>
  <c r="C107" i="14" s="1"/>
  <c r="C108" i="14" s="1"/>
  <c r="C109" i="14" s="1"/>
  <c r="C110" i="14" s="1"/>
  <c r="C111" i="14" s="1"/>
  <c r="C112" i="14" s="1"/>
  <c r="C113" i="14" s="1"/>
  <c r="C114" i="14" s="1"/>
  <c r="C115" i="14" s="1"/>
  <c r="C116" i="14" s="1"/>
  <c r="C117" i="14" s="1"/>
  <c r="C118" i="14" s="1"/>
  <c r="C119" i="14" s="1"/>
  <c r="C120" i="14" s="1"/>
  <c r="C121" i="14" s="1"/>
  <c r="C122" i="14" s="1"/>
  <c r="C123" i="14" s="1"/>
  <c r="C124" i="14" s="1"/>
  <c r="C125" i="14" s="1"/>
  <c r="C126" i="14" s="1"/>
  <c r="C127" i="14" s="1"/>
  <c r="C128" i="14" s="1"/>
  <c r="C129" i="14" s="1"/>
  <c r="C130" i="14" s="1"/>
  <c r="C131" i="14" s="1"/>
  <c r="C132" i="14" s="1"/>
  <c r="C133" i="14" s="1"/>
  <c r="C134" i="14" s="1"/>
  <c r="C135" i="14" s="1"/>
  <c r="C136" i="14" s="1"/>
  <c r="C137" i="14" s="1"/>
  <c r="C138" i="14" s="1"/>
  <c r="C139" i="14" s="1"/>
  <c r="C140" i="14" s="1"/>
  <c r="C141" i="14" s="1"/>
  <c r="C142" i="14" s="1"/>
  <c r="C143" i="14" s="1"/>
  <c r="C144" i="14" s="1"/>
  <c r="C145" i="14" s="1"/>
  <c r="C146" i="14" s="1"/>
  <c r="C147" i="14" s="1"/>
  <c r="C148" i="14" s="1"/>
  <c r="C149" i="14" s="1"/>
  <c r="C150" i="14" s="1"/>
  <c r="C151" i="14" s="1"/>
  <c r="C152" i="14" s="1"/>
  <c r="C153" i="14" s="1"/>
  <c r="C154" i="14" s="1"/>
  <c r="C155" i="14" s="1"/>
  <c r="C156" i="14" s="1"/>
  <c r="C157" i="14" s="1"/>
  <c r="C158" i="14" s="1"/>
  <c r="C159" i="14" s="1"/>
  <c r="C160" i="14" s="1"/>
  <c r="C161" i="14" s="1"/>
  <c r="C162" i="14" s="1"/>
  <c r="C163" i="14" s="1"/>
  <c r="C164" i="14" s="1"/>
  <c r="C165" i="14" s="1"/>
  <c r="C166" i="14" s="1"/>
  <c r="C167" i="14" s="1"/>
  <c r="C168" i="14" s="1"/>
  <c r="C169" i="14" s="1"/>
  <c r="C170" i="14" s="1"/>
  <c r="C171" i="14" s="1"/>
  <c r="C172" i="14" s="1"/>
  <c r="C173" i="14" s="1"/>
  <c r="C174" i="14" s="1"/>
  <c r="C175" i="14" s="1"/>
  <c r="C176" i="14" s="1"/>
  <c r="C177" i="14" s="1"/>
  <c r="C178" i="14" s="1"/>
  <c r="C179" i="14" s="1"/>
  <c r="C180" i="14" s="1"/>
  <c r="C181" i="14" s="1"/>
  <c r="C182" i="14" s="1"/>
  <c r="C183" i="14" s="1"/>
  <c r="C184" i="14" s="1"/>
  <c r="C185" i="14" s="1"/>
  <c r="C186" i="14" s="1"/>
  <c r="C187" i="14" s="1"/>
  <c r="C188" i="14" s="1"/>
  <c r="C189" i="14" s="1"/>
  <c r="C190" i="14" s="1"/>
  <c r="C191" i="14" s="1"/>
  <c r="C192" i="14" s="1"/>
  <c r="G113" i="15" l="1"/>
  <c r="H111" i="15"/>
  <c r="I111" i="15" s="1"/>
  <c r="F112" i="15"/>
  <c r="F17" i="14"/>
  <c r="F18" i="14"/>
  <c r="F19" i="14"/>
  <c r="D20" i="14"/>
  <c r="F113" i="15" l="1"/>
  <c r="H112" i="15"/>
  <c r="I112" i="15" s="1"/>
  <c r="G114" i="15"/>
  <c r="G18" i="14"/>
  <c r="H18" i="14" s="1"/>
  <c r="G19" i="14"/>
  <c r="H19" i="14" s="1"/>
  <c r="D21" i="14"/>
  <c r="F20" i="14"/>
  <c r="G20" i="14" s="1"/>
  <c r="H113" i="15" l="1"/>
  <c r="I113" i="15" s="1"/>
  <c r="F114" i="15"/>
  <c r="G115" i="15"/>
  <c r="F21" i="14"/>
  <c r="D22" i="14"/>
  <c r="H20" i="14"/>
  <c r="H114" i="15" l="1"/>
  <c r="I114" i="15" s="1"/>
  <c r="F115" i="15"/>
  <c r="G116" i="15"/>
  <c r="G21" i="14"/>
  <c r="H21" i="14" s="1"/>
  <c r="D23" i="14"/>
  <c r="F22" i="14"/>
  <c r="G117" i="15" l="1"/>
  <c r="H115" i="15"/>
  <c r="I115" i="15" s="1"/>
  <c r="F116" i="15"/>
  <c r="G22" i="14"/>
  <c r="H22" i="14" s="1"/>
  <c r="F23" i="14"/>
  <c r="D24" i="14"/>
  <c r="F117" i="15" l="1"/>
  <c r="H116" i="15"/>
  <c r="I116" i="15" s="1"/>
  <c r="G118" i="15"/>
  <c r="D25" i="14"/>
  <c r="F24" i="14"/>
  <c r="G23" i="14"/>
  <c r="H23" i="14" s="1"/>
  <c r="G119" i="15" l="1"/>
  <c r="H117" i="15"/>
  <c r="I117" i="15" s="1"/>
  <c r="F118" i="15"/>
  <c r="G24" i="14"/>
  <c r="H24" i="14" s="1"/>
  <c r="F25" i="14"/>
  <c r="G25" i="14" s="1"/>
  <c r="D26" i="14"/>
  <c r="F119" i="15" l="1"/>
  <c r="H118" i="15"/>
  <c r="I118" i="15" s="1"/>
  <c r="G120" i="15"/>
  <c r="D27" i="14"/>
  <c r="F26" i="14"/>
  <c r="H25" i="14"/>
  <c r="G121" i="15" l="1"/>
  <c r="H119" i="15"/>
  <c r="I119" i="15" s="1"/>
  <c r="F120" i="15"/>
  <c r="G26" i="14"/>
  <c r="H26" i="14" s="1"/>
  <c r="F27" i="14"/>
  <c r="D28" i="14"/>
  <c r="F121" i="15" l="1"/>
  <c r="H120" i="15"/>
  <c r="I120" i="15" s="1"/>
  <c r="G122" i="15"/>
  <c r="D29" i="14"/>
  <c r="F28" i="14"/>
  <c r="G27" i="14"/>
  <c r="H27" i="14" s="1"/>
  <c r="G123" i="15" l="1"/>
  <c r="H121" i="15"/>
  <c r="I121" i="15" s="1"/>
  <c r="F122" i="15"/>
  <c r="G28" i="14"/>
  <c r="H28" i="14" s="1"/>
  <c r="F29" i="14"/>
  <c r="D30" i="14"/>
  <c r="H122" i="15" l="1"/>
  <c r="I122" i="15" s="1"/>
  <c r="F123" i="15"/>
  <c r="G124" i="15"/>
  <c r="D31" i="14"/>
  <c r="F30" i="14"/>
  <c r="G29" i="14"/>
  <c r="H29" i="14" s="1"/>
  <c r="G125" i="15" l="1"/>
  <c r="H123" i="15"/>
  <c r="I123" i="15" s="1"/>
  <c r="F124" i="15"/>
  <c r="G30" i="14"/>
  <c r="H30" i="14" s="1"/>
  <c r="F31" i="14"/>
  <c r="D32" i="14"/>
  <c r="F125" i="15" l="1"/>
  <c r="H124" i="15"/>
  <c r="I124" i="15" s="1"/>
  <c r="G126" i="15"/>
  <c r="D33" i="14"/>
  <c r="F32" i="14"/>
  <c r="G31" i="14"/>
  <c r="H31" i="14" s="1"/>
  <c r="G127" i="15" l="1"/>
  <c r="F126" i="15"/>
  <c r="H125" i="15"/>
  <c r="I125" i="15" s="1"/>
  <c r="G32" i="14"/>
  <c r="H32" i="14" s="1"/>
  <c r="F33" i="14"/>
  <c r="D34" i="14"/>
  <c r="F127" i="15" l="1"/>
  <c r="H126" i="15"/>
  <c r="I126" i="15" s="1"/>
  <c r="G128" i="15"/>
  <c r="D35" i="14"/>
  <c r="F34" i="14"/>
  <c r="G33" i="14"/>
  <c r="H33" i="14" s="1"/>
  <c r="G129" i="15" l="1"/>
  <c r="H127" i="15"/>
  <c r="I127" i="15" s="1"/>
  <c r="F128" i="15"/>
  <c r="G34" i="14"/>
  <c r="H34" i="14" s="1"/>
  <c r="F35" i="14"/>
  <c r="D36" i="14"/>
  <c r="F129" i="15" l="1"/>
  <c r="H128" i="15"/>
  <c r="I128" i="15" s="1"/>
  <c r="G130" i="15"/>
  <c r="D37" i="14"/>
  <c r="F36" i="14"/>
  <c r="G35" i="14"/>
  <c r="H35" i="14" s="1"/>
  <c r="G131" i="15" l="1"/>
  <c r="H129" i="15"/>
  <c r="I129" i="15" s="1"/>
  <c r="F130" i="15"/>
  <c r="G36" i="14"/>
  <c r="H36" i="14" s="1"/>
  <c r="F37" i="14"/>
  <c r="D38" i="14"/>
  <c r="G132" i="15" l="1"/>
  <c r="H130" i="15"/>
  <c r="I130" i="15" s="1"/>
  <c r="F131" i="15"/>
  <c r="D39" i="14"/>
  <c r="F38" i="14"/>
  <c r="G37" i="14"/>
  <c r="H37" i="14" s="1"/>
  <c r="H131" i="15" l="1"/>
  <c r="I131" i="15" s="1"/>
  <c r="F132" i="15"/>
  <c r="G133" i="15"/>
  <c r="G38" i="14"/>
  <c r="H38" i="14" s="1"/>
  <c r="F39" i="14"/>
  <c r="D40" i="14"/>
  <c r="G134" i="15" l="1"/>
  <c r="H132" i="15"/>
  <c r="I132" i="15" s="1"/>
  <c r="F133" i="15"/>
  <c r="D41" i="14"/>
  <c r="F40" i="14"/>
  <c r="G39" i="14"/>
  <c r="H39" i="14" s="1"/>
  <c r="F134" i="15" l="1"/>
  <c r="H133" i="15"/>
  <c r="I133" i="15" s="1"/>
  <c r="G135" i="15"/>
  <c r="G40" i="14"/>
  <c r="H40" i="14" s="1"/>
  <c r="F41" i="14"/>
  <c r="D42" i="14"/>
  <c r="G136" i="15" l="1"/>
  <c r="H134" i="15"/>
  <c r="I134" i="15" s="1"/>
  <c r="F135" i="15"/>
  <c r="D43" i="14"/>
  <c r="F42" i="14"/>
  <c r="G41" i="14"/>
  <c r="H41" i="14" s="1"/>
  <c r="H135" i="15" l="1"/>
  <c r="I135" i="15" s="1"/>
  <c r="F136" i="15"/>
  <c r="G137" i="15"/>
  <c r="G42" i="14"/>
  <c r="H42" i="14" s="1"/>
  <c r="F43" i="14"/>
  <c r="D44" i="14"/>
  <c r="G138" i="15" l="1"/>
  <c r="H136" i="15"/>
  <c r="I136" i="15" s="1"/>
  <c r="F137" i="15"/>
  <c r="D45" i="14"/>
  <c r="F44" i="14"/>
  <c r="G43" i="14"/>
  <c r="H43" i="14" s="1"/>
  <c r="F138" i="15" l="1"/>
  <c r="H137" i="15"/>
  <c r="I137" i="15" s="1"/>
  <c r="G139" i="15"/>
  <c r="G44" i="14"/>
  <c r="H44" i="14" s="1"/>
  <c r="F45" i="14"/>
  <c r="D46" i="14"/>
  <c r="G140" i="15" l="1"/>
  <c r="H138" i="15"/>
  <c r="I138" i="15" s="1"/>
  <c r="F139" i="15"/>
  <c r="D47" i="14"/>
  <c r="F46" i="14"/>
  <c r="G45" i="14"/>
  <c r="H45" i="14" s="1"/>
  <c r="H139" i="15" l="1"/>
  <c r="I139" i="15" s="1"/>
  <c r="F140" i="15"/>
  <c r="G141" i="15"/>
  <c r="G46" i="14"/>
  <c r="H46" i="14" s="1"/>
  <c r="F47" i="14"/>
  <c r="D48" i="14"/>
  <c r="H140" i="15" l="1"/>
  <c r="I140" i="15" s="1"/>
  <c r="F141" i="15"/>
  <c r="G142" i="15"/>
  <c r="D49" i="14"/>
  <c r="F48" i="14"/>
  <c r="G47" i="14"/>
  <c r="H47" i="14" s="1"/>
  <c r="F142" i="15" l="1"/>
  <c r="H141" i="15"/>
  <c r="I141" i="15" s="1"/>
  <c r="G143" i="15"/>
  <c r="G48" i="14"/>
  <c r="H48" i="14" s="1"/>
  <c r="F49" i="14"/>
  <c r="D50" i="14"/>
  <c r="G144" i="15" l="1"/>
  <c r="H142" i="15"/>
  <c r="I142" i="15" s="1"/>
  <c r="F143" i="15"/>
  <c r="F50" i="14"/>
  <c r="D51" i="14"/>
  <c r="G49" i="14"/>
  <c r="H49" i="14" s="1"/>
  <c r="H143" i="15" l="1"/>
  <c r="I143" i="15" s="1"/>
  <c r="F144" i="15"/>
  <c r="G145" i="15"/>
  <c r="F51" i="14"/>
  <c r="D52" i="14"/>
  <c r="G50" i="14"/>
  <c r="H50" i="14" s="1"/>
  <c r="G146" i="15" l="1"/>
  <c r="H144" i="15"/>
  <c r="I144" i="15" s="1"/>
  <c r="F145" i="15"/>
  <c r="F52" i="14"/>
  <c r="D53" i="14"/>
  <c r="G51" i="14"/>
  <c r="H51" i="14" s="1"/>
  <c r="G147" i="15" l="1"/>
  <c r="F146" i="15"/>
  <c r="H145" i="15"/>
  <c r="I145" i="15" s="1"/>
  <c r="F53" i="14"/>
  <c r="D54" i="14"/>
  <c r="G52" i="14"/>
  <c r="H52" i="14" s="1"/>
  <c r="H146" i="15" l="1"/>
  <c r="I146" i="15" s="1"/>
  <c r="F147" i="15"/>
  <c r="G148" i="15"/>
  <c r="F54" i="14"/>
  <c r="D55" i="14"/>
  <c r="G53" i="14"/>
  <c r="H53" i="14" s="1"/>
  <c r="G149" i="15" l="1"/>
  <c r="F148" i="15"/>
  <c r="H147" i="15"/>
  <c r="I147" i="15" s="1"/>
  <c r="F55" i="14"/>
  <c r="D56" i="14"/>
  <c r="G54" i="14"/>
  <c r="H54" i="14" s="1"/>
  <c r="H148" i="15" l="1"/>
  <c r="I148" i="15" s="1"/>
  <c r="F149" i="15"/>
  <c r="G150" i="15"/>
  <c r="F56" i="14"/>
  <c r="D57" i="14"/>
  <c r="G55" i="14"/>
  <c r="H55" i="14" s="1"/>
  <c r="G151" i="15" l="1"/>
  <c r="F150" i="15"/>
  <c r="H149" i="15"/>
  <c r="I149" i="15" s="1"/>
  <c r="F57" i="14"/>
  <c r="D58" i="14"/>
  <c r="G56" i="14"/>
  <c r="H56" i="14" s="1"/>
  <c r="G152" i="15" l="1"/>
  <c r="H150" i="15"/>
  <c r="I150" i="15" s="1"/>
  <c r="F151" i="15"/>
  <c r="F58" i="14"/>
  <c r="D59" i="14"/>
  <c r="G57" i="14"/>
  <c r="H57" i="14" s="1"/>
  <c r="G153" i="15" l="1"/>
  <c r="H151" i="15"/>
  <c r="I151" i="15" s="1"/>
  <c r="F152" i="15"/>
  <c r="F59" i="14"/>
  <c r="D60" i="14"/>
  <c r="G58" i="14"/>
  <c r="H58" i="14" s="1"/>
  <c r="H152" i="15" l="1"/>
  <c r="I152" i="15" s="1"/>
  <c r="F153" i="15"/>
  <c r="G154" i="15"/>
  <c r="F60" i="14"/>
  <c r="D61" i="14"/>
  <c r="G59" i="14"/>
  <c r="H59" i="14" s="1"/>
  <c r="G155" i="15" l="1"/>
  <c r="F154" i="15"/>
  <c r="H153" i="15"/>
  <c r="I153" i="15" s="1"/>
  <c r="F61" i="14"/>
  <c r="D62" i="14"/>
  <c r="G60" i="14"/>
  <c r="H60" i="14" s="1"/>
  <c r="F155" i="15" l="1"/>
  <c r="H154" i="15"/>
  <c r="I154" i="15" s="1"/>
  <c r="G156" i="15"/>
  <c r="F62" i="14"/>
  <c r="D63" i="14"/>
  <c r="G61" i="14"/>
  <c r="H61" i="14" s="1"/>
  <c r="G157" i="15" l="1"/>
  <c r="H155" i="15"/>
  <c r="I155" i="15" s="1"/>
  <c r="F156" i="15"/>
  <c r="F63" i="14"/>
  <c r="D64" i="14"/>
  <c r="G62" i="14"/>
  <c r="H62" i="14" s="1"/>
  <c r="H156" i="15" l="1"/>
  <c r="I156" i="15" s="1"/>
  <c r="F157" i="15"/>
  <c r="G158" i="15"/>
  <c r="F64" i="14"/>
  <c r="D65" i="14"/>
  <c r="G63" i="14"/>
  <c r="H63" i="14" s="1"/>
  <c r="G159" i="15" l="1"/>
  <c r="F158" i="15"/>
  <c r="H157" i="15"/>
  <c r="I157" i="15" s="1"/>
  <c r="F65" i="14"/>
  <c r="D66" i="14"/>
  <c r="G64" i="14"/>
  <c r="H64" i="14" s="1"/>
  <c r="H158" i="15" l="1"/>
  <c r="I158" i="15" s="1"/>
  <c r="F159" i="15"/>
  <c r="G160" i="15"/>
  <c r="F66" i="14"/>
  <c r="D67" i="14"/>
  <c r="G65" i="14"/>
  <c r="H65" i="14" s="1"/>
  <c r="G161" i="15" l="1"/>
  <c r="F160" i="15"/>
  <c r="H159" i="15"/>
  <c r="I159" i="15" s="1"/>
  <c r="F67" i="14"/>
  <c r="D68" i="14"/>
  <c r="G66" i="14"/>
  <c r="H66" i="14" s="1"/>
  <c r="H160" i="15" l="1"/>
  <c r="I160" i="15" s="1"/>
  <c r="F161" i="15"/>
  <c r="G162" i="15"/>
  <c r="F68" i="14"/>
  <c r="D69" i="14"/>
  <c r="G67" i="14"/>
  <c r="H67" i="14" s="1"/>
  <c r="G163" i="15" l="1"/>
  <c r="F162" i="15"/>
  <c r="H161" i="15"/>
  <c r="I161" i="15" s="1"/>
  <c r="F69" i="14"/>
  <c r="D70" i="14"/>
  <c r="G68" i="14"/>
  <c r="H68" i="14" s="1"/>
  <c r="H162" i="15" l="1"/>
  <c r="I162" i="15" s="1"/>
  <c r="F163" i="15"/>
  <c r="G164" i="15"/>
  <c r="F70" i="14"/>
  <c r="D71" i="14"/>
  <c r="G69" i="14"/>
  <c r="H69" i="14" s="1"/>
  <c r="G165" i="15" l="1"/>
  <c r="H163" i="15"/>
  <c r="I163" i="15" s="1"/>
  <c r="F164" i="15"/>
  <c r="F71" i="14"/>
  <c r="D72" i="14"/>
  <c r="G70" i="14"/>
  <c r="H70" i="14" s="1"/>
  <c r="H164" i="15" l="1"/>
  <c r="I164" i="15" s="1"/>
  <c r="F165" i="15"/>
  <c r="G166" i="15"/>
  <c r="F72" i="14"/>
  <c r="D73" i="14"/>
  <c r="G71" i="14"/>
  <c r="H71" i="14" s="1"/>
  <c r="G167" i="15" l="1"/>
  <c r="F166" i="15"/>
  <c r="H165" i="15"/>
  <c r="I165" i="15" s="1"/>
  <c r="F73" i="14"/>
  <c r="D74" i="14"/>
  <c r="G72" i="14"/>
  <c r="H72" i="14" s="1"/>
  <c r="H166" i="15" l="1"/>
  <c r="I166" i="15" s="1"/>
  <c r="F167" i="15"/>
  <c r="G168" i="15"/>
  <c r="F74" i="14"/>
  <c r="D75" i="14"/>
  <c r="G73" i="14"/>
  <c r="H73" i="14" s="1"/>
  <c r="H167" i="15" l="1"/>
  <c r="I167" i="15" s="1"/>
  <c r="F168" i="15"/>
  <c r="G169" i="15"/>
  <c r="F75" i="14"/>
  <c r="D76" i="14"/>
  <c r="G74" i="14"/>
  <c r="H74" i="14" s="1"/>
  <c r="H168" i="15" l="1"/>
  <c r="I168" i="15" s="1"/>
  <c r="F169" i="15"/>
  <c r="G170" i="15"/>
  <c r="F76" i="14"/>
  <c r="D77" i="14"/>
  <c r="G75" i="14"/>
  <c r="H75" i="14" s="1"/>
  <c r="F170" i="15" l="1"/>
  <c r="H169" i="15"/>
  <c r="I169" i="15" s="1"/>
  <c r="G171" i="15"/>
  <c r="F77" i="14"/>
  <c r="D78" i="14"/>
  <c r="G76" i="14"/>
  <c r="H76" i="14" s="1"/>
  <c r="H170" i="15" l="1"/>
  <c r="I170" i="15" s="1"/>
  <c r="F171" i="15"/>
  <c r="G172" i="15"/>
  <c r="F78" i="14"/>
  <c r="D79" i="14"/>
  <c r="G77" i="14"/>
  <c r="H77" i="14" s="1"/>
  <c r="H171" i="15" l="1"/>
  <c r="I171" i="15" s="1"/>
  <c r="F172" i="15"/>
  <c r="G173" i="15"/>
  <c r="F79" i="14"/>
  <c r="D80" i="14"/>
  <c r="G78" i="14"/>
  <c r="H78" i="14" s="1"/>
  <c r="G174" i="15" l="1"/>
  <c r="H172" i="15"/>
  <c r="I172" i="15" s="1"/>
  <c r="F173" i="15"/>
  <c r="F80" i="14"/>
  <c r="D81" i="14"/>
  <c r="G79" i="14"/>
  <c r="H79" i="14" s="1"/>
  <c r="F174" i="15" l="1"/>
  <c r="H173" i="15"/>
  <c r="I173" i="15" s="1"/>
  <c r="G175" i="15"/>
  <c r="F81" i="14"/>
  <c r="D82" i="14"/>
  <c r="G80" i="14"/>
  <c r="H80" i="14" s="1"/>
  <c r="G176" i="15" l="1"/>
  <c r="H174" i="15"/>
  <c r="I174" i="15" s="1"/>
  <c r="F175" i="15"/>
  <c r="F82" i="14"/>
  <c r="D83" i="14"/>
  <c r="G81" i="14"/>
  <c r="H81" i="14" s="1"/>
  <c r="H175" i="15" l="1"/>
  <c r="I175" i="15" s="1"/>
  <c r="F176" i="15"/>
  <c r="G177" i="15"/>
  <c r="F83" i="14"/>
  <c r="D84" i="14"/>
  <c r="G82" i="14"/>
  <c r="H82" i="14" s="1"/>
  <c r="H176" i="15" l="1"/>
  <c r="I176" i="15" s="1"/>
  <c r="F177" i="15"/>
  <c r="G178" i="15"/>
  <c r="F84" i="14"/>
  <c r="D85" i="14"/>
  <c r="G83" i="14"/>
  <c r="H83" i="14" s="1"/>
  <c r="G179" i="15" l="1"/>
  <c r="F178" i="15"/>
  <c r="H177" i="15"/>
  <c r="I177" i="15" s="1"/>
  <c r="F85" i="14"/>
  <c r="D86" i="14"/>
  <c r="G84" i="14"/>
  <c r="H84" i="14" s="1"/>
  <c r="H178" i="15" l="1"/>
  <c r="I178" i="15" s="1"/>
  <c r="F179" i="15"/>
  <c r="G180" i="15"/>
  <c r="F86" i="14"/>
  <c r="D87" i="14"/>
  <c r="G85" i="14"/>
  <c r="H85" i="14" s="1"/>
  <c r="H179" i="15" l="1"/>
  <c r="I179" i="15" s="1"/>
  <c r="F180" i="15"/>
  <c r="G181" i="15"/>
  <c r="F87" i="14"/>
  <c r="D88" i="14"/>
  <c r="G86" i="14"/>
  <c r="H86" i="14" s="1"/>
  <c r="G182" i="15" l="1"/>
  <c r="H180" i="15"/>
  <c r="I180" i="15" s="1"/>
  <c r="F181" i="15"/>
  <c r="F88" i="14"/>
  <c r="D89" i="14"/>
  <c r="G87" i="14"/>
  <c r="H87" i="14" s="1"/>
  <c r="F182" i="15" l="1"/>
  <c r="H181" i="15"/>
  <c r="I181" i="15" s="1"/>
  <c r="G183" i="15"/>
  <c r="F89" i="14"/>
  <c r="D90" i="14"/>
  <c r="G88" i="14"/>
  <c r="H88" i="14" s="1"/>
  <c r="G184" i="15" l="1"/>
  <c r="H182" i="15"/>
  <c r="I182" i="15" s="1"/>
  <c r="F183" i="15"/>
  <c r="F90" i="14"/>
  <c r="D91" i="14"/>
  <c r="G89" i="14"/>
  <c r="H89" i="14" s="1"/>
  <c r="G185" i="15" l="1"/>
  <c r="H183" i="15"/>
  <c r="I183" i="15" s="1"/>
  <c r="F184" i="15"/>
  <c r="F91" i="14"/>
  <c r="D92" i="14"/>
  <c r="G90" i="14"/>
  <c r="H90" i="14" s="1"/>
  <c r="H184" i="15" l="1"/>
  <c r="I184" i="15" s="1"/>
  <c r="F185" i="15"/>
  <c r="G186" i="15"/>
  <c r="F92" i="14"/>
  <c r="D93" i="14"/>
  <c r="G91" i="14"/>
  <c r="H91" i="14" s="1"/>
  <c r="F186" i="15" l="1"/>
  <c r="H185" i="15"/>
  <c r="I185" i="15" s="1"/>
  <c r="G187" i="15"/>
  <c r="F93" i="14"/>
  <c r="D94" i="14"/>
  <c r="G92" i="14"/>
  <c r="H92" i="14" s="1"/>
  <c r="G188" i="15" l="1"/>
  <c r="H186" i="15"/>
  <c r="I186" i="15" s="1"/>
  <c r="F187" i="15"/>
  <c r="F94" i="14"/>
  <c r="D95" i="14"/>
  <c r="G93" i="14"/>
  <c r="H93" i="14" s="1"/>
  <c r="G189" i="15" l="1"/>
  <c r="F188" i="15"/>
  <c r="H187" i="15"/>
  <c r="I187" i="15" s="1"/>
  <c r="F95" i="14"/>
  <c r="D96" i="14"/>
  <c r="G94" i="14"/>
  <c r="H94" i="14" s="1"/>
  <c r="H188" i="15" l="1"/>
  <c r="I188" i="15" s="1"/>
  <c r="F189" i="15"/>
  <c r="H189" i="15" s="1"/>
  <c r="I189" i="15" s="1"/>
  <c r="F96" i="14"/>
  <c r="D97" i="14"/>
  <c r="G95" i="14"/>
  <c r="H95" i="14" s="1"/>
  <c r="F97" i="14" l="1"/>
  <c r="D98" i="14"/>
  <c r="G96" i="14"/>
  <c r="H96" i="14" s="1"/>
  <c r="F98" i="14" l="1"/>
  <c r="D99" i="14"/>
  <c r="G97" i="14"/>
  <c r="H97" i="14" s="1"/>
  <c r="F99" i="14" l="1"/>
  <c r="D100" i="14"/>
  <c r="G98" i="14"/>
  <c r="H98" i="14" s="1"/>
  <c r="F100" i="14" l="1"/>
  <c r="D101" i="14"/>
  <c r="G99" i="14"/>
  <c r="H99" i="14" s="1"/>
  <c r="F101" i="14" l="1"/>
  <c r="D102" i="14"/>
  <c r="G100" i="14"/>
  <c r="H100" i="14" s="1"/>
  <c r="F102" i="14" l="1"/>
  <c r="D103" i="14"/>
  <c r="G101" i="14"/>
  <c r="H101" i="14" s="1"/>
  <c r="F103" i="14" l="1"/>
  <c r="D104" i="14"/>
  <c r="G102" i="14"/>
  <c r="H102" i="14" s="1"/>
  <c r="F104" i="14" l="1"/>
  <c r="D105" i="14"/>
  <c r="G103" i="14"/>
  <c r="H103" i="14" s="1"/>
  <c r="F105" i="14" l="1"/>
  <c r="D106" i="14"/>
  <c r="G104" i="14"/>
  <c r="H104" i="14" s="1"/>
  <c r="F106" i="14" l="1"/>
  <c r="D107" i="14"/>
  <c r="G105" i="14"/>
  <c r="H105" i="14" s="1"/>
  <c r="F107" i="14" l="1"/>
  <c r="D108" i="14"/>
  <c r="G106" i="14"/>
  <c r="H106" i="14" s="1"/>
  <c r="F108" i="14" l="1"/>
  <c r="D109" i="14"/>
  <c r="G107" i="14"/>
  <c r="H107" i="14" s="1"/>
  <c r="F109" i="14" l="1"/>
  <c r="D110" i="14"/>
  <c r="G108" i="14"/>
  <c r="H108" i="14" s="1"/>
  <c r="F110" i="14" l="1"/>
  <c r="D111" i="14"/>
  <c r="G109" i="14"/>
  <c r="H109" i="14" s="1"/>
  <c r="F111" i="14" l="1"/>
  <c r="D112" i="14"/>
  <c r="G110" i="14"/>
  <c r="H110" i="14" s="1"/>
  <c r="F112" i="14" l="1"/>
  <c r="D113" i="14"/>
  <c r="G111" i="14"/>
  <c r="H111" i="14" s="1"/>
  <c r="F113" i="14" l="1"/>
  <c r="D114" i="14"/>
  <c r="G112" i="14"/>
  <c r="H112" i="14" s="1"/>
  <c r="F114" i="14" l="1"/>
  <c r="D115" i="14"/>
  <c r="G113" i="14"/>
  <c r="H113" i="14" s="1"/>
  <c r="F115" i="14" l="1"/>
  <c r="D116" i="14"/>
  <c r="G114" i="14"/>
  <c r="H114" i="14" s="1"/>
  <c r="F116" i="14" l="1"/>
  <c r="D117" i="14"/>
  <c r="G115" i="14"/>
  <c r="H115" i="14" s="1"/>
  <c r="F117" i="14" l="1"/>
  <c r="D118" i="14"/>
  <c r="G116" i="14"/>
  <c r="H116" i="14" s="1"/>
  <c r="F118" i="14" l="1"/>
  <c r="D119" i="14"/>
  <c r="G117" i="14"/>
  <c r="H117" i="14" s="1"/>
  <c r="F119" i="14" l="1"/>
  <c r="D120" i="14"/>
  <c r="G118" i="14"/>
  <c r="H118" i="14" s="1"/>
  <c r="F120" i="14" l="1"/>
  <c r="D121" i="14"/>
  <c r="G119" i="14"/>
  <c r="H119" i="14" s="1"/>
  <c r="F121" i="14" l="1"/>
  <c r="D122" i="14"/>
  <c r="G120" i="14"/>
  <c r="H120" i="14" s="1"/>
  <c r="F122" i="14" l="1"/>
  <c r="D123" i="14"/>
  <c r="G121" i="14"/>
  <c r="H121" i="14" s="1"/>
  <c r="F123" i="14" l="1"/>
  <c r="D124" i="14"/>
  <c r="G122" i="14"/>
  <c r="H122" i="14" s="1"/>
  <c r="F124" i="14" l="1"/>
  <c r="D125" i="14"/>
  <c r="G123" i="14"/>
  <c r="H123" i="14" s="1"/>
  <c r="F125" i="14" l="1"/>
  <c r="D126" i="14"/>
  <c r="G124" i="14"/>
  <c r="H124" i="14" s="1"/>
  <c r="F126" i="14" l="1"/>
  <c r="D127" i="14"/>
  <c r="G125" i="14"/>
  <c r="H125" i="14" s="1"/>
  <c r="F127" i="14" l="1"/>
  <c r="D128" i="14"/>
  <c r="G126" i="14"/>
  <c r="H126" i="14" s="1"/>
  <c r="F128" i="14" l="1"/>
  <c r="D129" i="14"/>
  <c r="G127" i="14"/>
  <c r="H127" i="14" s="1"/>
  <c r="F129" i="14" l="1"/>
  <c r="D130" i="14"/>
  <c r="G128" i="14"/>
  <c r="H128" i="14" s="1"/>
  <c r="F130" i="14" l="1"/>
  <c r="D131" i="14"/>
  <c r="G129" i="14"/>
  <c r="H129" i="14" s="1"/>
  <c r="F131" i="14" l="1"/>
  <c r="D132" i="14"/>
  <c r="G130" i="14"/>
  <c r="H130" i="14" s="1"/>
  <c r="F132" i="14" l="1"/>
  <c r="D133" i="14"/>
  <c r="G131" i="14"/>
  <c r="H131" i="14" s="1"/>
  <c r="F133" i="14" l="1"/>
  <c r="D134" i="14"/>
  <c r="G132" i="14"/>
  <c r="H132" i="14" s="1"/>
  <c r="F134" i="14" l="1"/>
  <c r="D135" i="14"/>
  <c r="G133" i="14"/>
  <c r="H133" i="14" s="1"/>
  <c r="F135" i="14" l="1"/>
  <c r="D136" i="14"/>
  <c r="G134" i="14"/>
  <c r="H134" i="14" s="1"/>
  <c r="F136" i="14" l="1"/>
  <c r="D137" i="14"/>
  <c r="G135" i="14"/>
  <c r="H135" i="14" s="1"/>
  <c r="F137" i="14" l="1"/>
  <c r="D138" i="14"/>
  <c r="G136" i="14"/>
  <c r="H136" i="14" s="1"/>
  <c r="F138" i="14" l="1"/>
  <c r="D139" i="14"/>
  <c r="G137" i="14"/>
  <c r="H137" i="14" s="1"/>
  <c r="F139" i="14" l="1"/>
  <c r="D140" i="14"/>
  <c r="G138" i="14"/>
  <c r="H138" i="14" s="1"/>
  <c r="F140" i="14" l="1"/>
  <c r="D141" i="14"/>
  <c r="G139" i="14"/>
  <c r="H139" i="14" s="1"/>
  <c r="F141" i="14" l="1"/>
  <c r="D142" i="14"/>
  <c r="G140" i="14"/>
  <c r="H140" i="14" s="1"/>
  <c r="F142" i="14" l="1"/>
  <c r="D143" i="14"/>
  <c r="G141" i="14"/>
  <c r="H141" i="14" s="1"/>
  <c r="F143" i="14" l="1"/>
  <c r="D144" i="14"/>
  <c r="G142" i="14"/>
  <c r="H142" i="14" s="1"/>
  <c r="F144" i="14" l="1"/>
  <c r="D145" i="14"/>
  <c r="G143" i="14"/>
  <c r="H143" i="14" s="1"/>
  <c r="F145" i="14" l="1"/>
  <c r="D146" i="14"/>
  <c r="G144" i="14"/>
  <c r="H144" i="14" s="1"/>
  <c r="F146" i="14" l="1"/>
  <c r="D147" i="14"/>
  <c r="G145" i="14"/>
  <c r="H145" i="14" s="1"/>
  <c r="F147" i="14" l="1"/>
  <c r="D148" i="14"/>
  <c r="G146" i="14"/>
  <c r="H146" i="14" s="1"/>
  <c r="F148" i="14" l="1"/>
  <c r="D149" i="14"/>
  <c r="G147" i="14"/>
  <c r="H147" i="14" s="1"/>
  <c r="F149" i="14" l="1"/>
  <c r="D150" i="14"/>
  <c r="G148" i="14"/>
  <c r="H148" i="14" s="1"/>
  <c r="F150" i="14" l="1"/>
  <c r="D151" i="14"/>
  <c r="G149" i="14"/>
  <c r="H149" i="14" s="1"/>
  <c r="F151" i="14" l="1"/>
  <c r="D152" i="14"/>
  <c r="G150" i="14"/>
  <c r="H150" i="14" s="1"/>
  <c r="F152" i="14" l="1"/>
  <c r="D153" i="14"/>
  <c r="G151" i="14"/>
  <c r="H151" i="14" s="1"/>
  <c r="F153" i="14" l="1"/>
  <c r="D154" i="14"/>
  <c r="G152" i="14"/>
  <c r="H152" i="14" s="1"/>
  <c r="F154" i="14" l="1"/>
  <c r="D155" i="14"/>
  <c r="G153" i="14"/>
  <c r="H153" i="14" s="1"/>
  <c r="F155" i="14" l="1"/>
  <c r="D156" i="14"/>
  <c r="G154" i="14"/>
  <c r="H154" i="14" s="1"/>
  <c r="F156" i="14" l="1"/>
  <c r="D157" i="14"/>
  <c r="G155" i="14"/>
  <c r="H155" i="14" s="1"/>
  <c r="F157" i="14" l="1"/>
  <c r="D158" i="14"/>
  <c r="G156" i="14"/>
  <c r="H156" i="14" s="1"/>
  <c r="F158" i="14" l="1"/>
  <c r="D159" i="14"/>
  <c r="G157" i="14"/>
  <c r="H157" i="14" s="1"/>
  <c r="F159" i="14" l="1"/>
  <c r="D160" i="14"/>
  <c r="G158" i="14"/>
  <c r="H158" i="14" s="1"/>
  <c r="F160" i="14" l="1"/>
  <c r="D161" i="14"/>
  <c r="G159" i="14"/>
  <c r="H159" i="14" s="1"/>
  <c r="F161" i="14" l="1"/>
  <c r="D162" i="14"/>
  <c r="G160" i="14"/>
  <c r="H160" i="14" s="1"/>
  <c r="F162" i="14" l="1"/>
  <c r="D163" i="14"/>
  <c r="G161" i="14"/>
  <c r="H161" i="14" s="1"/>
  <c r="F163" i="14" l="1"/>
  <c r="D164" i="14"/>
  <c r="G162" i="14"/>
  <c r="H162" i="14" s="1"/>
  <c r="F164" i="14" l="1"/>
  <c r="D165" i="14"/>
  <c r="G163" i="14"/>
  <c r="H163" i="14" s="1"/>
  <c r="F165" i="14" l="1"/>
  <c r="D166" i="14"/>
  <c r="G164" i="14"/>
  <c r="H164" i="14" s="1"/>
  <c r="F166" i="14" l="1"/>
  <c r="D167" i="14"/>
  <c r="G165" i="14"/>
  <c r="H165" i="14" s="1"/>
  <c r="F167" i="14" l="1"/>
  <c r="D168" i="14"/>
  <c r="G166" i="14"/>
  <c r="H166" i="14" s="1"/>
  <c r="F168" i="14" l="1"/>
  <c r="D169" i="14"/>
  <c r="G167" i="14"/>
  <c r="H167" i="14" s="1"/>
  <c r="F169" i="14" l="1"/>
  <c r="D170" i="14"/>
  <c r="G168" i="14"/>
  <c r="H168" i="14" s="1"/>
  <c r="F170" i="14" l="1"/>
  <c r="D171" i="14"/>
  <c r="G169" i="14"/>
  <c r="H169" i="14" s="1"/>
  <c r="F171" i="14" l="1"/>
  <c r="D172" i="14"/>
  <c r="G170" i="14"/>
  <c r="H170" i="14" s="1"/>
  <c r="F172" i="14" l="1"/>
  <c r="D173" i="14"/>
  <c r="G171" i="14"/>
  <c r="H171" i="14" s="1"/>
  <c r="F173" i="14" l="1"/>
  <c r="D174" i="14"/>
  <c r="G172" i="14"/>
  <c r="H172" i="14" s="1"/>
  <c r="F174" i="14" l="1"/>
  <c r="D175" i="14"/>
  <c r="G173" i="14"/>
  <c r="H173" i="14" s="1"/>
  <c r="F175" i="14" l="1"/>
  <c r="D176" i="14"/>
  <c r="G174" i="14"/>
  <c r="H174" i="14" s="1"/>
  <c r="F176" i="14" l="1"/>
  <c r="D177" i="14"/>
  <c r="G175" i="14"/>
  <c r="H175" i="14" s="1"/>
  <c r="F177" i="14" l="1"/>
  <c r="D178" i="14"/>
  <c r="G176" i="14"/>
  <c r="H176" i="14" s="1"/>
  <c r="F178" i="14" l="1"/>
  <c r="D179" i="14"/>
  <c r="G177" i="14"/>
  <c r="H177" i="14" s="1"/>
  <c r="F179" i="14" l="1"/>
  <c r="D180" i="14"/>
  <c r="G178" i="14"/>
  <c r="H178" i="14" s="1"/>
  <c r="F180" i="14" l="1"/>
  <c r="D181" i="14"/>
  <c r="G179" i="14"/>
  <c r="H179" i="14" s="1"/>
  <c r="F181" i="14" l="1"/>
  <c r="D182" i="14"/>
  <c r="G180" i="14"/>
  <c r="H180" i="14" s="1"/>
  <c r="F182" i="14" l="1"/>
  <c r="D183" i="14"/>
  <c r="G181" i="14"/>
  <c r="H181" i="14" s="1"/>
  <c r="F183" i="14" l="1"/>
  <c r="D184" i="14"/>
  <c r="G182" i="14"/>
  <c r="H182" i="14" s="1"/>
  <c r="F184" i="14" l="1"/>
  <c r="D185" i="14"/>
  <c r="G183" i="14"/>
  <c r="H183" i="14" s="1"/>
  <c r="F185" i="14" l="1"/>
  <c r="D186" i="14"/>
  <c r="G184" i="14"/>
  <c r="H184" i="14" s="1"/>
  <c r="F186" i="14" l="1"/>
  <c r="D187" i="14"/>
  <c r="G185" i="14"/>
  <c r="H185" i="14" s="1"/>
  <c r="F187" i="14" l="1"/>
  <c r="D188" i="14"/>
  <c r="G186" i="14"/>
  <c r="H186" i="14" s="1"/>
  <c r="F188" i="14" l="1"/>
  <c r="D189" i="14"/>
  <c r="G187" i="14"/>
  <c r="H187" i="14" s="1"/>
  <c r="F189" i="14" l="1"/>
  <c r="D190" i="14"/>
  <c r="G188" i="14"/>
  <c r="H188" i="14" s="1"/>
  <c r="F190" i="14" l="1"/>
  <c r="D191" i="14"/>
  <c r="G189" i="14"/>
  <c r="H189" i="14" s="1"/>
  <c r="F191" i="14" l="1"/>
  <c r="D192" i="14"/>
  <c r="G190" i="14"/>
  <c r="H190" i="14" s="1"/>
  <c r="F192" i="14" l="1"/>
  <c r="G191" i="14"/>
  <c r="H191" i="14" s="1"/>
  <c r="G192" i="14" l="1"/>
  <c r="H192" i="14" s="1"/>
  <c r="F2" i="11" l="1"/>
  <c r="G7" i="11" s="1"/>
  <c r="G4" i="11"/>
  <c r="G5" i="11"/>
  <c r="G10" i="11"/>
  <c r="G11" i="11"/>
  <c r="G12" i="11"/>
  <c r="G13" i="11"/>
  <c r="G15" i="11"/>
  <c r="G17" i="11"/>
  <c r="G19" i="11"/>
  <c r="G21" i="11"/>
  <c r="G22" i="11"/>
  <c r="G24" i="11"/>
  <c r="G25" i="11"/>
  <c r="G26" i="11"/>
  <c r="G27" i="11"/>
  <c r="G29" i="11"/>
  <c r="G33" i="11"/>
  <c r="G34" i="11"/>
  <c r="G35" i="11"/>
  <c r="G36" i="11"/>
  <c r="G38" i="11"/>
  <c r="G39" i="11"/>
  <c r="G40" i="11"/>
  <c r="G41" i="11"/>
  <c r="G43" i="11"/>
  <c r="G46" i="11"/>
  <c r="G47" i="11"/>
  <c r="G48" i="11"/>
  <c r="G49" i="11"/>
  <c r="G51" i="11"/>
  <c r="G52" i="11"/>
  <c r="G53" i="11"/>
  <c r="G54" i="11"/>
  <c r="G57" i="11"/>
  <c r="G59" i="11"/>
  <c r="G60" i="11"/>
  <c r="G61" i="11"/>
  <c r="G62" i="11"/>
  <c r="G64" i="11"/>
  <c r="G65" i="11"/>
  <c r="G66" i="11"/>
  <c r="G67" i="11"/>
  <c r="G70" i="11"/>
  <c r="G72" i="11"/>
  <c r="G73" i="11"/>
  <c r="G74" i="11"/>
  <c r="G75" i="11"/>
  <c r="G77" i="11"/>
  <c r="G78" i="11"/>
  <c r="G79" i="11"/>
  <c r="G81" i="11"/>
  <c r="G83" i="11"/>
  <c r="G85" i="11"/>
  <c r="G86" i="11"/>
  <c r="G87" i="11"/>
  <c r="G88" i="11"/>
  <c r="G90" i="11"/>
  <c r="G91" i="11"/>
  <c r="G93" i="11"/>
  <c r="G94" i="11"/>
  <c r="G96" i="11"/>
  <c r="G98" i="11"/>
  <c r="G99" i="11"/>
  <c r="G100" i="11"/>
  <c r="G101" i="11"/>
  <c r="G103" i="11"/>
  <c r="G104" i="11"/>
  <c r="G105" i="11"/>
  <c r="G106" i="11"/>
  <c r="G108" i="11"/>
  <c r="G110" i="11"/>
  <c r="G111" i="11"/>
  <c r="G112" i="11"/>
  <c r="G113" i="11"/>
  <c r="G115" i="11"/>
  <c r="G116" i="11"/>
  <c r="G117" i="11"/>
  <c r="G118" i="11"/>
  <c r="G120" i="11"/>
  <c r="G122" i="11"/>
  <c r="G123" i="11"/>
  <c r="G124" i="11"/>
  <c r="G125" i="11"/>
  <c r="G127" i="11"/>
  <c r="G128" i="11"/>
  <c r="G129" i="11"/>
  <c r="G130" i="11"/>
  <c r="G132" i="11"/>
  <c r="G134" i="11"/>
  <c r="G135" i="11"/>
  <c r="G136" i="11"/>
  <c r="G137" i="11"/>
  <c r="G139" i="11"/>
  <c r="G140" i="11"/>
  <c r="G141" i="11"/>
  <c r="G142" i="11"/>
  <c r="G144" i="11"/>
  <c r="G146" i="11"/>
  <c r="G147" i="11"/>
  <c r="G148" i="11"/>
  <c r="G149" i="11"/>
  <c r="G151" i="11"/>
  <c r="G152" i="11"/>
  <c r="G153" i="11"/>
  <c r="G154" i="11"/>
  <c r="G156" i="11"/>
  <c r="G158" i="11"/>
  <c r="G159" i="11"/>
  <c r="G160" i="11"/>
  <c r="G161" i="11"/>
  <c r="G163" i="11"/>
  <c r="G164" i="11"/>
  <c r="G165" i="11"/>
  <c r="G166" i="11"/>
  <c r="G168" i="11"/>
  <c r="G170" i="11"/>
  <c r="G171" i="11"/>
  <c r="G172" i="11"/>
  <c r="G173" i="11"/>
  <c r="G175" i="11"/>
  <c r="G176" i="11"/>
  <c r="G177" i="11"/>
  <c r="G178" i="11"/>
  <c r="G180" i="11"/>
  <c r="G182" i="11"/>
  <c r="G183" i="11"/>
  <c r="G184" i="11"/>
  <c r="G185" i="11"/>
  <c r="G187" i="11"/>
  <c r="G188" i="11"/>
  <c r="G189" i="11"/>
  <c r="G190" i="11"/>
  <c r="H4" i="11"/>
  <c r="H6" i="11"/>
  <c r="H8" i="11"/>
  <c r="H9" i="11"/>
  <c r="H10" i="11"/>
  <c r="H11" i="11"/>
  <c r="H12" i="11"/>
  <c r="H17" i="11"/>
  <c r="H19" i="11"/>
  <c r="H20" i="11"/>
  <c r="H21" i="11"/>
  <c r="H22" i="11"/>
  <c r="H24" i="11"/>
  <c r="H25" i="11"/>
  <c r="H27" i="11"/>
  <c r="H29" i="11"/>
  <c r="H31" i="11"/>
  <c r="H33" i="11"/>
  <c r="H34" i="11"/>
  <c r="H35" i="11"/>
  <c r="H36" i="11"/>
  <c r="H39" i="11"/>
  <c r="H41" i="11"/>
  <c r="H42" i="11"/>
  <c r="H43" i="11"/>
  <c r="H45" i="11"/>
  <c r="H47" i="11"/>
  <c r="H48" i="11"/>
  <c r="H49" i="11"/>
  <c r="H51" i="11"/>
  <c r="H54" i="11"/>
  <c r="H55" i="11"/>
  <c r="H56" i="11"/>
  <c r="H57" i="11"/>
  <c r="H59" i="11"/>
  <c r="H61" i="11"/>
  <c r="H63" i="11"/>
  <c r="H65" i="11"/>
  <c r="H66" i="11"/>
  <c r="H68" i="11"/>
  <c r="H69" i="11"/>
  <c r="H70" i="11"/>
  <c r="H71" i="11"/>
  <c r="H73" i="11"/>
  <c r="H77" i="11"/>
  <c r="H78" i="11"/>
  <c r="H79" i="11"/>
  <c r="H80" i="11"/>
  <c r="H82" i="11"/>
  <c r="H83" i="11"/>
  <c r="H84" i="11"/>
  <c r="H85" i="11"/>
  <c r="H89" i="11"/>
  <c r="H91" i="11"/>
  <c r="H92" i="11"/>
  <c r="H93" i="11"/>
  <c r="H94" i="11"/>
  <c r="H96" i="11"/>
  <c r="H97" i="11"/>
  <c r="H99" i="11"/>
  <c r="H101" i="11"/>
  <c r="H103" i="11"/>
  <c r="H105" i="11"/>
  <c r="H106" i="11"/>
  <c r="H107" i="11"/>
  <c r="H108" i="11"/>
  <c r="H111" i="11"/>
  <c r="H113" i="11"/>
  <c r="H114" i="11"/>
  <c r="H115" i="11"/>
  <c r="H117" i="11"/>
  <c r="H119" i="11"/>
  <c r="H120" i="11"/>
  <c r="H121" i="11"/>
  <c r="H123" i="11"/>
  <c r="H126" i="11"/>
  <c r="H127" i="11"/>
  <c r="H128" i="11"/>
  <c r="H129" i="11"/>
  <c r="H131" i="11"/>
  <c r="H133" i="11"/>
  <c r="H135" i="11"/>
  <c r="H137" i="11"/>
  <c r="H138" i="11"/>
  <c r="H140" i="11"/>
  <c r="H141" i="11"/>
  <c r="H142" i="11"/>
  <c r="H143" i="11"/>
  <c r="H145" i="11"/>
  <c r="H149" i="11"/>
  <c r="H150" i="11"/>
  <c r="H151" i="11"/>
  <c r="H152" i="11"/>
  <c r="H154" i="11"/>
  <c r="H155" i="11"/>
  <c r="H156" i="11"/>
  <c r="H157" i="11"/>
  <c r="H161" i="11"/>
  <c r="H163" i="11"/>
  <c r="H164" i="11"/>
  <c r="H165" i="11"/>
  <c r="H166" i="11"/>
  <c r="H168" i="11"/>
  <c r="H169" i="11"/>
  <c r="H171" i="11"/>
  <c r="H173" i="11"/>
  <c r="H175" i="11"/>
  <c r="H177" i="11"/>
  <c r="H178" i="11"/>
  <c r="H179" i="11"/>
  <c r="H180" i="11"/>
  <c r="H183" i="11"/>
  <c r="H185" i="11"/>
  <c r="H186" i="11"/>
  <c r="H187" i="11"/>
  <c r="H189" i="11"/>
  <c r="H3" i="11"/>
  <c r="L21" i="11"/>
  <c r="L5" i="11"/>
  <c r="K32" i="11"/>
  <c r="K6" i="11"/>
  <c r="K5" i="11"/>
  <c r="K21" i="11"/>
  <c r="K13" i="11"/>
  <c r="K31" i="11"/>
  <c r="K28" i="11"/>
  <c r="K29" i="11"/>
  <c r="K8" i="11"/>
  <c r="K14" i="11"/>
  <c r="H7" i="11" l="1"/>
  <c r="G181" i="11"/>
  <c r="G169" i="11"/>
  <c r="G157" i="11"/>
  <c r="G145" i="11"/>
  <c r="G133" i="11"/>
  <c r="G121" i="11"/>
  <c r="G109" i="11"/>
  <c r="G97" i="11"/>
  <c r="G84" i="11"/>
  <c r="G71" i="11"/>
  <c r="G58" i="11"/>
  <c r="G45" i="11"/>
  <c r="G31" i="11"/>
  <c r="G16" i="11"/>
  <c r="H190" i="11"/>
  <c r="H176" i="11"/>
  <c r="H162" i="11"/>
  <c r="H147" i="11"/>
  <c r="H132" i="11"/>
  <c r="H118" i="11"/>
  <c r="H104" i="11"/>
  <c r="H90" i="11"/>
  <c r="H75" i="11"/>
  <c r="H60" i="11"/>
  <c r="H46" i="11"/>
  <c r="H32" i="11"/>
  <c r="H18" i="11"/>
  <c r="G3" i="11"/>
  <c r="G179" i="11"/>
  <c r="G167" i="11"/>
  <c r="G155" i="11"/>
  <c r="G143" i="11"/>
  <c r="G131" i="11"/>
  <c r="G119" i="11"/>
  <c r="G107" i="11"/>
  <c r="G95" i="11"/>
  <c r="G82" i="11"/>
  <c r="G69" i="11"/>
  <c r="G55" i="11"/>
  <c r="G42" i="11"/>
  <c r="G28" i="11"/>
  <c r="G14" i="11"/>
  <c r="H188" i="11"/>
  <c r="H174" i="11"/>
  <c r="H159" i="11"/>
  <c r="H144" i="11"/>
  <c r="H130" i="11"/>
  <c r="H116" i="11"/>
  <c r="H102" i="11"/>
  <c r="H87" i="11"/>
  <c r="H72" i="11"/>
  <c r="H58" i="11"/>
  <c r="H44" i="11"/>
  <c r="H30" i="11"/>
  <c r="H15" i="11"/>
  <c r="G186" i="11"/>
  <c r="G174" i="11"/>
  <c r="G162" i="11"/>
  <c r="G150" i="11"/>
  <c r="G138" i="11"/>
  <c r="G126" i="11"/>
  <c r="G114" i="11"/>
  <c r="G102" i="11"/>
  <c r="G89" i="11"/>
  <c r="G76" i="11"/>
  <c r="G63" i="11"/>
  <c r="G50" i="11"/>
  <c r="G37" i="11"/>
  <c r="G23" i="11"/>
  <c r="G9" i="11"/>
  <c r="H181" i="11"/>
  <c r="H167" i="11"/>
  <c r="H153" i="11"/>
  <c r="H139" i="11"/>
  <c r="H125" i="11"/>
  <c r="H109" i="11"/>
  <c r="H95" i="11"/>
  <c r="H81" i="11"/>
  <c r="H67" i="11"/>
  <c r="H53" i="11"/>
  <c r="H37" i="11"/>
  <c r="H23" i="11"/>
  <c r="G92" i="11"/>
  <c r="G80" i="11"/>
  <c r="G68" i="11"/>
  <c r="G56" i="11"/>
  <c r="G44" i="11"/>
  <c r="G32" i="11"/>
  <c r="G20" i="11"/>
  <c r="G8" i="11"/>
  <c r="H184" i="11"/>
  <c r="H172" i="11"/>
  <c r="H160" i="11"/>
  <c r="H148" i="11"/>
  <c r="H136" i="11"/>
  <c r="H124" i="11"/>
  <c r="H112" i="11"/>
  <c r="H100" i="11"/>
  <c r="H88" i="11"/>
  <c r="H76" i="11"/>
  <c r="H64" i="11"/>
  <c r="H52" i="11"/>
  <c r="H40" i="11"/>
  <c r="H28" i="11"/>
  <c r="H16" i="11"/>
  <c r="G30" i="11"/>
  <c r="G18" i="11"/>
  <c r="G6" i="11"/>
  <c r="H182" i="11"/>
  <c r="H170" i="11"/>
  <c r="H158" i="11"/>
  <c r="H146" i="11"/>
  <c r="H134" i="11"/>
  <c r="H122" i="11"/>
  <c r="H110" i="11"/>
  <c r="H98" i="11"/>
  <c r="H86" i="11"/>
  <c r="H74" i="11"/>
  <c r="H62" i="11"/>
  <c r="H50" i="11"/>
  <c r="H38" i="11"/>
  <c r="H26" i="11"/>
  <c r="H13" i="11"/>
  <c r="H14" i="11"/>
  <c r="H5" i="11"/>
  <c r="L13" i="11"/>
  <c r="L14" i="11" s="1"/>
  <c r="M14" i="11" s="1"/>
  <c r="L8" i="11"/>
  <c r="K12" i="11"/>
  <c r="L12" i="11" s="1"/>
  <c r="L28" i="11" l="1"/>
  <c r="L25" i="11"/>
  <c r="L32" i="11"/>
  <c r="L29" i="11"/>
  <c r="M13" i="11"/>
  <c r="L6" i="11"/>
  <c r="M6" i="11" s="1"/>
  <c r="M5" i="11"/>
  <c r="L31" i="11" l="1"/>
</calcChain>
</file>

<file path=xl/sharedStrings.xml><?xml version="1.0" encoding="utf-8"?>
<sst xmlns="http://schemas.openxmlformats.org/spreadsheetml/2006/main" count="87" uniqueCount="71">
  <si>
    <t>Date</t>
  </si>
  <si>
    <t>Last Price</t>
  </si>
  <si>
    <t>Volume</t>
  </si>
  <si>
    <t>SMAVG (15)</t>
  </si>
  <si>
    <t>Return_annualised</t>
  </si>
  <si>
    <t>Volatility_annualised</t>
  </si>
  <si>
    <t>AAPL</t>
  </si>
  <si>
    <t>return_APPL</t>
  </si>
  <si>
    <t>Variance</t>
  </si>
  <si>
    <t>Return_daily</t>
  </si>
  <si>
    <t>Volatility_daily</t>
  </si>
  <si>
    <t>Q1</t>
  </si>
  <si>
    <t>Q2</t>
  </si>
  <si>
    <t>Confidence level</t>
  </si>
  <si>
    <t>Z critical value</t>
  </si>
  <si>
    <t>S&amp;P500</t>
  </si>
  <si>
    <t>return_S&amp;P500</t>
  </si>
  <si>
    <t>beta</t>
  </si>
  <si>
    <t>Risk Free Rate</t>
  </si>
  <si>
    <t>er_APPL</t>
  </si>
  <si>
    <t>er_S&amp;P500</t>
  </si>
  <si>
    <t>n</t>
  </si>
  <si>
    <t>9-Day EMA</t>
  </si>
  <si>
    <t>12-Day EMA</t>
  </si>
  <si>
    <t>26-Day EMA</t>
  </si>
  <si>
    <t>Weight</t>
  </si>
  <si>
    <t>MACD Line</t>
  </si>
  <si>
    <t>Signal Line</t>
  </si>
  <si>
    <t>Histogram</t>
  </si>
  <si>
    <t>APPL</t>
  </si>
  <si>
    <t xml:space="preserve">VaR </t>
  </si>
  <si>
    <t>Portfolio value</t>
  </si>
  <si>
    <t xml:space="preserve">Stock Price </t>
  </si>
  <si>
    <t>Strike Price</t>
  </si>
  <si>
    <t>Risk-free rate</t>
  </si>
  <si>
    <t>Volatility</t>
  </si>
  <si>
    <t>Time in years</t>
  </si>
  <si>
    <t>Call/ Put</t>
  </si>
  <si>
    <t xml:space="preserve">Option Price </t>
  </si>
  <si>
    <t>d1</t>
  </si>
  <si>
    <t>d2</t>
  </si>
  <si>
    <t>Drift</t>
  </si>
  <si>
    <t>Time</t>
  </si>
  <si>
    <t>Timestep</t>
  </si>
  <si>
    <t>Asset</t>
  </si>
  <si>
    <t>Payoff - Call</t>
    <phoneticPr fontId="1" type="noConversion"/>
  </si>
  <si>
    <t>Call Price</t>
    <phoneticPr fontId="1" type="noConversion"/>
  </si>
  <si>
    <t>Strike</t>
    <phoneticPr fontId="1" type="noConversion"/>
  </si>
  <si>
    <t>Time to expiry</t>
  </si>
  <si>
    <t>Discounted Payoff</t>
  </si>
  <si>
    <t>Risk free rate</t>
  </si>
  <si>
    <t>Apple Price</t>
  </si>
  <si>
    <t>Change</t>
    <phoneticPr fontId="18" type="noConversion"/>
  </si>
  <si>
    <t>Gain</t>
    <phoneticPr fontId="18" type="noConversion"/>
  </si>
  <si>
    <t>Loss</t>
    <phoneticPr fontId="18" type="noConversion"/>
  </si>
  <si>
    <t>Avg Gain</t>
    <phoneticPr fontId="18" type="noConversion"/>
  </si>
  <si>
    <t>Avg Loss</t>
    <phoneticPr fontId="18" type="noConversion"/>
  </si>
  <si>
    <t>RS</t>
    <phoneticPr fontId="18" type="noConversion"/>
  </si>
  <si>
    <t>14-Day RSI</t>
    <phoneticPr fontId="18" type="noConversion"/>
  </si>
  <si>
    <t>20 Day MA</t>
    <phoneticPr fontId="18" type="noConversion"/>
  </si>
  <si>
    <t>STD DEV</t>
    <phoneticPr fontId="18" type="noConversion"/>
  </si>
  <si>
    <t>Upper Band</t>
    <phoneticPr fontId="18" type="noConversion"/>
  </si>
  <si>
    <t>Lower Band</t>
    <phoneticPr fontId="18" type="noConversion"/>
  </si>
  <si>
    <t>%K Line</t>
  </si>
  <si>
    <t>%D Line</t>
    <phoneticPr fontId="18" type="noConversion"/>
  </si>
  <si>
    <t>expected market return</t>
  </si>
  <si>
    <t>CAPM</t>
  </si>
  <si>
    <t xml:space="preserve">normal distribution </t>
  </si>
  <si>
    <t>Payoff - Call</t>
  </si>
  <si>
    <t>Strike</t>
  </si>
  <si>
    <t>Call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</si>
</sst>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0.0000%"/>
    <numFmt numFmtId="166" formatCode="0.0000"/>
    <numFmt numFmtId="167" formatCode="_-[$$-409]* #,##0.00_ ;_-[$$-409]* \-#,##0.00\ ;_-[$$-409]* &quot;-&quot;??_ ;_-@_ 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34"/>
      <scheme val="minor"/>
    </font>
    <font>
      <sz val="18"/>
      <color theme="3"/>
      <name val="Aptos Display"/>
      <family val="2"/>
      <charset val="134"/>
      <scheme val="major"/>
    </font>
    <font>
      <b/>
      <sz val="15"/>
      <color theme="3"/>
      <name val="Aptos Narrow"/>
      <family val="2"/>
      <charset val="134"/>
      <scheme val="minor"/>
    </font>
    <font>
      <b/>
      <sz val="13"/>
      <color theme="3"/>
      <name val="Aptos Narrow"/>
      <family val="2"/>
      <charset val="134"/>
      <scheme val="minor"/>
    </font>
    <font>
      <b/>
      <sz val="11"/>
      <color theme="3"/>
      <name val="Aptos Narrow"/>
      <family val="2"/>
      <charset val="134"/>
      <scheme val="minor"/>
    </font>
    <font>
      <sz val="11"/>
      <color rgb="FF006100"/>
      <name val="Aptos Narrow"/>
      <family val="2"/>
      <charset val="134"/>
      <scheme val="minor"/>
    </font>
    <font>
      <sz val="11"/>
      <color rgb="FF9C0006"/>
      <name val="Aptos Narrow"/>
      <family val="2"/>
      <charset val="134"/>
      <scheme val="minor"/>
    </font>
    <font>
      <sz val="11"/>
      <color rgb="FF9C5700"/>
      <name val="Aptos Narrow"/>
      <family val="2"/>
      <charset val="134"/>
      <scheme val="minor"/>
    </font>
    <font>
      <sz val="11"/>
      <color rgb="FF3F3F76"/>
      <name val="Aptos Narrow"/>
      <family val="2"/>
      <charset val="134"/>
      <scheme val="minor"/>
    </font>
    <font>
      <b/>
      <sz val="11"/>
      <color rgb="FF3F3F3F"/>
      <name val="Aptos Narrow"/>
      <family val="2"/>
      <charset val="134"/>
      <scheme val="minor"/>
    </font>
    <font>
      <b/>
      <sz val="11"/>
      <color rgb="FFFA7D00"/>
      <name val="Aptos Narrow"/>
      <family val="2"/>
      <charset val="134"/>
      <scheme val="minor"/>
    </font>
    <font>
      <sz val="11"/>
      <color rgb="FFFA7D00"/>
      <name val="Aptos Narrow"/>
      <family val="2"/>
      <charset val="134"/>
      <scheme val="minor"/>
    </font>
    <font>
      <b/>
      <sz val="11"/>
      <color theme="0"/>
      <name val="Aptos Narrow"/>
      <family val="2"/>
      <charset val="134"/>
      <scheme val="minor"/>
    </font>
    <font>
      <sz val="11"/>
      <color rgb="FFFF0000"/>
      <name val="Aptos Narrow"/>
      <family val="2"/>
      <charset val="134"/>
      <scheme val="minor"/>
    </font>
    <font>
      <i/>
      <sz val="11"/>
      <color rgb="FF7F7F7F"/>
      <name val="Aptos Narrow"/>
      <family val="2"/>
      <charset val="134"/>
      <scheme val="minor"/>
    </font>
    <font>
      <b/>
      <sz val="11"/>
      <color theme="1"/>
      <name val="Aptos Narrow"/>
      <family val="2"/>
      <charset val="134"/>
      <scheme val="minor"/>
    </font>
    <font>
      <sz val="11"/>
      <color theme="0"/>
      <name val="Aptos Narrow"/>
      <family val="2"/>
      <charset val="134"/>
      <scheme val="minor"/>
    </font>
    <font>
      <b/>
      <sz val="11"/>
      <color theme="1"/>
      <name val="Aptos Narrow"/>
      <family val="3"/>
      <charset val="134"/>
      <scheme val="minor"/>
    </font>
    <font>
      <b/>
      <sz val="11"/>
      <color rgb="FFFF0000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9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</cellStyleXfs>
  <cellXfs count="22">
    <xf numFmtId="0" fontId="0" fillId="0" borderId="0" xfId="0"/>
    <xf numFmtId="14" fontId="0" fillId="0" borderId="0" xfId="0" applyNumberFormat="1"/>
    <xf numFmtId="9" fontId="0" fillId="0" borderId="0" xfId="2" applyFont="1"/>
    <xf numFmtId="165" fontId="0" fillId="0" borderId="0" xfId="2" applyNumberFormat="1" applyFont="1"/>
    <xf numFmtId="166" fontId="0" fillId="0" borderId="0" xfId="2" applyNumberFormat="1" applyFont="1"/>
    <xf numFmtId="0" fontId="0" fillId="0" borderId="0" xfId="0" applyAlignment="1">
      <alignment horizontal="center"/>
    </xf>
    <xf numFmtId="2" fontId="0" fillId="0" borderId="0" xfId="1" applyNumberFormat="1" applyFont="1" applyAlignment="1">
      <alignment horizontal="center"/>
    </xf>
    <xf numFmtId="164" fontId="0" fillId="0" borderId="0" xfId="1" applyFont="1" applyAlignment="1">
      <alignment horizontal="center"/>
    </xf>
    <xf numFmtId="0" fontId="0" fillId="0" borderId="0" xfId="0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0" xfId="1" applyFont="1"/>
    <xf numFmtId="14" fontId="0" fillId="0" borderId="0" xfId="0" applyNumberFormat="1" applyAlignment="1">
      <alignment horizontal="center"/>
    </xf>
    <xf numFmtId="164" fontId="0" fillId="2" borderId="0" xfId="1" applyFont="1" applyFill="1"/>
    <xf numFmtId="43" fontId="0" fillId="0" borderId="0" xfId="0" applyNumberFormat="1" applyAlignment="1">
      <alignment horizontal="center"/>
    </xf>
    <xf numFmtId="167" fontId="0" fillId="0" borderId="0" xfId="0" applyNumberFormat="1"/>
    <xf numFmtId="15" fontId="0" fillId="0" borderId="0" xfId="0" applyNumberFormat="1"/>
    <xf numFmtId="10" fontId="0" fillId="0" borderId="0" xfId="2" applyNumberFormat="1" applyFont="1"/>
    <xf numFmtId="2" fontId="0" fillId="0" borderId="0" xfId="0" applyNumberFormat="1"/>
    <xf numFmtId="0" fontId="0" fillId="34" borderId="0" xfId="0" applyFill="1"/>
    <xf numFmtId="0" fontId="19" fillId="0" borderId="0" xfId="0" applyFont="1"/>
    <xf numFmtId="0" fontId="20" fillId="0" borderId="0" xfId="0" applyFont="1"/>
    <xf numFmtId="0" fontId="0" fillId="0" borderId="0" xfId="0" applyAlignment="1">
      <alignment vertical="center"/>
    </xf>
    <xf numFmtId="166" fontId="0" fillId="0" borderId="0" xfId="0" applyNumberFormat="1"/>
  </cellXfs>
  <cellStyles count="45">
    <cellStyle name="20% - Accent1 2" xfId="22" xr:uid="{DF4DE6E0-EB51-484B-B8D1-68322507B62B}"/>
    <cellStyle name="20% - Accent2 2" xfId="26" xr:uid="{9108DDCE-DACF-4BCF-9991-7C002A0F32F8}"/>
    <cellStyle name="20% - Accent3 2" xfId="30" xr:uid="{85DA3A2A-92A6-4EEF-AAE6-4C8F2210DAB8}"/>
    <cellStyle name="20% - Accent4 2" xfId="34" xr:uid="{641D82C0-B1F5-49CA-9161-BF9A70F4FD43}"/>
    <cellStyle name="20% - Accent5 2" xfId="38" xr:uid="{B0B2A7EE-99F8-46F3-91D9-D106CEC27F83}"/>
    <cellStyle name="20% - Accent6 2" xfId="42" xr:uid="{77FF412B-C167-4E75-AD24-43D75DD999AA}"/>
    <cellStyle name="40% - Accent1 2" xfId="23" xr:uid="{F957CA03-7FDA-4671-9BA2-B33F24CAF0F1}"/>
    <cellStyle name="40% - Accent2 2" xfId="27" xr:uid="{ACA23BB0-08BE-4BB7-859A-FD7807E4DB51}"/>
    <cellStyle name="40% - Accent3 2" xfId="31" xr:uid="{9477C784-C1FF-4B3C-993E-2A94F87C58FF}"/>
    <cellStyle name="40% - Accent4 2" xfId="35" xr:uid="{F41089DA-6AB5-446F-9DAD-0A32C1D0C37A}"/>
    <cellStyle name="40% - Accent5 2" xfId="39" xr:uid="{AC63AAF7-BB3F-47EB-A2E2-1DCF8B99ADA3}"/>
    <cellStyle name="40% - Accent6 2" xfId="43" xr:uid="{4BE4CC85-527B-4CE4-A501-F8E3C0F2660B}"/>
    <cellStyle name="60% - Accent1 2" xfId="24" xr:uid="{33B33409-33EE-4FD2-BA88-9FD7939D4239}"/>
    <cellStyle name="60% - Accent2 2" xfId="28" xr:uid="{657040BA-C7AB-4CFB-AD10-993B449A3084}"/>
    <cellStyle name="60% - Accent3 2" xfId="32" xr:uid="{40FA18E5-071B-4191-9EC2-946C4D728F5F}"/>
    <cellStyle name="60% - Accent4 2" xfId="36" xr:uid="{4D61F442-F2D4-41FF-87B4-CDA7FF58A9B5}"/>
    <cellStyle name="60% - Accent5 2" xfId="40" xr:uid="{5FE523EB-4B2F-45AD-A422-F91B269C4691}"/>
    <cellStyle name="60% - Accent6 2" xfId="44" xr:uid="{DC366119-25CD-486A-ADB5-E908A27761EE}"/>
    <cellStyle name="Accent1 2" xfId="21" xr:uid="{A7E02FAD-0337-42D4-8AAA-E533F37D6BA1}"/>
    <cellStyle name="Accent2 2" xfId="25" xr:uid="{3DF92E44-C3AD-467A-A59A-25BCF9813634}"/>
    <cellStyle name="Accent3 2" xfId="29" xr:uid="{58C038B2-6590-44AB-A45B-8441ED8EFC91}"/>
    <cellStyle name="Accent4 2" xfId="33" xr:uid="{C44F6FD4-96A1-40D6-904E-FD5ED61B4E13}"/>
    <cellStyle name="Accent5 2" xfId="37" xr:uid="{AFE33BA3-3804-4318-A1A7-DC1B0DF60C6F}"/>
    <cellStyle name="Accent6 2" xfId="41" xr:uid="{1AD4EF34-3545-4A20-BA7E-747B902F0713}"/>
    <cellStyle name="Bad 2" xfId="10" xr:uid="{31B79A46-47AD-4EBA-B7C6-5F3F6F596BC6}"/>
    <cellStyle name="Calculation 2" xfId="14" xr:uid="{67918F1A-9BA9-428B-9BC8-D64ECB417F43}"/>
    <cellStyle name="Check Cell 2" xfId="16" xr:uid="{04AA85A7-0925-44AF-9784-49A066FE7B84}"/>
    <cellStyle name="Comma" xfId="1" builtinId="3"/>
    <cellStyle name="Explanatory Text 2" xfId="19" xr:uid="{2B2A8DF7-1CC0-4446-9CAD-62888ACFC91F}"/>
    <cellStyle name="Good 2" xfId="9" xr:uid="{4708988D-8A15-4DE1-89BC-C7A1C5865A8F}"/>
    <cellStyle name="Heading 1 2" xfId="5" xr:uid="{A7057102-2C1D-4F80-BC6F-223C3D99B3C9}"/>
    <cellStyle name="Heading 2 2" xfId="6" xr:uid="{B96DCDB3-9901-4688-92E7-FB4481233E02}"/>
    <cellStyle name="Heading 3 2" xfId="7" xr:uid="{8EAEBE41-BB48-4743-BB2A-0AF495AF5B2C}"/>
    <cellStyle name="Heading 4 2" xfId="8" xr:uid="{8D552E76-34A2-4AE5-8046-BF4D09B7011C}"/>
    <cellStyle name="Input 2" xfId="12" xr:uid="{9C15EF1B-444F-4C5C-98D2-19F164EB2F8D}"/>
    <cellStyle name="Linked Cell 2" xfId="15" xr:uid="{EE4BAC61-7915-4838-98F5-7972B9EBD900}"/>
    <cellStyle name="Neutral 2" xfId="11" xr:uid="{DDBB67E9-2593-41E0-972A-983B893E85E0}"/>
    <cellStyle name="Normal" xfId="0" builtinId="0"/>
    <cellStyle name="Normal 2" xfId="3" xr:uid="{07547A3D-8601-4F94-B65B-6C84D38528B6}"/>
    <cellStyle name="Note 2" xfId="18" xr:uid="{07121A76-3030-4051-9415-8D842017F1E3}"/>
    <cellStyle name="Output 2" xfId="13" xr:uid="{6244D234-482A-4148-9B1B-1C3426D0B7A1}"/>
    <cellStyle name="Per cent" xfId="2" builtinId="5"/>
    <cellStyle name="Title 2" xfId="4" xr:uid="{F47B546C-D496-4A92-B157-49C8A417FEA8}"/>
    <cellStyle name="Total 2" xfId="20" xr:uid="{3F6121B0-5F88-42F1-BB2A-EFD3F6995E29}"/>
    <cellStyle name="Warning Text 2" xfId="17" xr:uid="{25F9A3A9-899E-49D7-A4B3-79EE3B418E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MACD!$B$4</c:f>
              <c:strCache>
                <c:ptCount val="1"/>
                <c:pt idx="0">
                  <c:v>APPL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MACD!$A$5:$A$192</c:f>
              <c:numCache>
                <c:formatCode>m/d/yy</c:formatCode>
                <c:ptCount val="188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45478</c:v>
                </c:pt>
                <c:pt idx="4">
                  <c:v>45481</c:v>
                </c:pt>
                <c:pt idx="5">
                  <c:v>45482</c:v>
                </c:pt>
                <c:pt idx="6">
                  <c:v>45483</c:v>
                </c:pt>
                <c:pt idx="7">
                  <c:v>45484</c:v>
                </c:pt>
                <c:pt idx="8">
                  <c:v>45485</c:v>
                </c:pt>
                <c:pt idx="9">
                  <c:v>45488</c:v>
                </c:pt>
                <c:pt idx="10">
                  <c:v>45489</c:v>
                </c:pt>
                <c:pt idx="11">
                  <c:v>45490</c:v>
                </c:pt>
                <c:pt idx="12">
                  <c:v>45491</c:v>
                </c:pt>
                <c:pt idx="13">
                  <c:v>45492</c:v>
                </c:pt>
                <c:pt idx="14">
                  <c:v>45495</c:v>
                </c:pt>
                <c:pt idx="15">
                  <c:v>45496</c:v>
                </c:pt>
                <c:pt idx="16">
                  <c:v>45497</c:v>
                </c:pt>
                <c:pt idx="17">
                  <c:v>45498</c:v>
                </c:pt>
                <c:pt idx="18">
                  <c:v>45499</c:v>
                </c:pt>
                <c:pt idx="19">
                  <c:v>45502</c:v>
                </c:pt>
                <c:pt idx="20">
                  <c:v>45503</c:v>
                </c:pt>
                <c:pt idx="21">
                  <c:v>45504</c:v>
                </c:pt>
                <c:pt idx="22">
                  <c:v>45505</c:v>
                </c:pt>
                <c:pt idx="23">
                  <c:v>45506</c:v>
                </c:pt>
                <c:pt idx="24">
                  <c:v>45509</c:v>
                </c:pt>
                <c:pt idx="25">
                  <c:v>45510</c:v>
                </c:pt>
                <c:pt idx="26">
                  <c:v>45511</c:v>
                </c:pt>
                <c:pt idx="27">
                  <c:v>45512</c:v>
                </c:pt>
                <c:pt idx="28">
                  <c:v>45513</c:v>
                </c:pt>
                <c:pt idx="29">
                  <c:v>45516</c:v>
                </c:pt>
                <c:pt idx="30">
                  <c:v>45517</c:v>
                </c:pt>
                <c:pt idx="31">
                  <c:v>45518</c:v>
                </c:pt>
                <c:pt idx="32">
                  <c:v>45519</c:v>
                </c:pt>
                <c:pt idx="33">
                  <c:v>45520</c:v>
                </c:pt>
                <c:pt idx="34">
                  <c:v>45523</c:v>
                </c:pt>
                <c:pt idx="35">
                  <c:v>45524</c:v>
                </c:pt>
                <c:pt idx="36">
                  <c:v>45525</c:v>
                </c:pt>
                <c:pt idx="37">
                  <c:v>45526</c:v>
                </c:pt>
                <c:pt idx="38">
                  <c:v>45527</c:v>
                </c:pt>
                <c:pt idx="39">
                  <c:v>45530</c:v>
                </c:pt>
                <c:pt idx="40">
                  <c:v>45531</c:v>
                </c:pt>
                <c:pt idx="41">
                  <c:v>45532</c:v>
                </c:pt>
                <c:pt idx="42">
                  <c:v>45533</c:v>
                </c:pt>
                <c:pt idx="43">
                  <c:v>45534</c:v>
                </c:pt>
                <c:pt idx="44">
                  <c:v>45538</c:v>
                </c:pt>
                <c:pt idx="45">
                  <c:v>45539</c:v>
                </c:pt>
                <c:pt idx="46">
                  <c:v>45540</c:v>
                </c:pt>
                <c:pt idx="47">
                  <c:v>45541</c:v>
                </c:pt>
                <c:pt idx="48">
                  <c:v>45544</c:v>
                </c:pt>
                <c:pt idx="49">
                  <c:v>45545</c:v>
                </c:pt>
                <c:pt idx="50">
                  <c:v>45546</c:v>
                </c:pt>
                <c:pt idx="51">
                  <c:v>45547</c:v>
                </c:pt>
                <c:pt idx="52">
                  <c:v>45548</c:v>
                </c:pt>
                <c:pt idx="53">
                  <c:v>45551</c:v>
                </c:pt>
                <c:pt idx="54">
                  <c:v>45552</c:v>
                </c:pt>
                <c:pt idx="55">
                  <c:v>45553</c:v>
                </c:pt>
                <c:pt idx="56">
                  <c:v>45554</c:v>
                </c:pt>
                <c:pt idx="57">
                  <c:v>45555</c:v>
                </c:pt>
                <c:pt idx="58">
                  <c:v>45558</c:v>
                </c:pt>
                <c:pt idx="59">
                  <c:v>45559</c:v>
                </c:pt>
                <c:pt idx="60">
                  <c:v>45560</c:v>
                </c:pt>
                <c:pt idx="61">
                  <c:v>45561</c:v>
                </c:pt>
                <c:pt idx="62">
                  <c:v>45562</c:v>
                </c:pt>
                <c:pt idx="63">
                  <c:v>45565</c:v>
                </c:pt>
                <c:pt idx="64">
                  <c:v>45566</c:v>
                </c:pt>
                <c:pt idx="65">
                  <c:v>45567</c:v>
                </c:pt>
                <c:pt idx="66">
                  <c:v>45568</c:v>
                </c:pt>
                <c:pt idx="67">
                  <c:v>45569</c:v>
                </c:pt>
                <c:pt idx="68">
                  <c:v>45572</c:v>
                </c:pt>
                <c:pt idx="69">
                  <c:v>45573</c:v>
                </c:pt>
                <c:pt idx="70">
                  <c:v>45574</c:v>
                </c:pt>
                <c:pt idx="71">
                  <c:v>45575</c:v>
                </c:pt>
                <c:pt idx="72">
                  <c:v>45576</c:v>
                </c:pt>
                <c:pt idx="73">
                  <c:v>45579</c:v>
                </c:pt>
                <c:pt idx="74">
                  <c:v>45580</c:v>
                </c:pt>
                <c:pt idx="75">
                  <c:v>45581</c:v>
                </c:pt>
                <c:pt idx="76">
                  <c:v>45582</c:v>
                </c:pt>
                <c:pt idx="77">
                  <c:v>45583</c:v>
                </c:pt>
                <c:pt idx="78">
                  <c:v>45586</c:v>
                </c:pt>
                <c:pt idx="79">
                  <c:v>45587</c:v>
                </c:pt>
                <c:pt idx="80">
                  <c:v>45588</c:v>
                </c:pt>
                <c:pt idx="81">
                  <c:v>45589</c:v>
                </c:pt>
                <c:pt idx="82">
                  <c:v>45590</c:v>
                </c:pt>
                <c:pt idx="83">
                  <c:v>45593</c:v>
                </c:pt>
                <c:pt idx="84">
                  <c:v>45594</c:v>
                </c:pt>
                <c:pt idx="85">
                  <c:v>45595</c:v>
                </c:pt>
                <c:pt idx="86">
                  <c:v>45596</c:v>
                </c:pt>
                <c:pt idx="87">
                  <c:v>45597</c:v>
                </c:pt>
                <c:pt idx="88">
                  <c:v>45600</c:v>
                </c:pt>
                <c:pt idx="89">
                  <c:v>45601</c:v>
                </c:pt>
                <c:pt idx="90">
                  <c:v>45602</c:v>
                </c:pt>
                <c:pt idx="91">
                  <c:v>45603</c:v>
                </c:pt>
                <c:pt idx="92">
                  <c:v>45604</c:v>
                </c:pt>
                <c:pt idx="93">
                  <c:v>45607</c:v>
                </c:pt>
                <c:pt idx="94">
                  <c:v>45608</c:v>
                </c:pt>
                <c:pt idx="95">
                  <c:v>45609</c:v>
                </c:pt>
                <c:pt idx="96">
                  <c:v>45610</c:v>
                </c:pt>
                <c:pt idx="97">
                  <c:v>45611</c:v>
                </c:pt>
                <c:pt idx="98">
                  <c:v>45614</c:v>
                </c:pt>
                <c:pt idx="99">
                  <c:v>45615</c:v>
                </c:pt>
                <c:pt idx="100">
                  <c:v>45616</c:v>
                </c:pt>
                <c:pt idx="101">
                  <c:v>45617</c:v>
                </c:pt>
                <c:pt idx="102">
                  <c:v>45618</c:v>
                </c:pt>
                <c:pt idx="103">
                  <c:v>45621</c:v>
                </c:pt>
                <c:pt idx="104">
                  <c:v>45622</c:v>
                </c:pt>
                <c:pt idx="105">
                  <c:v>45623</c:v>
                </c:pt>
                <c:pt idx="106">
                  <c:v>45625</c:v>
                </c:pt>
                <c:pt idx="107">
                  <c:v>45628</c:v>
                </c:pt>
                <c:pt idx="108">
                  <c:v>45629</c:v>
                </c:pt>
                <c:pt idx="109">
                  <c:v>45630</c:v>
                </c:pt>
                <c:pt idx="110">
                  <c:v>45631</c:v>
                </c:pt>
                <c:pt idx="111">
                  <c:v>45632</c:v>
                </c:pt>
                <c:pt idx="112">
                  <c:v>45635</c:v>
                </c:pt>
                <c:pt idx="113">
                  <c:v>45636</c:v>
                </c:pt>
                <c:pt idx="114">
                  <c:v>45637</c:v>
                </c:pt>
                <c:pt idx="115">
                  <c:v>45638</c:v>
                </c:pt>
                <c:pt idx="116">
                  <c:v>45639</c:v>
                </c:pt>
                <c:pt idx="117">
                  <c:v>45642</c:v>
                </c:pt>
                <c:pt idx="118">
                  <c:v>45643</c:v>
                </c:pt>
                <c:pt idx="119">
                  <c:v>45644</c:v>
                </c:pt>
                <c:pt idx="120">
                  <c:v>45645</c:v>
                </c:pt>
                <c:pt idx="121">
                  <c:v>45646</c:v>
                </c:pt>
                <c:pt idx="122">
                  <c:v>45649</c:v>
                </c:pt>
                <c:pt idx="123">
                  <c:v>45650</c:v>
                </c:pt>
                <c:pt idx="124">
                  <c:v>45652</c:v>
                </c:pt>
                <c:pt idx="125">
                  <c:v>45653</c:v>
                </c:pt>
                <c:pt idx="126">
                  <c:v>45656</c:v>
                </c:pt>
                <c:pt idx="127">
                  <c:v>45657</c:v>
                </c:pt>
                <c:pt idx="128">
                  <c:v>45659</c:v>
                </c:pt>
                <c:pt idx="129">
                  <c:v>45660</c:v>
                </c:pt>
                <c:pt idx="130">
                  <c:v>45663</c:v>
                </c:pt>
                <c:pt idx="131">
                  <c:v>45664</c:v>
                </c:pt>
                <c:pt idx="132">
                  <c:v>45665</c:v>
                </c:pt>
                <c:pt idx="133">
                  <c:v>45667</c:v>
                </c:pt>
                <c:pt idx="134">
                  <c:v>45670</c:v>
                </c:pt>
                <c:pt idx="135">
                  <c:v>45671</c:v>
                </c:pt>
                <c:pt idx="136">
                  <c:v>45672</c:v>
                </c:pt>
                <c:pt idx="137">
                  <c:v>45673</c:v>
                </c:pt>
                <c:pt idx="138">
                  <c:v>45674</c:v>
                </c:pt>
                <c:pt idx="139">
                  <c:v>45678</c:v>
                </c:pt>
                <c:pt idx="140">
                  <c:v>45679</c:v>
                </c:pt>
                <c:pt idx="141">
                  <c:v>45680</c:v>
                </c:pt>
                <c:pt idx="142">
                  <c:v>45681</c:v>
                </c:pt>
                <c:pt idx="143">
                  <c:v>45684</c:v>
                </c:pt>
                <c:pt idx="144">
                  <c:v>45685</c:v>
                </c:pt>
                <c:pt idx="145">
                  <c:v>45686</c:v>
                </c:pt>
                <c:pt idx="146">
                  <c:v>45687</c:v>
                </c:pt>
                <c:pt idx="147">
                  <c:v>45688</c:v>
                </c:pt>
                <c:pt idx="148">
                  <c:v>45691</c:v>
                </c:pt>
                <c:pt idx="149">
                  <c:v>45692</c:v>
                </c:pt>
                <c:pt idx="150">
                  <c:v>45693</c:v>
                </c:pt>
                <c:pt idx="151">
                  <c:v>45694</c:v>
                </c:pt>
                <c:pt idx="152">
                  <c:v>45695</c:v>
                </c:pt>
                <c:pt idx="153">
                  <c:v>45698</c:v>
                </c:pt>
                <c:pt idx="154">
                  <c:v>45699</c:v>
                </c:pt>
                <c:pt idx="155">
                  <c:v>45700</c:v>
                </c:pt>
                <c:pt idx="156">
                  <c:v>45701</c:v>
                </c:pt>
                <c:pt idx="157">
                  <c:v>45702</c:v>
                </c:pt>
                <c:pt idx="158">
                  <c:v>45706</c:v>
                </c:pt>
                <c:pt idx="159">
                  <c:v>45707</c:v>
                </c:pt>
                <c:pt idx="160">
                  <c:v>45708</c:v>
                </c:pt>
                <c:pt idx="161">
                  <c:v>45709</c:v>
                </c:pt>
                <c:pt idx="162">
                  <c:v>45712</c:v>
                </c:pt>
                <c:pt idx="163">
                  <c:v>45713</c:v>
                </c:pt>
                <c:pt idx="164">
                  <c:v>45714</c:v>
                </c:pt>
                <c:pt idx="165">
                  <c:v>45715</c:v>
                </c:pt>
                <c:pt idx="166">
                  <c:v>45716</c:v>
                </c:pt>
                <c:pt idx="167">
                  <c:v>45719</c:v>
                </c:pt>
                <c:pt idx="168">
                  <c:v>45720</c:v>
                </c:pt>
                <c:pt idx="169">
                  <c:v>45721</c:v>
                </c:pt>
                <c:pt idx="170">
                  <c:v>45722</c:v>
                </c:pt>
                <c:pt idx="171">
                  <c:v>45723</c:v>
                </c:pt>
                <c:pt idx="172">
                  <c:v>45726</c:v>
                </c:pt>
                <c:pt idx="173">
                  <c:v>45727</c:v>
                </c:pt>
                <c:pt idx="174">
                  <c:v>45728</c:v>
                </c:pt>
                <c:pt idx="175">
                  <c:v>45729</c:v>
                </c:pt>
                <c:pt idx="176">
                  <c:v>45730</c:v>
                </c:pt>
                <c:pt idx="177">
                  <c:v>45733</c:v>
                </c:pt>
                <c:pt idx="178">
                  <c:v>45734</c:v>
                </c:pt>
                <c:pt idx="179">
                  <c:v>45735</c:v>
                </c:pt>
                <c:pt idx="180">
                  <c:v>45736</c:v>
                </c:pt>
                <c:pt idx="181">
                  <c:v>45737</c:v>
                </c:pt>
                <c:pt idx="182">
                  <c:v>45740</c:v>
                </c:pt>
                <c:pt idx="183">
                  <c:v>45741</c:v>
                </c:pt>
                <c:pt idx="184">
                  <c:v>45742</c:v>
                </c:pt>
                <c:pt idx="185">
                  <c:v>45743</c:v>
                </c:pt>
                <c:pt idx="186">
                  <c:v>45744</c:v>
                </c:pt>
                <c:pt idx="187">
                  <c:v>45747</c:v>
                </c:pt>
              </c:numCache>
            </c:numRef>
          </c:cat>
          <c:val>
            <c:numRef>
              <c:f>MACD!$B$5:$B$192</c:f>
              <c:numCache>
                <c:formatCode>General</c:formatCode>
                <c:ptCount val="188"/>
                <c:pt idx="0">
                  <c:v>216.75</c:v>
                </c:pt>
                <c:pt idx="1">
                  <c:v>220.27</c:v>
                </c:pt>
                <c:pt idx="2">
                  <c:v>221.55</c:v>
                </c:pt>
                <c:pt idx="3">
                  <c:v>226.34</c:v>
                </c:pt>
                <c:pt idx="4">
                  <c:v>227.82</c:v>
                </c:pt>
                <c:pt idx="5">
                  <c:v>228.68</c:v>
                </c:pt>
                <c:pt idx="6">
                  <c:v>232.98</c:v>
                </c:pt>
                <c:pt idx="7">
                  <c:v>227.57</c:v>
                </c:pt>
                <c:pt idx="8">
                  <c:v>230.54</c:v>
                </c:pt>
                <c:pt idx="9">
                  <c:v>234.4</c:v>
                </c:pt>
                <c:pt idx="10">
                  <c:v>234.82</c:v>
                </c:pt>
                <c:pt idx="11">
                  <c:v>228.88</c:v>
                </c:pt>
                <c:pt idx="12">
                  <c:v>224.18</c:v>
                </c:pt>
                <c:pt idx="13">
                  <c:v>224.31</c:v>
                </c:pt>
                <c:pt idx="14">
                  <c:v>223.96</c:v>
                </c:pt>
                <c:pt idx="15">
                  <c:v>225.01</c:v>
                </c:pt>
                <c:pt idx="16">
                  <c:v>218.54</c:v>
                </c:pt>
                <c:pt idx="17">
                  <c:v>217.49</c:v>
                </c:pt>
                <c:pt idx="18">
                  <c:v>217.96</c:v>
                </c:pt>
                <c:pt idx="19">
                  <c:v>218.24</c:v>
                </c:pt>
                <c:pt idx="20">
                  <c:v>218.8</c:v>
                </c:pt>
                <c:pt idx="21">
                  <c:v>222.08</c:v>
                </c:pt>
                <c:pt idx="22">
                  <c:v>218.36</c:v>
                </c:pt>
                <c:pt idx="23">
                  <c:v>219.86</c:v>
                </c:pt>
                <c:pt idx="24">
                  <c:v>209.27</c:v>
                </c:pt>
                <c:pt idx="25">
                  <c:v>207.23</c:v>
                </c:pt>
                <c:pt idx="26">
                  <c:v>209.82</c:v>
                </c:pt>
                <c:pt idx="27">
                  <c:v>213.31</c:v>
                </c:pt>
                <c:pt idx="28">
                  <c:v>216.24</c:v>
                </c:pt>
                <c:pt idx="29">
                  <c:v>217.53</c:v>
                </c:pt>
                <c:pt idx="30">
                  <c:v>221.27</c:v>
                </c:pt>
                <c:pt idx="31">
                  <c:v>221.72</c:v>
                </c:pt>
                <c:pt idx="32">
                  <c:v>224.72</c:v>
                </c:pt>
                <c:pt idx="33">
                  <c:v>226.05</c:v>
                </c:pt>
                <c:pt idx="34">
                  <c:v>225.89</c:v>
                </c:pt>
                <c:pt idx="35">
                  <c:v>226.51</c:v>
                </c:pt>
                <c:pt idx="36">
                  <c:v>226.4</c:v>
                </c:pt>
                <c:pt idx="37">
                  <c:v>224.53</c:v>
                </c:pt>
                <c:pt idx="38">
                  <c:v>226.84</c:v>
                </c:pt>
                <c:pt idx="39">
                  <c:v>227.18</c:v>
                </c:pt>
                <c:pt idx="40">
                  <c:v>228.03</c:v>
                </c:pt>
                <c:pt idx="41">
                  <c:v>226.49</c:v>
                </c:pt>
                <c:pt idx="42">
                  <c:v>229.79</c:v>
                </c:pt>
                <c:pt idx="43">
                  <c:v>229</c:v>
                </c:pt>
                <c:pt idx="44">
                  <c:v>222.77</c:v>
                </c:pt>
                <c:pt idx="45">
                  <c:v>220.85</c:v>
                </c:pt>
                <c:pt idx="46">
                  <c:v>222.38</c:v>
                </c:pt>
                <c:pt idx="47">
                  <c:v>220.82</c:v>
                </c:pt>
                <c:pt idx="48">
                  <c:v>220.91</c:v>
                </c:pt>
                <c:pt idx="49">
                  <c:v>220.11</c:v>
                </c:pt>
                <c:pt idx="50">
                  <c:v>222.66</c:v>
                </c:pt>
                <c:pt idx="51">
                  <c:v>222.77</c:v>
                </c:pt>
                <c:pt idx="52">
                  <c:v>222.5</c:v>
                </c:pt>
                <c:pt idx="53">
                  <c:v>216.32</c:v>
                </c:pt>
                <c:pt idx="54">
                  <c:v>216.79</c:v>
                </c:pt>
                <c:pt idx="55">
                  <c:v>220.69</c:v>
                </c:pt>
                <c:pt idx="56">
                  <c:v>228.87</c:v>
                </c:pt>
                <c:pt idx="57">
                  <c:v>228.2</c:v>
                </c:pt>
                <c:pt idx="58">
                  <c:v>226.47</c:v>
                </c:pt>
                <c:pt idx="59">
                  <c:v>227.37</c:v>
                </c:pt>
                <c:pt idx="60">
                  <c:v>226.37</c:v>
                </c:pt>
                <c:pt idx="61">
                  <c:v>227.52</c:v>
                </c:pt>
                <c:pt idx="62">
                  <c:v>227.79</c:v>
                </c:pt>
                <c:pt idx="63">
                  <c:v>233</c:v>
                </c:pt>
                <c:pt idx="64">
                  <c:v>226.21</c:v>
                </c:pt>
                <c:pt idx="65">
                  <c:v>226.78</c:v>
                </c:pt>
                <c:pt idx="66">
                  <c:v>225.67</c:v>
                </c:pt>
                <c:pt idx="67">
                  <c:v>226.8</c:v>
                </c:pt>
                <c:pt idx="68">
                  <c:v>221.69</c:v>
                </c:pt>
                <c:pt idx="69">
                  <c:v>225.77</c:v>
                </c:pt>
                <c:pt idx="70">
                  <c:v>229.54</c:v>
                </c:pt>
                <c:pt idx="71">
                  <c:v>229.04</c:v>
                </c:pt>
                <c:pt idx="72">
                  <c:v>227.55</c:v>
                </c:pt>
                <c:pt idx="73">
                  <c:v>231.3</c:v>
                </c:pt>
                <c:pt idx="74">
                  <c:v>233.85</c:v>
                </c:pt>
                <c:pt idx="75">
                  <c:v>231.78</c:v>
                </c:pt>
                <c:pt idx="76">
                  <c:v>232.15</c:v>
                </c:pt>
                <c:pt idx="77">
                  <c:v>235</c:v>
                </c:pt>
                <c:pt idx="78">
                  <c:v>236.48</c:v>
                </c:pt>
                <c:pt idx="79">
                  <c:v>235.86</c:v>
                </c:pt>
                <c:pt idx="80">
                  <c:v>230.76</c:v>
                </c:pt>
                <c:pt idx="81">
                  <c:v>230.57</c:v>
                </c:pt>
                <c:pt idx="82">
                  <c:v>231.41</c:v>
                </c:pt>
                <c:pt idx="83">
                  <c:v>233.4</c:v>
                </c:pt>
                <c:pt idx="84">
                  <c:v>233.67</c:v>
                </c:pt>
                <c:pt idx="85">
                  <c:v>230.1</c:v>
                </c:pt>
                <c:pt idx="86">
                  <c:v>225.91</c:v>
                </c:pt>
                <c:pt idx="87">
                  <c:v>222.91</c:v>
                </c:pt>
                <c:pt idx="88">
                  <c:v>222.01</c:v>
                </c:pt>
                <c:pt idx="89">
                  <c:v>223.45</c:v>
                </c:pt>
                <c:pt idx="90">
                  <c:v>222.72</c:v>
                </c:pt>
                <c:pt idx="91">
                  <c:v>227.48</c:v>
                </c:pt>
                <c:pt idx="92">
                  <c:v>226.96</c:v>
                </c:pt>
                <c:pt idx="93">
                  <c:v>224.23</c:v>
                </c:pt>
                <c:pt idx="94">
                  <c:v>224.23</c:v>
                </c:pt>
                <c:pt idx="95">
                  <c:v>225.12</c:v>
                </c:pt>
                <c:pt idx="96">
                  <c:v>228.22</c:v>
                </c:pt>
                <c:pt idx="97">
                  <c:v>225</c:v>
                </c:pt>
                <c:pt idx="98">
                  <c:v>228.02</c:v>
                </c:pt>
                <c:pt idx="99">
                  <c:v>228.28</c:v>
                </c:pt>
                <c:pt idx="100">
                  <c:v>229</c:v>
                </c:pt>
                <c:pt idx="101">
                  <c:v>228.52</c:v>
                </c:pt>
                <c:pt idx="102">
                  <c:v>229.87</c:v>
                </c:pt>
                <c:pt idx="103">
                  <c:v>232.87</c:v>
                </c:pt>
                <c:pt idx="104">
                  <c:v>235.06</c:v>
                </c:pt>
                <c:pt idx="105">
                  <c:v>234.93</c:v>
                </c:pt>
                <c:pt idx="106">
                  <c:v>237.33</c:v>
                </c:pt>
                <c:pt idx="107">
                  <c:v>239.59</c:v>
                </c:pt>
                <c:pt idx="108">
                  <c:v>242.65</c:v>
                </c:pt>
                <c:pt idx="109">
                  <c:v>243.01</c:v>
                </c:pt>
                <c:pt idx="110">
                  <c:v>243.04</c:v>
                </c:pt>
                <c:pt idx="111">
                  <c:v>242.84</c:v>
                </c:pt>
                <c:pt idx="112">
                  <c:v>246.75</c:v>
                </c:pt>
                <c:pt idx="113">
                  <c:v>247.77</c:v>
                </c:pt>
                <c:pt idx="114">
                  <c:v>246.49</c:v>
                </c:pt>
                <c:pt idx="115">
                  <c:v>247.96</c:v>
                </c:pt>
                <c:pt idx="116">
                  <c:v>248.13</c:v>
                </c:pt>
                <c:pt idx="117">
                  <c:v>251.04</c:v>
                </c:pt>
                <c:pt idx="118">
                  <c:v>253.48</c:v>
                </c:pt>
                <c:pt idx="119">
                  <c:v>248.05</c:v>
                </c:pt>
                <c:pt idx="120">
                  <c:v>249.79</c:v>
                </c:pt>
                <c:pt idx="121">
                  <c:v>254.49</c:v>
                </c:pt>
                <c:pt idx="122">
                  <c:v>255.27</c:v>
                </c:pt>
                <c:pt idx="123">
                  <c:v>258.2</c:v>
                </c:pt>
                <c:pt idx="124">
                  <c:v>259.02</c:v>
                </c:pt>
                <c:pt idx="125">
                  <c:v>255.59</c:v>
                </c:pt>
                <c:pt idx="126">
                  <c:v>252.2</c:v>
                </c:pt>
                <c:pt idx="127">
                  <c:v>250.42</c:v>
                </c:pt>
                <c:pt idx="128">
                  <c:v>243.85</c:v>
                </c:pt>
                <c:pt idx="129">
                  <c:v>243.36</c:v>
                </c:pt>
                <c:pt idx="130">
                  <c:v>245</c:v>
                </c:pt>
                <c:pt idx="131">
                  <c:v>242.21</c:v>
                </c:pt>
                <c:pt idx="132">
                  <c:v>242.7</c:v>
                </c:pt>
                <c:pt idx="133">
                  <c:v>236.85</c:v>
                </c:pt>
                <c:pt idx="134">
                  <c:v>234.4</c:v>
                </c:pt>
                <c:pt idx="135">
                  <c:v>233.28</c:v>
                </c:pt>
                <c:pt idx="136">
                  <c:v>237.87</c:v>
                </c:pt>
                <c:pt idx="137">
                  <c:v>228.26</c:v>
                </c:pt>
                <c:pt idx="138">
                  <c:v>229.98</c:v>
                </c:pt>
                <c:pt idx="139">
                  <c:v>222.64</c:v>
                </c:pt>
                <c:pt idx="140">
                  <c:v>223.83</c:v>
                </c:pt>
                <c:pt idx="141">
                  <c:v>223.66</c:v>
                </c:pt>
                <c:pt idx="142">
                  <c:v>222.78</c:v>
                </c:pt>
                <c:pt idx="143">
                  <c:v>229.86</c:v>
                </c:pt>
                <c:pt idx="144">
                  <c:v>238.26</c:v>
                </c:pt>
                <c:pt idx="145">
                  <c:v>239.36</c:v>
                </c:pt>
                <c:pt idx="146">
                  <c:v>237.59</c:v>
                </c:pt>
                <c:pt idx="147">
                  <c:v>236</c:v>
                </c:pt>
                <c:pt idx="148">
                  <c:v>228.01</c:v>
                </c:pt>
                <c:pt idx="149">
                  <c:v>232.8</c:v>
                </c:pt>
                <c:pt idx="150">
                  <c:v>232.47</c:v>
                </c:pt>
                <c:pt idx="151">
                  <c:v>233.22</c:v>
                </c:pt>
                <c:pt idx="152">
                  <c:v>227.63</c:v>
                </c:pt>
                <c:pt idx="153">
                  <c:v>227.65</c:v>
                </c:pt>
                <c:pt idx="154">
                  <c:v>232.62</c:v>
                </c:pt>
                <c:pt idx="155">
                  <c:v>236.87</c:v>
                </c:pt>
                <c:pt idx="156">
                  <c:v>241.53</c:v>
                </c:pt>
                <c:pt idx="157">
                  <c:v>244.6</c:v>
                </c:pt>
                <c:pt idx="158">
                  <c:v>244.47</c:v>
                </c:pt>
                <c:pt idx="159">
                  <c:v>244.87</c:v>
                </c:pt>
                <c:pt idx="160">
                  <c:v>245.83</c:v>
                </c:pt>
                <c:pt idx="161">
                  <c:v>245.55</c:v>
                </c:pt>
                <c:pt idx="162">
                  <c:v>247.1</c:v>
                </c:pt>
                <c:pt idx="163">
                  <c:v>247.04</c:v>
                </c:pt>
                <c:pt idx="164">
                  <c:v>240.36</c:v>
                </c:pt>
                <c:pt idx="165">
                  <c:v>237.3</c:v>
                </c:pt>
                <c:pt idx="166">
                  <c:v>241.84</c:v>
                </c:pt>
                <c:pt idx="167">
                  <c:v>238.03</c:v>
                </c:pt>
                <c:pt idx="168">
                  <c:v>235.93</c:v>
                </c:pt>
                <c:pt idx="169">
                  <c:v>235.74</c:v>
                </c:pt>
                <c:pt idx="170">
                  <c:v>235.33</c:v>
                </c:pt>
                <c:pt idx="171">
                  <c:v>239.07</c:v>
                </c:pt>
                <c:pt idx="172">
                  <c:v>227.48</c:v>
                </c:pt>
                <c:pt idx="173">
                  <c:v>220.84</c:v>
                </c:pt>
                <c:pt idx="174">
                  <c:v>216.98</c:v>
                </c:pt>
                <c:pt idx="175">
                  <c:v>209.68</c:v>
                </c:pt>
                <c:pt idx="176">
                  <c:v>213.49</c:v>
                </c:pt>
                <c:pt idx="177">
                  <c:v>214</c:v>
                </c:pt>
                <c:pt idx="178">
                  <c:v>212.69</c:v>
                </c:pt>
                <c:pt idx="179">
                  <c:v>215.24</c:v>
                </c:pt>
                <c:pt idx="180">
                  <c:v>214.1</c:v>
                </c:pt>
                <c:pt idx="181">
                  <c:v>218.27</c:v>
                </c:pt>
                <c:pt idx="182">
                  <c:v>220.73</c:v>
                </c:pt>
                <c:pt idx="183">
                  <c:v>223.75</c:v>
                </c:pt>
                <c:pt idx="184">
                  <c:v>221.53</c:v>
                </c:pt>
                <c:pt idx="185">
                  <c:v>223.85</c:v>
                </c:pt>
                <c:pt idx="186">
                  <c:v>217.9</c:v>
                </c:pt>
                <c:pt idx="187">
                  <c:v>222.13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DF-7247-A0C4-CE3E57BC0DD2}"/>
            </c:ext>
          </c:extLst>
        </c:ser>
        <c:ser>
          <c:idx val="1"/>
          <c:order val="1"/>
          <c:tx>
            <c:strRef>
              <c:f>MACD!$D$4</c:f>
              <c:strCache>
                <c:ptCount val="1"/>
                <c:pt idx="0">
                  <c:v>12-Day EMA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MACD!$A$5:$A$192</c:f>
              <c:numCache>
                <c:formatCode>m/d/yy</c:formatCode>
                <c:ptCount val="188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45478</c:v>
                </c:pt>
                <c:pt idx="4">
                  <c:v>45481</c:v>
                </c:pt>
                <c:pt idx="5">
                  <c:v>45482</c:v>
                </c:pt>
                <c:pt idx="6">
                  <c:v>45483</c:v>
                </c:pt>
                <c:pt idx="7">
                  <c:v>45484</c:v>
                </c:pt>
                <c:pt idx="8">
                  <c:v>45485</c:v>
                </c:pt>
                <c:pt idx="9">
                  <c:v>45488</c:v>
                </c:pt>
                <c:pt idx="10">
                  <c:v>45489</c:v>
                </c:pt>
                <c:pt idx="11">
                  <c:v>45490</c:v>
                </c:pt>
                <c:pt idx="12">
                  <c:v>45491</c:v>
                </c:pt>
                <c:pt idx="13">
                  <c:v>45492</c:v>
                </c:pt>
                <c:pt idx="14">
                  <c:v>45495</c:v>
                </c:pt>
                <c:pt idx="15">
                  <c:v>45496</c:v>
                </c:pt>
                <c:pt idx="16">
                  <c:v>45497</c:v>
                </c:pt>
                <c:pt idx="17">
                  <c:v>45498</c:v>
                </c:pt>
                <c:pt idx="18">
                  <c:v>45499</c:v>
                </c:pt>
                <c:pt idx="19">
                  <c:v>45502</c:v>
                </c:pt>
                <c:pt idx="20">
                  <c:v>45503</c:v>
                </c:pt>
                <c:pt idx="21">
                  <c:v>45504</c:v>
                </c:pt>
                <c:pt idx="22">
                  <c:v>45505</c:v>
                </c:pt>
                <c:pt idx="23">
                  <c:v>45506</c:v>
                </c:pt>
                <c:pt idx="24">
                  <c:v>45509</c:v>
                </c:pt>
                <c:pt idx="25">
                  <c:v>45510</c:v>
                </c:pt>
                <c:pt idx="26">
                  <c:v>45511</c:v>
                </c:pt>
                <c:pt idx="27">
                  <c:v>45512</c:v>
                </c:pt>
                <c:pt idx="28">
                  <c:v>45513</c:v>
                </c:pt>
                <c:pt idx="29">
                  <c:v>45516</c:v>
                </c:pt>
                <c:pt idx="30">
                  <c:v>45517</c:v>
                </c:pt>
                <c:pt idx="31">
                  <c:v>45518</c:v>
                </c:pt>
                <c:pt idx="32">
                  <c:v>45519</c:v>
                </c:pt>
                <c:pt idx="33">
                  <c:v>45520</c:v>
                </c:pt>
                <c:pt idx="34">
                  <c:v>45523</c:v>
                </c:pt>
                <c:pt idx="35">
                  <c:v>45524</c:v>
                </c:pt>
                <c:pt idx="36">
                  <c:v>45525</c:v>
                </c:pt>
                <c:pt idx="37">
                  <c:v>45526</c:v>
                </c:pt>
                <c:pt idx="38">
                  <c:v>45527</c:v>
                </c:pt>
                <c:pt idx="39">
                  <c:v>45530</c:v>
                </c:pt>
                <c:pt idx="40">
                  <c:v>45531</c:v>
                </c:pt>
                <c:pt idx="41">
                  <c:v>45532</c:v>
                </c:pt>
                <c:pt idx="42">
                  <c:v>45533</c:v>
                </c:pt>
                <c:pt idx="43">
                  <c:v>45534</c:v>
                </c:pt>
                <c:pt idx="44">
                  <c:v>45538</c:v>
                </c:pt>
                <c:pt idx="45">
                  <c:v>45539</c:v>
                </c:pt>
                <c:pt idx="46">
                  <c:v>45540</c:v>
                </c:pt>
                <c:pt idx="47">
                  <c:v>45541</c:v>
                </c:pt>
                <c:pt idx="48">
                  <c:v>45544</c:v>
                </c:pt>
                <c:pt idx="49">
                  <c:v>45545</c:v>
                </c:pt>
                <c:pt idx="50">
                  <c:v>45546</c:v>
                </c:pt>
                <c:pt idx="51">
                  <c:v>45547</c:v>
                </c:pt>
                <c:pt idx="52">
                  <c:v>45548</c:v>
                </c:pt>
                <c:pt idx="53">
                  <c:v>45551</c:v>
                </c:pt>
                <c:pt idx="54">
                  <c:v>45552</c:v>
                </c:pt>
                <c:pt idx="55">
                  <c:v>45553</c:v>
                </c:pt>
                <c:pt idx="56">
                  <c:v>45554</c:v>
                </c:pt>
                <c:pt idx="57">
                  <c:v>45555</c:v>
                </c:pt>
                <c:pt idx="58">
                  <c:v>45558</c:v>
                </c:pt>
                <c:pt idx="59">
                  <c:v>45559</c:v>
                </c:pt>
                <c:pt idx="60">
                  <c:v>45560</c:v>
                </c:pt>
                <c:pt idx="61">
                  <c:v>45561</c:v>
                </c:pt>
                <c:pt idx="62">
                  <c:v>45562</c:v>
                </c:pt>
                <c:pt idx="63">
                  <c:v>45565</c:v>
                </c:pt>
                <c:pt idx="64">
                  <c:v>45566</c:v>
                </c:pt>
                <c:pt idx="65">
                  <c:v>45567</c:v>
                </c:pt>
                <c:pt idx="66">
                  <c:v>45568</c:v>
                </c:pt>
                <c:pt idx="67">
                  <c:v>45569</c:v>
                </c:pt>
                <c:pt idx="68">
                  <c:v>45572</c:v>
                </c:pt>
                <c:pt idx="69">
                  <c:v>45573</c:v>
                </c:pt>
                <c:pt idx="70">
                  <c:v>45574</c:v>
                </c:pt>
                <c:pt idx="71">
                  <c:v>45575</c:v>
                </c:pt>
                <c:pt idx="72">
                  <c:v>45576</c:v>
                </c:pt>
                <c:pt idx="73">
                  <c:v>45579</c:v>
                </c:pt>
                <c:pt idx="74">
                  <c:v>45580</c:v>
                </c:pt>
                <c:pt idx="75">
                  <c:v>45581</c:v>
                </c:pt>
                <c:pt idx="76">
                  <c:v>45582</c:v>
                </c:pt>
                <c:pt idx="77">
                  <c:v>45583</c:v>
                </c:pt>
                <c:pt idx="78">
                  <c:v>45586</c:v>
                </c:pt>
                <c:pt idx="79">
                  <c:v>45587</c:v>
                </c:pt>
                <c:pt idx="80">
                  <c:v>45588</c:v>
                </c:pt>
                <c:pt idx="81">
                  <c:v>45589</c:v>
                </c:pt>
                <c:pt idx="82">
                  <c:v>45590</c:v>
                </c:pt>
                <c:pt idx="83">
                  <c:v>45593</c:v>
                </c:pt>
                <c:pt idx="84">
                  <c:v>45594</c:v>
                </c:pt>
                <c:pt idx="85">
                  <c:v>45595</c:v>
                </c:pt>
                <c:pt idx="86">
                  <c:v>45596</c:v>
                </c:pt>
                <c:pt idx="87">
                  <c:v>45597</c:v>
                </c:pt>
                <c:pt idx="88">
                  <c:v>45600</c:v>
                </c:pt>
                <c:pt idx="89">
                  <c:v>45601</c:v>
                </c:pt>
                <c:pt idx="90">
                  <c:v>45602</c:v>
                </c:pt>
                <c:pt idx="91">
                  <c:v>45603</c:v>
                </c:pt>
                <c:pt idx="92">
                  <c:v>45604</c:v>
                </c:pt>
                <c:pt idx="93">
                  <c:v>45607</c:v>
                </c:pt>
                <c:pt idx="94">
                  <c:v>45608</c:v>
                </c:pt>
                <c:pt idx="95">
                  <c:v>45609</c:v>
                </c:pt>
                <c:pt idx="96">
                  <c:v>45610</c:v>
                </c:pt>
                <c:pt idx="97">
                  <c:v>45611</c:v>
                </c:pt>
                <c:pt idx="98">
                  <c:v>45614</c:v>
                </c:pt>
                <c:pt idx="99">
                  <c:v>45615</c:v>
                </c:pt>
                <c:pt idx="100">
                  <c:v>45616</c:v>
                </c:pt>
                <c:pt idx="101">
                  <c:v>45617</c:v>
                </c:pt>
                <c:pt idx="102">
                  <c:v>45618</c:v>
                </c:pt>
                <c:pt idx="103">
                  <c:v>45621</c:v>
                </c:pt>
                <c:pt idx="104">
                  <c:v>45622</c:v>
                </c:pt>
                <c:pt idx="105">
                  <c:v>45623</c:v>
                </c:pt>
                <c:pt idx="106">
                  <c:v>45625</c:v>
                </c:pt>
                <c:pt idx="107">
                  <c:v>45628</c:v>
                </c:pt>
                <c:pt idx="108">
                  <c:v>45629</c:v>
                </c:pt>
                <c:pt idx="109">
                  <c:v>45630</c:v>
                </c:pt>
                <c:pt idx="110">
                  <c:v>45631</c:v>
                </c:pt>
                <c:pt idx="111">
                  <c:v>45632</c:v>
                </c:pt>
                <c:pt idx="112">
                  <c:v>45635</c:v>
                </c:pt>
                <c:pt idx="113">
                  <c:v>45636</c:v>
                </c:pt>
                <c:pt idx="114">
                  <c:v>45637</c:v>
                </c:pt>
                <c:pt idx="115">
                  <c:v>45638</c:v>
                </c:pt>
                <c:pt idx="116">
                  <c:v>45639</c:v>
                </c:pt>
                <c:pt idx="117">
                  <c:v>45642</c:v>
                </c:pt>
                <c:pt idx="118">
                  <c:v>45643</c:v>
                </c:pt>
                <c:pt idx="119">
                  <c:v>45644</c:v>
                </c:pt>
                <c:pt idx="120">
                  <c:v>45645</c:v>
                </c:pt>
                <c:pt idx="121">
                  <c:v>45646</c:v>
                </c:pt>
                <c:pt idx="122">
                  <c:v>45649</c:v>
                </c:pt>
                <c:pt idx="123">
                  <c:v>45650</c:v>
                </c:pt>
                <c:pt idx="124">
                  <c:v>45652</c:v>
                </c:pt>
                <c:pt idx="125">
                  <c:v>45653</c:v>
                </c:pt>
                <c:pt idx="126">
                  <c:v>45656</c:v>
                </c:pt>
                <c:pt idx="127">
                  <c:v>45657</c:v>
                </c:pt>
                <c:pt idx="128">
                  <c:v>45659</c:v>
                </c:pt>
                <c:pt idx="129">
                  <c:v>45660</c:v>
                </c:pt>
                <c:pt idx="130">
                  <c:v>45663</c:v>
                </c:pt>
                <c:pt idx="131">
                  <c:v>45664</c:v>
                </c:pt>
                <c:pt idx="132">
                  <c:v>45665</c:v>
                </c:pt>
                <c:pt idx="133">
                  <c:v>45667</c:v>
                </c:pt>
                <c:pt idx="134">
                  <c:v>45670</c:v>
                </c:pt>
                <c:pt idx="135">
                  <c:v>45671</c:v>
                </c:pt>
                <c:pt idx="136">
                  <c:v>45672</c:v>
                </c:pt>
                <c:pt idx="137">
                  <c:v>45673</c:v>
                </c:pt>
                <c:pt idx="138">
                  <c:v>45674</c:v>
                </c:pt>
                <c:pt idx="139">
                  <c:v>45678</c:v>
                </c:pt>
                <c:pt idx="140">
                  <c:v>45679</c:v>
                </c:pt>
                <c:pt idx="141">
                  <c:v>45680</c:v>
                </c:pt>
                <c:pt idx="142">
                  <c:v>45681</c:v>
                </c:pt>
                <c:pt idx="143">
                  <c:v>45684</c:v>
                </c:pt>
                <c:pt idx="144">
                  <c:v>45685</c:v>
                </c:pt>
                <c:pt idx="145">
                  <c:v>45686</c:v>
                </c:pt>
                <c:pt idx="146">
                  <c:v>45687</c:v>
                </c:pt>
                <c:pt idx="147">
                  <c:v>45688</c:v>
                </c:pt>
                <c:pt idx="148">
                  <c:v>45691</c:v>
                </c:pt>
                <c:pt idx="149">
                  <c:v>45692</c:v>
                </c:pt>
                <c:pt idx="150">
                  <c:v>45693</c:v>
                </c:pt>
                <c:pt idx="151">
                  <c:v>45694</c:v>
                </c:pt>
                <c:pt idx="152">
                  <c:v>45695</c:v>
                </c:pt>
                <c:pt idx="153">
                  <c:v>45698</c:v>
                </c:pt>
                <c:pt idx="154">
                  <c:v>45699</c:v>
                </c:pt>
                <c:pt idx="155">
                  <c:v>45700</c:v>
                </c:pt>
                <c:pt idx="156">
                  <c:v>45701</c:v>
                </c:pt>
                <c:pt idx="157">
                  <c:v>45702</c:v>
                </c:pt>
                <c:pt idx="158">
                  <c:v>45706</c:v>
                </c:pt>
                <c:pt idx="159">
                  <c:v>45707</c:v>
                </c:pt>
                <c:pt idx="160">
                  <c:v>45708</c:v>
                </c:pt>
                <c:pt idx="161">
                  <c:v>45709</c:v>
                </c:pt>
                <c:pt idx="162">
                  <c:v>45712</c:v>
                </c:pt>
                <c:pt idx="163">
                  <c:v>45713</c:v>
                </c:pt>
                <c:pt idx="164">
                  <c:v>45714</c:v>
                </c:pt>
                <c:pt idx="165">
                  <c:v>45715</c:v>
                </c:pt>
                <c:pt idx="166">
                  <c:v>45716</c:v>
                </c:pt>
                <c:pt idx="167">
                  <c:v>45719</c:v>
                </c:pt>
                <c:pt idx="168">
                  <c:v>45720</c:v>
                </c:pt>
                <c:pt idx="169">
                  <c:v>45721</c:v>
                </c:pt>
                <c:pt idx="170">
                  <c:v>45722</c:v>
                </c:pt>
                <c:pt idx="171">
                  <c:v>45723</c:v>
                </c:pt>
                <c:pt idx="172">
                  <c:v>45726</c:v>
                </c:pt>
                <c:pt idx="173">
                  <c:v>45727</c:v>
                </c:pt>
                <c:pt idx="174">
                  <c:v>45728</c:v>
                </c:pt>
                <c:pt idx="175">
                  <c:v>45729</c:v>
                </c:pt>
                <c:pt idx="176">
                  <c:v>45730</c:v>
                </c:pt>
                <c:pt idx="177">
                  <c:v>45733</c:v>
                </c:pt>
                <c:pt idx="178">
                  <c:v>45734</c:v>
                </c:pt>
                <c:pt idx="179">
                  <c:v>45735</c:v>
                </c:pt>
                <c:pt idx="180">
                  <c:v>45736</c:v>
                </c:pt>
                <c:pt idx="181">
                  <c:v>45737</c:v>
                </c:pt>
                <c:pt idx="182">
                  <c:v>45740</c:v>
                </c:pt>
                <c:pt idx="183">
                  <c:v>45741</c:v>
                </c:pt>
                <c:pt idx="184">
                  <c:v>45742</c:v>
                </c:pt>
                <c:pt idx="185">
                  <c:v>45743</c:v>
                </c:pt>
                <c:pt idx="186">
                  <c:v>45744</c:v>
                </c:pt>
                <c:pt idx="187">
                  <c:v>45747</c:v>
                </c:pt>
              </c:numCache>
            </c:numRef>
          </c:cat>
          <c:val>
            <c:numRef>
              <c:f>MACD!$D$5:$D$192</c:f>
              <c:numCache>
                <c:formatCode>_-* #,##0.00_-;\-* #,##0.00_-;_-* "-"??_-;_-@_-</c:formatCode>
                <c:ptCount val="188"/>
                <c:pt idx="0">
                  <c:v>216.75</c:v>
                </c:pt>
                <c:pt idx="1">
                  <c:v>218.51</c:v>
                </c:pt>
                <c:pt idx="2">
                  <c:v>219.52333333333331</c:v>
                </c:pt>
                <c:pt idx="3">
                  <c:v>221.22749999999999</c:v>
                </c:pt>
                <c:pt idx="4">
                  <c:v>222.54599999999999</c:v>
                </c:pt>
                <c:pt idx="5">
                  <c:v>223.56833333333336</c:v>
                </c:pt>
                <c:pt idx="6">
                  <c:v>224.91285714285715</c:v>
                </c:pt>
                <c:pt idx="7">
                  <c:v>225.245</c:v>
                </c:pt>
                <c:pt idx="8">
                  <c:v>225.83333333333334</c:v>
                </c:pt>
                <c:pt idx="9">
                  <c:v>226.69</c:v>
                </c:pt>
                <c:pt idx="10">
                  <c:v>227.42909090909095</c:v>
                </c:pt>
                <c:pt idx="11">
                  <c:v>227.55000000000004</c:v>
                </c:pt>
                <c:pt idx="12">
                  <c:v>227.0315384615385</c:v>
                </c:pt>
                <c:pt idx="13">
                  <c:v>226.61284023668642</c:v>
                </c:pt>
                <c:pt idx="14">
                  <c:v>226.20471096950391</c:v>
                </c:pt>
                <c:pt idx="15">
                  <c:v>226.02090928188792</c:v>
                </c:pt>
                <c:pt idx="16">
                  <c:v>224.87000016159746</c:v>
                </c:pt>
                <c:pt idx="17">
                  <c:v>223.73461552135169</c:v>
                </c:pt>
                <c:pt idx="18">
                  <c:v>222.84621313345141</c:v>
                </c:pt>
                <c:pt idx="19">
                  <c:v>222.13756495907427</c:v>
                </c:pt>
                <c:pt idx="20">
                  <c:v>221.62409342690898</c:v>
                </c:pt>
                <c:pt idx="21">
                  <c:v>221.69423289969222</c:v>
                </c:pt>
                <c:pt idx="22">
                  <c:v>221.18127399204727</c:v>
                </c:pt>
                <c:pt idx="23">
                  <c:v>220.97800107019384</c:v>
                </c:pt>
                <c:pt idx="24">
                  <c:v>219.17677013631786</c:v>
                </c:pt>
                <c:pt idx="25">
                  <c:v>217.33880549996127</c:v>
                </c:pt>
                <c:pt idx="26">
                  <c:v>216.18206619227493</c:v>
                </c:pt>
                <c:pt idx="27">
                  <c:v>215.74020985500186</c:v>
                </c:pt>
                <c:pt idx="28">
                  <c:v>215.81710064654004</c:v>
                </c:pt>
                <c:pt idx="29">
                  <c:v>216.08062362399542</c:v>
                </c:pt>
                <c:pt idx="30">
                  <c:v>216.87898922030382</c:v>
                </c:pt>
                <c:pt idx="31">
                  <c:v>217.62376010948785</c:v>
                </c:pt>
                <c:pt idx="32">
                  <c:v>218.71548932341278</c:v>
                </c:pt>
                <c:pt idx="33">
                  <c:v>219.84387558134927</c:v>
                </c:pt>
                <c:pt idx="34">
                  <c:v>220.77404856883399</c:v>
                </c:pt>
                <c:pt idx="35">
                  <c:v>221.65650263516721</c:v>
                </c:pt>
                <c:pt idx="36">
                  <c:v>222.3862714605261</c:v>
                </c:pt>
                <c:pt idx="37">
                  <c:v>222.71607585121438</c:v>
                </c:pt>
                <c:pt idx="38">
                  <c:v>223.35052572025833</c:v>
                </c:pt>
                <c:pt idx="39">
                  <c:v>223.93967560944935</c:v>
                </c:pt>
                <c:pt idx="40">
                  <c:v>224.56895628491867</c:v>
                </c:pt>
                <c:pt idx="41">
                  <c:v>224.86450147185425</c:v>
                </c:pt>
                <c:pt idx="42">
                  <c:v>225.62227047618435</c:v>
                </c:pt>
                <c:pt idx="43">
                  <c:v>226.141921172156</c:v>
                </c:pt>
                <c:pt idx="44">
                  <c:v>225.6231640687474</c:v>
                </c:pt>
                <c:pt idx="45">
                  <c:v>224.88883113509397</c:v>
                </c:pt>
                <c:pt idx="46">
                  <c:v>224.50285711431027</c:v>
                </c:pt>
                <c:pt idx="47">
                  <c:v>223.93626371210868</c:v>
                </c:pt>
                <c:pt idx="48">
                  <c:v>223.47068467947659</c:v>
                </c:pt>
                <c:pt idx="49">
                  <c:v>222.95365626724941</c:v>
                </c:pt>
                <c:pt idx="50">
                  <c:v>222.90847837998027</c:v>
                </c:pt>
                <c:pt idx="51">
                  <c:v>222.88717401382945</c:v>
                </c:pt>
                <c:pt idx="52">
                  <c:v>222.82760878093262</c:v>
                </c:pt>
                <c:pt idx="53">
                  <c:v>221.82643819925067</c:v>
                </c:pt>
                <c:pt idx="54">
                  <c:v>221.05160155321209</c:v>
                </c:pt>
                <c:pt idx="55">
                  <c:v>220.99597054502561</c:v>
                </c:pt>
                <c:pt idx="56">
                  <c:v>222.20735969194476</c:v>
                </c:pt>
                <c:pt idx="57">
                  <c:v>223.12930435472248</c:v>
                </c:pt>
                <c:pt idx="58">
                  <c:v>223.64325753091902</c:v>
                </c:pt>
                <c:pt idx="59">
                  <c:v>224.21660252616223</c:v>
                </c:pt>
                <c:pt idx="60">
                  <c:v>224.54789444521421</c:v>
                </c:pt>
                <c:pt idx="61">
                  <c:v>225.00514145364281</c:v>
                </c:pt>
                <c:pt idx="62">
                  <c:v>225.43358123000544</c:v>
                </c:pt>
                <c:pt idx="63">
                  <c:v>226.59764565615845</c:v>
                </c:pt>
                <c:pt idx="64">
                  <c:v>226.5380078629033</c:v>
                </c:pt>
                <c:pt idx="65">
                  <c:v>226.57523742245664</c:v>
                </c:pt>
                <c:pt idx="66">
                  <c:v>226.43597012669409</c:v>
                </c:pt>
                <c:pt idx="67">
                  <c:v>226.49197472258732</c:v>
                </c:pt>
                <c:pt idx="68">
                  <c:v>225.75320938065082</c:v>
                </c:pt>
                <c:pt idx="69">
                  <c:v>225.7557925528584</c:v>
                </c:pt>
                <c:pt idx="70">
                  <c:v>226.33797831395711</c:v>
                </c:pt>
                <c:pt idx="71">
                  <c:v>226.75367395796371</c:v>
                </c:pt>
                <c:pt idx="72">
                  <c:v>226.87618565673853</c:v>
                </c:pt>
                <c:pt idx="73">
                  <c:v>227.55677247877875</c:v>
                </c:pt>
                <c:pt idx="74">
                  <c:v>228.52496132819741</c:v>
                </c:pt>
                <c:pt idx="75">
                  <c:v>229.02573650847472</c:v>
                </c:pt>
                <c:pt idx="76">
                  <c:v>229.50639243024784</c:v>
                </c:pt>
                <c:pt idx="77">
                  <c:v>230.35156282559433</c:v>
                </c:pt>
                <c:pt idx="78">
                  <c:v>231.29439931396442</c:v>
                </c:pt>
                <c:pt idx="79">
                  <c:v>231.99679941950836</c:v>
                </c:pt>
                <c:pt idx="80">
                  <c:v>231.80652258573784</c:v>
                </c:pt>
                <c:pt idx="81">
                  <c:v>231.61628834177816</c:v>
                </c:pt>
                <c:pt idx="82">
                  <c:v>231.58455167381229</c:v>
                </c:pt>
                <c:pt idx="83">
                  <c:v>231.86385141630271</c:v>
                </c:pt>
                <c:pt idx="84">
                  <c:v>232.1417204291792</c:v>
                </c:pt>
                <c:pt idx="85">
                  <c:v>231.82760959392087</c:v>
                </c:pt>
                <c:pt idx="86">
                  <c:v>230.91720811793303</c:v>
                </c:pt>
                <c:pt idx="87">
                  <c:v>229.68532994594332</c:v>
                </c:pt>
                <c:pt idx="88">
                  <c:v>228.50450995425973</c:v>
                </c:pt>
                <c:pt idx="89">
                  <c:v>227.72689303821977</c:v>
                </c:pt>
                <c:pt idx="90">
                  <c:v>226.95660180157057</c:v>
                </c:pt>
                <c:pt idx="91">
                  <c:v>227.03712460132894</c:v>
                </c:pt>
                <c:pt idx="92">
                  <c:v>227.02525927804757</c:v>
                </c:pt>
                <c:pt idx="93">
                  <c:v>226.59521938911718</c:v>
                </c:pt>
                <c:pt idx="94">
                  <c:v>226.23133948309913</c:v>
                </c:pt>
                <c:pt idx="95">
                  <c:v>226.06036417800695</c:v>
                </c:pt>
                <c:pt idx="96">
                  <c:v>226.39261584292896</c:v>
                </c:pt>
                <c:pt idx="97">
                  <c:v>226.17836725170912</c:v>
                </c:pt>
                <c:pt idx="98">
                  <c:v>226.46169536683078</c:v>
                </c:pt>
                <c:pt idx="99">
                  <c:v>226.74143454116449</c:v>
                </c:pt>
                <c:pt idx="100">
                  <c:v>227.0889061502161</c:v>
                </c:pt>
                <c:pt idx="101">
                  <c:v>227.30907443479825</c:v>
                </c:pt>
                <c:pt idx="102">
                  <c:v>227.70306298329083</c:v>
                </c:pt>
                <c:pt idx="103">
                  <c:v>228.49797637047686</c:v>
                </c:pt>
                <c:pt idx="104">
                  <c:v>229.50751846732658</c:v>
                </c:pt>
                <c:pt idx="105">
                  <c:v>230.34174639543019</c:v>
                </c:pt>
                <c:pt idx="106">
                  <c:v>231.41686233459478</c:v>
                </c:pt>
                <c:pt idx="107">
                  <c:v>232.67426812927252</c:v>
                </c:pt>
                <c:pt idx="108">
                  <c:v>234.20899610938443</c:v>
                </c:pt>
                <c:pt idx="109">
                  <c:v>235.56299670794067</c:v>
                </c:pt>
                <c:pt idx="110">
                  <c:v>236.71330490671903</c:v>
                </c:pt>
                <c:pt idx="111">
                  <c:v>237.65587338260841</c:v>
                </c:pt>
                <c:pt idx="112">
                  <c:v>239.05496978528404</c:v>
                </c:pt>
                <c:pt idx="113">
                  <c:v>240.39574366447113</c:v>
                </c:pt>
                <c:pt idx="114">
                  <c:v>241.33332156224481</c:v>
                </c:pt>
                <c:pt idx="115">
                  <c:v>242.35281055266867</c:v>
                </c:pt>
                <c:pt idx="116">
                  <c:v>243.24160892918118</c:v>
                </c:pt>
                <c:pt idx="117">
                  <c:v>244.44136140161484</c:v>
                </c:pt>
                <c:pt idx="118">
                  <c:v>245.8319211859818</c:v>
                </c:pt>
                <c:pt idx="119">
                  <c:v>246.17316408044613</c:v>
                </c:pt>
                <c:pt idx="120">
                  <c:v>246.72960037576212</c:v>
                </c:pt>
                <c:pt idx="121">
                  <c:v>247.92350801026026</c:v>
                </c:pt>
                <c:pt idx="122">
                  <c:v>249.0537375471433</c:v>
                </c:pt>
                <c:pt idx="123">
                  <c:v>250.46085484758279</c:v>
                </c:pt>
                <c:pt idx="124">
                  <c:v>251.77764640949314</c:v>
                </c:pt>
                <c:pt idx="125">
                  <c:v>252.3641623464942</c:v>
                </c:pt>
                <c:pt idx="126">
                  <c:v>252.33890660087971</c:v>
                </c:pt>
                <c:pt idx="127">
                  <c:v>252.04369020074438</c:v>
                </c:pt>
                <c:pt idx="128">
                  <c:v>250.78312247755292</c:v>
                </c:pt>
                <c:pt idx="129">
                  <c:v>249.64110363485247</c:v>
                </c:pt>
                <c:pt idx="130">
                  <c:v>248.92708769102902</c:v>
                </c:pt>
                <c:pt idx="131">
                  <c:v>247.89368958471687</c:v>
                </c:pt>
                <c:pt idx="132">
                  <c:v>247.09466041783736</c:v>
                </c:pt>
                <c:pt idx="133">
                  <c:v>245.51855881509314</c:v>
                </c:pt>
                <c:pt idx="134">
                  <c:v>243.80801130507882</c:v>
                </c:pt>
                <c:pt idx="135">
                  <c:v>242.18831725814363</c:v>
                </c:pt>
                <c:pt idx="136">
                  <c:v>241.52396075689077</c:v>
                </c:pt>
                <c:pt idx="137">
                  <c:v>239.4833514096768</c:v>
                </c:pt>
                <c:pt idx="138">
                  <c:v>238.02129734664959</c:v>
                </c:pt>
                <c:pt idx="139">
                  <c:v>235.6549439087035</c:v>
                </c:pt>
                <c:pt idx="140">
                  <c:v>233.83572176890297</c:v>
                </c:pt>
                <c:pt idx="141">
                  <c:v>232.27022611214866</c:v>
                </c:pt>
                <c:pt idx="142">
                  <c:v>230.81019132566425</c:v>
                </c:pt>
                <c:pt idx="143">
                  <c:v>230.66400804479284</c:v>
                </c:pt>
                <c:pt idx="144">
                  <c:v>231.83262219174779</c:v>
                </c:pt>
                <c:pt idx="145">
                  <c:v>232.99068031609428</c:v>
                </c:pt>
                <c:pt idx="146">
                  <c:v>233.6982679597721</c:v>
                </c:pt>
                <c:pt idx="147">
                  <c:v>234.05238058134563</c:v>
                </c:pt>
                <c:pt idx="148">
                  <c:v>233.12278356883093</c:v>
                </c:pt>
                <c:pt idx="149">
                  <c:v>233.07312455824155</c:v>
                </c:pt>
                <c:pt idx="150">
                  <c:v>232.98033616466591</c:v>
                </c:pt>
                <c:pt idx="151">
                  <c:v>233.01720752394809</c:v>
                </c:pt>
                <c:pt idx="152">
                  <c:v>232.18840636641761</c:v>
                </c:pt>
                <c:pt idx="153">
                  <c:v>231.49019000235336</c:v>
                </c:pt>
                <c:pt idx="154">
                  <c:v>231.66400692506824</c:v>
                </c:pt>
                <c:pt idx="155">
                  <c:v>232.46492893659621</c:v>
                </c:pt>
                <c:pt idx="156">
                  <c:v>233.85955525404296</c:v>
                </c:pt>
                <c:pt idx="157">
                  <c:v>235.51193136880559</c:v>
                </c:pt>
                <c:pt idx="158">
                  <c:v>236.89009577360474</c:v>
                </c:pt>
                <c:pt idx="159">
                  <c:v>238.11777334689631</c:v>
                </c:pt>
                <c:pt idx="160">
                  <c:v>239.30426975506612</c:v>
                </c:pt>
                <c:pt idx="161">
                  <c:v>240.26515133120978</c:v>
                </c:pt>
                <c:pt idx="162">
                  <c:v>241.31666651102367</c:v>
                </c:pt>
                <c:pt idx="163">
                  <c:v>242.19717935548155</c:v>
                </c:pt>
                <c:pt idx="164">
                  <c:v>241.91453637771517</c:v>
                </c:pt>
                <c:pt idx="165">
                  <c:v>241.20460770422054</c:v>
                </c:pt>
                <c:pt idx="166">
                  <c:v>241.30236036510968</c:v>
                </c:pt>
                <c:pt idx="167">
                  <c:v>240.79892030893896</c:v>
                </c:pt>
                <c:pt idx="168">
                  <c:v>240.04985564602526</c:v>
                </c:pt>
                <c:pt idx="169">
                  <c:v>239.38680093125214</c:v>
                </c:pt>
                <c:pt idx="170">
                  <c:v>238.7626777110595</c:v>
                </c:pt>
                <c:pt idx="171">
                  <c:v>238.80995806320419</c:v>
                </c:pt>
                <c:pt idx="172">
                  <c:v>237.06688759194202</c:v>
                </c:pt>
                <c:pt idx="173">
                  <c:v>234.57044334702786</c:v>
                </c:pt>
                <c:pt idx="174">
                  <c:v>231.86422129363896</c:v>
                </c:pt>
                <c:pt idx="175">
                  <c:v>228.45126417154066</c:v>
                </c:pt>
                <c:pt idx="176">
                  <c:v>226.14953122207285</c:v>
                </c:pt>
                <c:pt idx="177">
                  <c:v>224.28037257252319</c:v>
                </c:pt>
                <c:pt idx="178">
                  <c:v>222.49723833059656</c:v>
                </c:pt>
                <c:pt idx="179">
                  <c:v>221.38074012588939</c:v>
                </c:pt>
                <c:pt idx="180">
                  <c:v>220.26062626036796</c:v>
                </c:pt>
                <c:pt idx="181">
                  <c:v>219.95437606646519</c:v>
                </c:pt>
                <c:pt idx="182">
                  <c:v>220.07370282547055</c:v>
                </c:pt>
                <c:pt idx="183">
                  <c:v>220.63928700616739</c:v>
                </c:pt>
                <c:pt idx="184">
                  <c:v>220.77631977444932</c:v>
                </c:pt>
                <c:pt idx="185">
                  <c:v>221.24919365530326</c:v>
                </c:pt>
                <c:pt idx="186">
                  <c:v>220.73393309294892</c:v>
                </c:pt>
                <c:pt idx="187">
                  <c:v>220.94871261711063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DF-7247-A0C4-CE3E57BC0DD2}"/>
            </c:ext>
          </c:extLst>
        </c:ser>
        <c:ser>
          <c:idx val="2"/>
          <c:order val="2"/>
          <c:tx>
            <c:strRef>
              <c:f>MACD!$E$4</c:f>
              <c:strCache>
                <c:ptCount val="1"/>
                <c:pt idx="0">
                  <c:v>26-Day EMA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MACD!$A$5:$A$192</c:f>
              <c:numCache>
                <c:formatCode>m/d/yy</c:formatCode>
                <c:ptCount val="188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45478</c:v>
                </c:pt>
                <c:pt idx="4">
                  <c:v>45481</c:v>
                </c:pt>
                <c:pt idx="5">
                  <c:v>45482</c:v>
                </c:pt>
                <c:pt idx="6">
                  <c:v>45483</c:v>
                </c:pt>
                <c:pt idx="7">
                  <c:v>45484</c:v>
                </c:pt>
                <c:pt idx="8">
                  <c:v>45485</c:v>
                </c:pt>
                <c:pt idx="9">
                  <c:v>45488</c:v>
                </c:pt>
                <c:pt idx="10">
                  <c:v>45489</c:v>
                </c:pt>
                <c:pt idx="11">
                  <c:v>45490</c:v>
                </c:pt>
                <c:pt idx="12">
                  <c:v>45491</c:v>
                </c:pt>
                <c:pt idx="13">
                  <c:v>45492</c:v>
                </c:pt>
                <c:pt idx="14">
                  <c:v>45495</c:v>
                </c:pt>
                <c:pt idx="15">
                  <c:v>45496</c:v>
                </c:pt>
                <c:pt idx="16">
                  <c:v>45497</c:v>
                </c:pt>
                <c:pt idx="17">
                  <c:v>45498</c:v>
                </c:pt>
                <c:pt idx="18">
                  <c:v>45499</c:v>
                </c:pt>
                <c:pt idx="19">
                  <c:v>45502</c:v>
                </c:pt>
                <c:pt idx="20">
                  <c:v>45503</c:v>
                </c:pt>
                <c:pt idx="21">
                  <c:v>45504</c:v>
                </c:pt>
                <c:pt idx="22">
                  <c:v>45505</c:v>
                </c:pt>
                <c:pt idx="23">
                  <c:v>45506</c:v>
                </c:pt>
                <c:pt idx="24">
                  <c:v>45509</c:v>
                </c:pt>
                <c:pt idx="25">
                  <c:v>45510</c:v>
                </c:pt>
                <c:pt idx="26">
                  <c:v>45511</c:v>
                </c:pt>
                <c:pt idx="27">
                  <c:v>45512</c:v>
                </c:pt>
                <c:pt idx="28">
                  <c:v>45513</c:v>
                </c:pt>
                <c:pt idx="29">
                  <c:v>45516</c:v>
                </c:pt>
                <c:pt idx="30">
                  <c:v>45517</c:v>
                </c:pt>
                <c:pt idx="31">
                  <c:v>45518</c:v>
                </c:pt>
                <c:pt idx="32">
                  <c:v>45519</c:v>
                </c:pt>
                <c:pt idx="33">
                  <c:v>45520</c:v>
                </c:pt>
                <c:pt idx="34">
                  <c:v>45523</c:v>
                </c:pt>
                <c:pt idx="35">
                  <c:v>45524</c:v>
                </c:pt>
                <c:pt idx="36">
                  <c:v>45525</c:v>
                </c:pt>
                <c:pt idx="37">
                  <c:v>45526</c:v>
                </c:pt>
                <c:pt idx="38">
                  <c:v>45527</c:v>
                </c:pt>
                <c:pt idx="39">
                  <c:v>45530</c:v>
                </c:pt>
                <c:pt idx="40">
                  <c:v>45531</c:v>
                </c:pt>
                <c:pt idx="41">
                  <c:v>45532</c:v>
                </c:pt>
                <c:pt idx="42">
                  <c:v>45533</c:v>
                </c:pt>
                <c:pt idx="43">
                  <c:v>45534</c:v>
                </c:pt>
                <c:pt idx="44">
                  <c:v>45538</c:v>
                </c:pt>
                <c:pt idx="45">
                  <c:v>45539</c:v>
                </c:pt>
                <c:pt idx="46">
                  <c:v>45540</c:v>
                </c:pt>
                <c:pt idx="47">
                  <c:v>45541</c:v>
                </c:pt>
                <c:pt idx="48">
                  <c:v>45544</c:v>
                </c:pt>
                <c:pt idx="49">
                  <c:v>45545</c:v>
                </c:pt>
                <c:pt idx="50">
                  <c:v>45546</c:v>
                </c:pt>
                <c:pt idx="51">
                  <c:v>45547</c:v>
                </c:pt>
                <c:pt idx="52">
                  <c:v>45548</c:v>
                </c:pt>
                <c:pt idx="53">
                  <c:v>45551</c:v>
                </c:pt>
                <c:pt idx="54">
                  <c:v>45552</c:v>
                </c:pt>
                <c:pt idx="55">
                  <c:v>45553</c:v>
                </c:pt>
                <c:pt idx="56">
                  <c:v>45554</c:v>
                </c:pt>
                <c:pt idx="57">
                  <c:v>45555</c:v>
                </c:pt>
                <c:pt idx="58">
                  <c:v>45558</c:v>
                </c:pt>
                <c:pt idx="59">
                  <c:v>45559</c:v>
                </c:pt>
                <c:pt idx="60">
                  <c:v>45560</c:v>
                </c:pt>
                <c:pt idx="61">
                  <c:v>45561</c:v>
                </c:pt>
                <c:pt idx="62">
                  <c:v>45562</c:v>
                </c:pt>
                <c:pt idx="63">
                  <c:v>45565</c:v>
                </c:pt>
                <c:pt idx="64">
                  <c:v>45566</c:v>
                </c:pt>
                <c:pt idx="65">
                  <c:v>45567</c:v>
                </c:pt>
                <c:pt idx="66">
                  <c:v>45568</c:v>
                </c:pt>
                <c:pt idx="67">
                  <c:v>45569</c:v>
                </c:pt>
                <c:pt idx="68">
                  <c:v>45572</c:v>
                </c:pt>
                <c:pt idx="69">
                  <c:v>45573</c:v>
                </c:pt>
                <c:pt idx="70">
                  <c:v>45574</c:v>
                </c:pt>
                <c:pt idx="71">
                  <c:v>45575</c:v>
                </c:pt>
                <c:pt idx="72">
                  <c:v>45576</c:v>
                </c:pt>
                <c:pt idx="73">
                  <c:v>45579</c:v>
                </c:pt>
                <c:pt idx="74">
                  <c:v>45580</c:v>
                </c:pt>
                <c:pt idx="75">
                  <c:v>45581</c:v>
                </c:pt>
                <c:pt idx="76">
                  <c:v>45582</c:v>
                </c:pt>
                <c:pt idx="77">
                  <c:v>45583</c:v>
                </c:pt>
                <c:pt idx="78">
                  <c:v>45586</c:v>
                </c:pt>
                <c:pt idx="79">
                  <c:v>45587</c:v>
                </c:pt>
                <c:pt idx="80">
                  <c:v>45588</c:v>
                </c:pt>
                <c:pt idx="81">
                  <c:v>45589</c:v>
                </c:pt>
                <c:pt idx="82">
                  <c:v>45590</c:v>
                </c:pt>
                <c:pt idx="83">
                  <c:v>45593</c:v>
                </c:pt>
                <c:pt idx="84">
                  <c:v>45594</c:v>
                </c:pt>
                <c:pt idx="85">
                  <c:v>45595</c:v>
                </c:pt>
                <c:pt idx="86">
                  <c:v>45596</c:v>
                </c:pt>
                <c:pt idx="87">
                  <c:v>45597</c:v>
                </c:pt>
                <c:pt idx="88">
                  <c:v>45600</c:v>
                </c:pt>
                <c:pt idx="89">
                  <c:v>45601</c:v>
                </c:pt>
                <c:pt idx="90">
                  <c:v>45602</c:v>
                </c:pt>
                <c:pt idx="91">
                  <c:v>45603</c:v>
                </c:pt>
                <c:pt idx="92">
                  <c:v>45604</c:v>
                </c:pt>
                <c:pt idx="93">
                  <c:v>45607</c:v>
                </c:pt>
                <c:pt idx="94">
                  <c:v>45608</c:v>
                </c:pt>
                <c:pt idx="95">
                  <c:v>45609</c:v>
                </c:pt>
                <c:pt idx="96">
                  <c:v>45610</c:v>
                </c:pt>
                <c:pt idx="97">
                  <c:v>45611</c:v>
                </c:pt>
                <c:pt idx="98">
                  <c:v>45614</c:v>
                </c:pt>
                <c:pt idx="99">
                  <c:v>45615</c:v>
                </c:pt>
                <c:pt idx="100">
                  <c:v>45616</c:v>
                </c:pt>
                <c:pt idx="101">
                  <c:v>45617</c:v>
                </c:pt>
                <c:pt idx="102">
                  <c:v>45618</c:v>
                </c:pt>
                <c:pt idx="103">
                  <c:v>45621</c:v>
                </c:pt>
                <c:pt idx="104">
                  <c:v>45622</c:v>
                </c:pt>
                <c:pt idx="105">
                  <c:v>45623</c:v>
                </c:pt>
                <c:pt idx="106">
                  <c:v>45625</c:v>
                </c:pt>
                <c:pt idx="107">
                  <c:v>45628</c:v>
                </c:pt>
                <c:pt idx="108">
                  <c:v>45629</c:v>
                </c:pt>
                <c:pt idx="109">
                  <c:v>45630</c:v>
                </c:pt>
                <c:pt idx="110">
                  <c:v>45631</c:v>
                </c:pt>
                <c:pt idx="111">
                  <c:v>45632</c:v>
                </c:pt>
                <c:pt idx="112">
                  <c:v>45635</c:v>
                </c:pt>
                <c:pt idx="113">
                  <c:v>45636</c:v>
                </c:pt>
                <c:pt idx="114">
                  <c:v>45637</c:v>
                </c:pt>
                <c:pt idx="115">
                  <c:v>45638</c:v>
                </c:pt>
                <c:pt idx="116">
                  <c:v>45639</c:v>
                </c:pt>
                <c:pt idx="117">
                  <c:v>45642</c:v>
                </c:pt>
                <c:pt idx="118">
                  <c:v>45643</c:v>
                </c:pt>
                <c:pt idx="119">
                  <c:v>45644</c:v>
                </c:pt>
                <c:pt idx="120">
                  <c:v>45645</c:v>
                </c:pt>
                <c:pt idx="121">
                  <c:v>45646</c:v>
                </c:pt>
                <c:pt idx="122">
                  <c:v>45649</c:v>
                </c:pt>
                <c:pt idx="123">
                  <c:v>45650</c:v>
                </c:pt>
                <c:pt idx="124">
                  <c:v>45652</c:v>
                </c:pt>
                <c:pt idx="125">
                  <c:v>45653</c:v>
                </c:pt>
                <c:pt idx="126">
                  <c:v>45656</c:v>
                </c:pt>
                <c:pt idx="127">
                  <c:v>45657</c:v>
                </c:pt>
                <c:pt idx="128">
                  <c:v>45659</c:v>
                </c:pt>
                <c:pt idx="129">
                  <c:v>45660</c:v>
                </c:pt>
                <c:pt idx="130">
                  <c:v>45663</c:v>
                </c:pt>
                <c:pt idx="131">
                  <c:v>45664</c:v>
                </c:pt>
                <c:pt idx="132">
                  <c:v>45665</c:v>
                </c:pt>
                <c:pt idx="133">
                  <c:v>45667</c:v>
                </c:pt>
                <c:pt idx="134">
                  <c:v>45670</c:v>
                </c:pt>
                <c:pt idx="135">
                  <c:v>45671</c:v>
                </c:pt>
                <c:pt idx="136">
                  <c:v>45672</c:v>
                </c:pt>
                <c:pt idx="137">
                  <c:v>45673</c:v>
                </c:pt>
                <c:pt idx="138">
                  <c:v>45674</c:v>
                </c:pt>
                <c:pt idx="139">
                  <c:v>45678</c:v>
                </c:pt>
                <c:pt idx="140">
                  <c:v>45679</c:v>
                </c:pt>
                <c:pt idx="141">
                  <c:v>45680</c:v>
                </c:pt>
                <c:pt idx="142">
                  <c:v>45681</c:v>
                </c:pt>
                <c:pt idx="143">
                  <c:v>45684</c:v>
                </c:pt>
                <c:pt idx="144">
                  <c:v>45685</c:v>
                </c:pt>
                <c:pt idx="145">
                  <c:v>45686</c:v>
                </c:pt>
                <c:pt idx="146">
                  <c:v>45687</c:v>
                </c:pt>
                <c:pt idx="147">
                  <c:v>45688</c:v>
                </c:pt>
                <c:pt idx="148">
                  <c:v>45691</c:v>
                </c:pt>
                <c:pt idx="149">
                  <c:v>45692</c:v>
                </c:pt>
                <c:pt idx="150">
                  <c:v>45693</c:v>
                </c:pt>
                <c:pt idx="151">
                  <c:v>45694</c:v>
                </c:pt>
                <c:pt idx="152">
                  <c:v>45695</c:v>
                </c:pt>
                <c:pt idx="153">
                  <c:v>45698</c:v>
                </c:pt>
                <c:pt idx="154">
                  <c:v>45699</c:v>
                </c:pt>
                <c:pt idx="155">
                  <c:v>45700</c:v>
                </c:pt>
                <c:pt idx="156">
                  <c:v>45701</c:v>
                </c:pt>
                <c:pt idx="157">
                  <c:v>45702</c:v>
                </c:pt>
                <c:pt idx="158">
                  <c:v>45706</c:v>
                </c:pt>
                <c:pt idx="159">
                  <c:v>45707</c:v>
                </c:pt>
                <c:pt idx="160">
                  <c:v>45708</c:v>
                </c:pt>
                <c:pt idx="161">
                  <c:v>45709</c:v>
                </c:pt>
                <c:pt idx="162">
                  <c:v>45712</c:v>
                </c:pt>
                <c:pt idx="163">
                  <c:v>45713</c:v>
                </c:pt>
                <c:pt idx="164">
                  <c:v>45714</c:v>
                </c:pt>
                <c:pt idx="165">
                  <c:v>45715</c:v>
                </c:pt>
                <c:pt idx="166">
                  <c:v>45716</c:v>
                </c:pt>
                <c:pt idx="167">
                  <c:v>45719</c:v>
                </c:pt>
                <c:pt idx="168">
                  <c:v>45720</c:v>
                </c:pt>
                <c:pt idx="169">
                  <c:v>45721</c:v>
                </c:pt>
                <c:pt idx="170">
                  <c:v>45722</c:v>
                </c:pt>
                <c:pt idx="171">
                  <c:v>45723</c:v>
                </c:pt>
                <c:pt idx="172">
                  <c:v>45726</c:v>
                </c:pt>
                <c:pt idx="173">
                  <c:v>45727</c:v>
                </c:pt>
                <c:pt idx="174">
                  <c:v>45728</c:v>
                </c:pt>
                <c:pt idx="175">
                  <c:v>45729</c:v>
                </c:pt>
                <c:pt idx="176">
                  <c:v>45730</c:v>
                </c:pt>
                <c:pt idx="177">
                  <c:v>45733</c:v>
                </c:pt>
                <c:pt idx="178">
                  <c:v>45734</c:v>
                </c:pt>
                <c:pt idx="179">
                  <c:v>45735</c:v>
                </c:pt>
                <c:pt idx="180">
                  <c:v>45736</c:v>
                </c:pt>
                <c:pt idx="181">
                  <c:v>45737</c:v>
                </c:pt>
                <c:pt idx="182">
                  <c:v>45740</c:v>
                </c:pt>
                <c:pt idx="183">
                  <c:v>45741</c:v>
                </c:pt>
                <c:pt idx="184">
                  <c:v>45742</c:v>
                </c:pt>
                <c:pt idx="185">
                  <c:v>45743</c:v>
                </c:pt>
                <c:pt idx="186">
                  <c:v>45744</c:v>
                </c:pt>
                <c:pt idx="187">
                  <c:v>45747</c:v>
                </c:pt>
              </c:numCache>
            </c:numRef>
          </c:cat>
          <c:val>
            <c:numRef>
              <c:f>MACD!$E$5:$E$192</c:f>
              <c:numCache>
                <c:formatCode>_-* #,##0.00_-;\-* #,##0.00_-;_-* "-"??_-;_-@_-</c:formatCode>
                <c:ptCount val="188"/>
                <c:pt idx="0">
                  <c:v>216.75</c:v>
                </c:pt>
                <c:pt idx="1">
                  <c:v>218.51</c:v>
                </c:pt>
                <c:pt idx="2">
                  <c:v>219.52333333333331</c:v>
                </c:pt>
                <c:pt idx="3">
                  <c:v>221.22749999999999</c:v>
                </c:pt>
                <c:pt idx="4">
                  <c:v>222.54599999999999</c:v>
                </c:pt>
                <c:pt idx="5">
                  <c:v>223.56833333333336</c:v>
                </c:pt>
                <c:pt idx="6">
                  <c:v>224.91285714285715</c:v>
                </c:pt>
                <c:pt idx="7">
                  <c:v>225.245</c:v>
                </c:pt>
                <c:pt idx="8">
                  <c:v>225.83333333333334</c:v>
                </c:pt>
                <c:pt idx="9">
                  <c:v>226.69</c:v>
                </c:pt>
                <c:pt idx="10">
                  <c:v>227.42909090909095</c:v>
                </c:pt>
                <c:pt idx="11">
                  <c:v>227.55000000000004</c:v>
                </c:pt>
                <c:pt idx="12">
                  <c:v>227.29076923076926</c:v>
                </c:pt>
                <c:pt idx="13">
                  <c:v>227.07785714285714</c:v>
                </c:pt>
                <c:pt idx="14">
                  <c:v>226.87</c:v>
                </c:pt>
                <c:pt idx="15">
                  <c:v>226.75375000000003</c:v>
                </c:pt>
                <c:pt idx="16">
                  <c:v>226.27058823529413</c:v>
                </c:pt>
                <c:pt idx="17">
                  <c:v>225.7827777777778</c:v>
                </c:pt>
                <c:pt idx="18">
                  <c:v>225.37105263157895</c:v>
                </c:pt>
                <c:pt idx="19">
                  <c:v>225.0145</c:v>
                </c:pt>
                <c:pt idx="20">
                  <c:v>224.71857142857144</c:v>
                </c:pt>
                <c:pt idx="21">
                  <c:v>224.59863636363636</c:v>
                </c:pt>
                <c:pt idx="22">
                  <c:v>224.32739130434783</c:v>
                </c:pt>
                <c:pt idx="23">
                  <c:v>224.14124999999999</c:v>
                </c:pt>
                <c:pt idx="24">
                  <c:v>223.54640000000001</c:v>
                </c:pt>
                <c:pt idx="25">
                  <c:v>222.91884615384612</c:v>
                </c:pt>
                <c:pt idx="26">
                  <c:v>221.94856125356122</c:v>
                </c:pt>
                <c:pt idx="27">
                  <c:v>221.30866782737149</c:v>
                </c:pt>
                <c:pt idx="28">
                  <c:v>220.9332109512699</c:v>
                </c:pt>
                <c:pt idx="29">
                  <c:v>220.68112125117582</c:v>
                </c:pt>
                <c:pt idx="30">
                  <c:v>220.72474189923688</c:v>
                </c:pt>
                <c:pt idx="31">
                  <c:v>220.79846472151561</c:v>
                </c:pt>
                <c:pt idx="32">
                  <c:v>221.08894881621816</c:v>
                </c:pt>
                <c:pt idx="33">
                  <c:v>221.45643408909089</c:v>
                </c:pt>
                <c:pt idx="34">
                  <c:v>221.78484637878785</c:v>
                </c:pt>
                <c:pt idx="35">
                  <c:v>222.13485775813689</c:v>
                </c:pt>
                <c:pt idx="36">
                  <c:v>222.45079422049713</c:v>
                </c:pt>
                <c:pt idx="37">
                  <c:v>222.60480946342327</c:v>
                </c:pt>
                <c:pt idx="38">
                  <c:v>222.91852728094747</c:v>
                </c:pt>
                <c:pt idx="39">
                  <c:v>223.23419192680322</c:v>
                </c:pt>
                <c:pt idx="40">
                  <c:v>223.58943696926224</c:v>
                </c:pt>
                <c:pt idx="41">
                  <c:v>223.80429349005763</c:v>
                </c:pt>
                <c:pt idx="42">
                  <c:v>224.24767915746077</c:v>
                </c:pt>
                <c:pt idx="43">
                  <c:v>224.5997029235748</c:v>
                </c:pt>
                <c:pt idx="44">
                  <c:v>224.46416937368036</c:v>
                </c:pt>
                <c:pt idx="45">
                  <c:v>224.19645312377813</c:v>
                </c:pt>
                <c:pt idx="46">
                  <c:v>224.0619010405353</c:v>
                </c:pt>
                <c:pt idx="47">
                  <c:v>223.82176022271787</c:v>
                </c:pt>
                <c:pt idx="48">
                  <c:v>223.60607428029434</c:v>
                </c:pt>
                <c:pt idx="49">
                  <c:v>223.34710581508736</c:v>
                </c:pt>
                <c:pt idx="50">
                  <c:v>223.29620908804384</c:v>
                </c:pt>
                <c:pt idx="51">
                  <c:v>223.25723063707764</c:v>
                </c:pt>
                <c:pt idx="52">
                  <c:v>223.20113947877559</c:v>
                </c:pt>
                <c:pt idx="53">
                  <c:v>222.69142544331072</c:v>
                </c:pt>
                <c:pt idx="54">
                  <c:v>222.25428281788029</c:v>
                </c:pt>
                <c:pt idx="55">
                  <c:v>222.13841001655584</c:v>
                </c:pt>
                <c:pt idx="56">
                  <c:v>222.63704631162577</c:v>
                </c:pt>
                <c:pt idx="57">
                  <c:v>223.04911695520903</c:v>
                </c:pt>
                <c:pt idx="58">
                  <c:v>223.30251569926762</c:v>
                </c:pt>
                <c:pt idx="59">
                  <c:v>223.6038108326552</c:v>
                </c:pt>
                <c:pt idx="60">
                  <c:v>223.80871373394001</c:v>
                </c:pt>
                <c:pt idx="61">
                  <c:v>224.08362382772222</c:v>
                </c:pt>
                <c:pt idx="62">
                  <c:v>224.3581702108539</c:v>
                </c:pt>
                <c:pt idx="63">
                  <c:v>224.99830575079065</c:v>
                </c:pt>
                <c:pt idx="64">
                  <c:v>225.08806088036172</c:v>
                </c:pt>
                <c:pt idx="65">
                  <c:v>225.21338970403863</c:v>
                </c:pt>
                <c:pt idx="66">
                  <c:v>225.24721268892466</c:v>
                </c:pt>
                <c:pt idx="67">
                  <c:v>225.36223397122654</c:v>
                </c:pt>
                <c:pt idx="68">
                  <c:v>225.09021664002458</c:v>
                </c:pt>
                <c:pt idx="69">
                  <c:v>225.14057096298572</c:v>
                </c:pt>
                <c:pt idx="70">
                  <c:v>225.46645459535713</c:v>
                </c:pt>
                <c:pt idx="71">
                  <c:v>225.73116166236773</c:v>
                </c:pt>
                <c:pt idx="72">
                  <c:v>225.86589042811826</c:v>
                </c:pt>
                <c:pt idx="73">
                  <c:v>226.26841706307246</c:v>
                </c:pt>
                <c:pt idx="74">
                  <c:v>226.83001579914117</c:v>
                </c:pt>
                <c:pt idx="75">
                  <c:v>227.19668129550107</c:v>
                </c:pt>
                <c:pt idx="76">
                  <c:v>227.5635937921306</c:v>
                </c:pt>
                <c:pt idx="77">
                  <c:v>228.11443869641724</c:v>
                </c:pt>
                <c:pt idx="78">
                  <c:v>228.73410990409005</c:v>
                </c:pt>
                <c:pt idx="79">
                  <c:v>229.2619536148982</c:v>
                </c:pt>
                <c:pt idx="80">
                  <c:v>229.37292001379464</c:v>
                </c:pt>
                <c:pt idx="81">
                  <c:v>229.46159260536541</c:v>
                </c:pt>
                <c:pt idx="82">
                  <c:v>229.60591907904205</c:v>
                </c:pt>
                <c:pt idx="83">
                  <c:v>229.88696211022412</c:v>
                </c:pt>
                <c:pt idx="84">
                  <c:v>230.1671871390964</c:v>
                </c:pt>
                <c:pt idx="85">
                  <c:v>230.16221031397814</c:v>
                </c:pt>
                <c:pt idx="86">
                  <c:v>229.84723177220198</c:v>
                </c:pt>
                <c:pt idx="87">
                  <c:v>229.33336275203888</c:v>
                </c:pt>
                <c:pt idx="88">
                  <c:v>228.79089143707304</c:v>
                </c:pt>
                <c:pt idx="89">
                  <c:v>228.3952698491417</c:v>
                </c:pt>
                <c:pt idx="90">
                  <c:v>227.97487948994601</c:v>
                </c:pt>
                <c:pt idx="91">
                  <c:v>227.93822174995</c:v>
                </c:pt>
                <c:pt idx="92">
                  <c:v>227.86576087958335</c:v>
                </c:pt>
                <c:pt idx="93">
                  <c:v>227.59644525887347</c:v>
                </c:pt>
                <c:pt idx="94">
                  <c:v>227.34707894340136</c:v>
                </c:pt>
                <c:pt idx="95">
                  <c:v>227.18211013277903</c:v>
                </c:pt>
                <c:pt idx="96">
                  <c:v>227.25899086368429</c:v>
                </c:pt>
                <c:pt idx="97">
                  <c:v>227.09165820711507</c:v>
                </c:pt>
                <c:pt idx="98">
                  <c:v>227.1604242658473</c:v>
                </c:pt>
                <c:pt idx="99">
                  <c:v>227.24335580171046</c:v>
                </c:pt>
                <c:pt idx="100">
                  <c:v>227.37347759417636</c:v>
                </c:pt>
                <c:pt idx="101">
                  <c:v>227.45840517979292</c:v>
                </c:pt>
                <c:pt idx="102">
                  <c:v>227.63704183314158</c:v>
                </c:pt>
                <c:pt idx="103">
                  <c:v>228.02466836401999</c:v>
                </c:pt>
                <c:pt idx="104">
                  <c:v>228.54580404075924</c:v>
                </c:pt>
                <c:pt idx="105">
                  <c:v>229.01870744514744</c:v>
                </c:pt>
                <c:pt idx="106">
                  <c:v>229.63435874550689</c:v>
                </c:pt>
                <c:pt idx="107">
                  <c:v>230.37181365324713</c:v>
                </c:pt>
                <c:pt idx="108">
                  <c:v>231.28130893819178</c:v>
                </c:pt>
                <c:pt idx="109">
                  <c:v>232.15010086869609</c:v>
                </c:pt>
                <c:pt idx="110">
                  <c:v>232.95676006360748</c:v>
                </c:pt>
                <c:pt idx="111">
                  <c:v>233.68885191074767</c:v>
                </c:pt>
                <c:pt idx="112">
                  <c:v>234.65634436180341</c:v>
                </c:pt>
                <c:pt idx="113">
                  <c:v>235.62772626092908</c:v>
                </c:pt>
                <c:pt idx="114">
                  <c:v>236.43233913048988</c:v>
                </c:pt>
                <c:pt idx="115">
                  <c:v>237.28623993563878</c:v>
                </c:pt>
                <c:pt idx="116">
                  <c:v>238.08948142188777</c:v>
                </c:pt>
                <c:pt idx="117">
                  <c:v>239.04877909434052</c:v>
                </c:pt>
                <c:pt idx="118">
                  <c:v>240.11775842068567</c:v>
                </c:pt>
                <c:pt idx="119">
                  <c:v>240.70533187100526</c:v>
                </c:pt>
                <c:pt idx="120">
                  <c:v>241.3782702509308</c:v>
                </c:pt>
                <c:pt idx="121">
                  <c:v>242.34950949160259</c:v>
                </c:pt>
                <c:pt idx="122">
                  <c:v>243.30658286259498</c:v>
                </c:pt>
                <c:pt idx="123">
                  <c:v>244.40979894684719</c:v>
                </c:pt>
                <c:pt idx="124">
                  <c:v>245.49203606189553</c:v>
                </c:pt>
                <c:pt idx="125">
                  <c:v>246.24003339064402</c:v>
                </c:pt>
                <c:pt idx="126">
                  <c:v>246.68151239874445</c:v>
                </c:pt>
                <c:pt idx="127">
                  <c:v>246.95843740624485</c:v>
                </c:pt>
                <c:pt idx="128">
                  <c:v>246.72818278356004</c:v>
                </c:pt>
                <c:pt idx="129">
                  <c:v>246.47868776255561</c:v>
                </c:pt>
                <c:pt idx="130">
                  <c:v>246.36915533569965</c:v>
                </c:pt>
                <c:pt idx="131">
                  <c:v>246.06106975527746</c:v>
                </c:pt>
                <c:pt idx="132">
                  <c:v>245.8121016252569</c:v>
                </c:pt>
                <c:pt idx="133">
                  <c:v>245.14824224560823</c:v>
                </c:pt>
                <c:pt idx="134">
                  <c:v>244.35207615334096</c:v>
                </c:pt>
                <c:pt idx="135">
                  <c:v>243.5319223642046</c:v>
                </c:pt>
                <c:pt idx="136">
                  <c:v>243.11252070759684</c:v>
                </c:pt>
                <c:pt idx="137">
                  <c:v>242.01233398851559</c:v>
                </c:pt>
                <c:pt idx="138">
                  <c:v>241.1210499893663</c:v>
                </c:pt>
                <c:pt idx="139">
                  <c:v>239.75208332348731</c:v>
                </c:pt>
                <c:pt idx="140">
                  <c:v>238.57266974396973</c:v>
                </c:pt>
                <c:pt idx="141">
                  <c:v>237.46802754071271</c:v>
                </c:pt>
                <c:pt idx="142">
                  <c:v>236.38002550065991</c:v>
                </c:pt>
                <c:pt idx="143">
                  <c:v>235.89706064875918</c:v>
                </c:pt>
                <c:pt idx="144">
                  <c:v>236.07209319329553</c:v>
                </c:pt>
                <c:pt idx="145">
                  <c:v>236.31564184564402</c:v>
                </c:pt>
                <c:pt idx="146">
                  <c:v>236.41003874596669</c:v>
                </c:pt>
                <c:pt idx="147">
                  <c:v>236.37966550552471</c:v>
                </c:pt>
                <c:pt idx="148">
                  <c:v>235.75969028289325</c:v>
                </c:pt>
                <c:pt idx="149">
                  <c:v>235.54045396564189</c:v>
                </c:pt>
                <c:pt idx="150">
                  <c:v>235.3130129311499</c:v>
                </c:pt>
                <c:pt idx="151">
                  <c:v>235.1579749362499</c:v>
                </c:pt>
                <c:pt idx="152">
                  <c:v>234.60034716319436</c:v>
                </c:pt>
                <c:pt idx="153">
                  <c:v>234.08550663258737</c:v>
                </c:pt>
                <c:pt idx="154">
                  <c:v>233.97695058572904</c:v>
                </c:pt>
                <c:pt idx="155">
                  <c:v>234.19125054234172</c:v>
                </c:pt>
                <c:pt idx="156">
                  <c:v>234.73486161327938</c:v>
                </c:pt>
                <c:pt idx="157">
                  <c:v>235.46561260488832</c:v>
                </c:pt>
                <c:pt idx="158">
                  <c:v>236.13260426378548</c:v>
                </c:pt>
                <c:pt idx="159">
                  <c:v>236.77981876276434</c:v>
                </c:pt>
                <c:pt idx="160">
                  <c:v>237.45020255811514</c:v>
                </c:pt>
                <c:pt idx="161">
                  <c:v>238.0501875538103</c:v>
                </c:pt>
                <c:pt idx="162">
                  <c:v>238.72054403130585</c:v>
                </c:pt>
                <c:pt idx="163">
                  <c:v>239.33680002898689</c:v>
                </c:pt>
                <c:pt idx="164">
                  <c:v>239.4125926194323</c:v>
                </c:pt>
                <c:pt idx="165">
                  <c:v>239.25610427725212</c:v>
                </c:pt>
                <c:pt idx="166">
                  <c:v>239.44750396041863</c:v>
                </c:pt>
                <c:pt idx="167">
                  <c:v>239.34250366705427</c:v>
                </c:pt>
                <c:pt idx="168">
                  <c:v>239.08972561764284</c:v>
                </c:pt>
                <c:pt idx="169">
                  <c:v>238.84159779411374</c:v>
                </c:pt>
                <c:pt idx="170">
                  <c:v>238.58147943899419</c:v>
                </c:pt>
                <c:pt idx="171">
                  <c:v>238.61766614721685</c:v>
                </c:pt>
                <c:pt idx="172">
                  <c:v>237.79265384001559</c:v>
                </c:pt>
                <c:pt idx="173">
                  <c:v>236.53690170371814</c:v>
                </c:pt>
                <c:pt idx="174">
                  <c:v>235.08824231825753</c:v>
                </c:pt>
                <c:pt idx="175">
                  <c:v>233.20615029468289</c:v>
                </c:pt>
                <c:pt idx="176">
                  <c:v>231.74569471729896</c:v>
                </c:pt>
                <c:pt idx="177">
                  <c:v>230.43119881231385</c:v>
                </c:pt>
                <c:pt idx="178">
                  <c:v>229.11703593732764</c:v>
                </c:pt>
                <c:pt idx="179">
                  <c:v>228.08910734937746</c:v>
                </c:pt>
                <c:pt idx="180">
                  <c:v>227.05287717534949</c:v>
                </c:pt>
                <c:pt idx="181">
                  <c:v>226.40229368087915</c:v>
                </c:pt>
                <c:pt idx="182">
                  <c:v>225.98212377859181</c:v>
                </c:pt>
                <c:pt idx="183">
                  <c:v>225.8167812764739</c:v>
                </c:pt>
                <c:pt idx="184">
                  <c:v>225.49924192266101</c:v>
                </c:pt>
                <c:pt idx="185">
                  <c:v>225.37707585431576</c:v>
                </c:pt>
                <c:pt idx="186">
                  <c:v>224.82321838362571</c:v>
                </c:pt>
                <c:pt idx="187">
                  <c:v>224.62372072557937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DF-7247-A0C4-CE3E57BC0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4930511"/>
        <c:axId val="1092823023"/>
      </c:lineChart>
      <c:dateAx>
        <c:axId val="954930511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823023"/>
        <c:crosses val="autoZero"/>
        <c:auto val="1"/>
        <c:lblOffset val="100"/>
        <c:baseTimeUnit val="days"/>
      </c:dateAx>
      <c:valAx>
        <c:axId val="1092823023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930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MACD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MACD!$H$4</c:f>
              <c:strCache>
                <c:ptCount val="1"/>
                <c:pt idx="0">
                  <c:v>Histogram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MACD!$A$17:$A$192</c:f>
              <c:numCache>
                <c:formatCode>m/d/yy</c:formatCode>
                <c:ptCount val="176"/>
                <c:pt idx="0">
                  <c:v>45491</c:v>
                </c:pt>
                <c:pt idx="1">
                  <c:v>45492</c:v>
                </c:pt>
                <c:pt idx="2">
                  <c:v>45495</c:v>
                </c:pt>
                <c:pt idx="3">
                  <c:v>45496</c:v>
                </c:pt>
                <c:pt idx="4">
                  <c:v>45497</c:v>
                </c:pt>
                <c:pt idx="5">
                  <c:v>45498</c:v>
                </c:pt>
                <c:pt idx="6">
                  <c:v>45499</c:v>
                </c:pt>
                <c:pt idx="7">
                  <c:v>45502</c:v>
                </c:pt>
                <c:pt idx="8">
                  <c:v>45503</c:v>
                </c:pt>
                <c:pt idx="9">
                  <c:v>45504</c:v>
                </c:pt>
                <c:pt idx="10">
                  <c:v>45505</c:v>
                </c:pt>
                <c:pt idx="11">
                  <c:v>45506</c:v>
                </c:pt>
                <c:pt idx="12">
                  <c:v>45509</c:v>
                </c:pt>
                <c:pt idx="13">
                  <c:v>45510</c:v>
                </c:pt>
                <c:pt idx="14">
                  <c:v>45511</c:v>
                </c:pt>
                <c:pt idx="15">
                  <c:v>45512</c:v>
                </c:pt>
                <c:pt idx="16">
                  <c:v>45513</c:v>
                </c:pt>
                <c:pt idx="17">
                  <c:v>45516</c:v>
                </c:pt>
                <c:pt idx="18">
                  <c:v>45517</c:v>
                </c:pt>
                <c:pt idx="19">
                  <c:v>45518</c:v>
                </c:pt>
                <c:pt idx="20">
                  <c:v>45519</c:v>
                </c:pt>
                <c:pt idx="21">
                  <c:v>45520</c:v>
                </c:pt>
                <c:pt idx="22">
                  <c:v>45523</c:v>
                </c:pt>
                <c:pt idx="23">
                  <c:v>45524</c:v>
                </c:pt>
                <c:pt idx="24">
                  <c:v>45525</c:v>
                </c:pt>
                <c:pt idx="25">
                  <c:v>45526</c:v>
                </c:pt>
                <c:pt idx="26">
                  <c:v>45527</c:v>
                </c:pt>
                <c:pt idx="27">
                  <c:v>45530</c:v>
                </c:pt>
                <c:pt idx="28">
                  <c:v>45531</c:v>
                </c:pt>
                <c:pt idx="29">
                  <c:v>45532</c:v>
                </c:pt>
                <c:pt idx="30">
                  <c:v>45533</c:v>
                </c:pt>
                <c:pt idx="31">
                  <c:v>45534</c:v>
                </c:pt>
                <c:pt idx="32">
                  <c:v>45538</c:v>
                </c:pt>
                <c:pt idx="33">
                  <c:v>45539</c:v>
                </c:pt>
                <c:pt idx="34">
                  <c:v>45540</c:v>
                </c:pt>
                <c:pt idx="35">
                  <c:v>45541</c:v>
                </c:pt>
                <c:pt idx="36">
                  <c:v>45544</c:v>
                </c:pt>
                <c:pt idx="37">
                  <c:v>45545</c:v>
                </c:pt>
                <c:pt idx="38">
                  <c:v>45546</c:v>
                </c:pt>
                <c:pt idx="39">
                  <c:v>45547</c:v>
                </c:pt>
                <c:pt idx="40">
                  <c:v>45548</c:v>
                </c:pt>
                <c:pt idx="41">
                  <c:v>45551</c:v>
                </c:pt>
                <c:pt idx="42">
                  <c:v>45552</c:v>
                </c:pt>
                <c:pt idx="43">
                  <c:v>45553</c:v>
                </c:pt>
                <c:pt idx="44">
                  <c:v>45554</c:v>
                </c:pt>
                <c:pt idx="45">
                  <c:v>45555</c:v>
                </c:pt>
                <c:pt idx="46">
                  <c:v>45558</c:v>
                </c:pt>
                <c:pt idx="47">
                  <c:v>45559</c:v>
                </c:pt>
                <c:pt idx="48">
                  <c:v>45560</c:v>
                </c:pt>
                <c:pt idx="49">
                  <c:v>45561</c:v>
                </c:pt>
                <c:pt idx="50">
                  <c:v>45562</c:v>
                </c:pt>
                <c:pt idx="51">
                  <c:v>45565</c:v>
                </c:pt>
                <c:pt idx="52">
                  <c:v>45566</c:v>
                </c:pt>
                <c:pt idx="53">
                  <c:v>45567</c:v>
                </c:pt>
                <c:pt idx="54">
                  <c:v>45568</c:v>
                </c:pt>
                <c:pt idx="55">
                  <c:v>45569</c:v>
                </c:pt>
                <c:pt idx="56">
                  <c:v>45572</c:v>
                </c:pt>
                <c:pt idx="57">
                  <c:v>45573</c:v>
                </c:pt>
                <c:pt idx="58">
                  <c:v>45574</c:v>
                </c:pt>
                <c:pt idx="59">
                  <c:v>45575</c:v>
                </c:pt>
                <c:pt idx="60">
                  <c:v>45576</c:v>
                </c:pt>
                <c:pt idx="61">
                  <c:v>45579</c:v>
                </c:pt>
                <c:pt idx="62">
                  <c:v>45580</c:v>
                </c:pt>
                <c:pt idx="63">
                  <c:v>45581</c:v>
                </c:pt>
                <c:pt idx="64">
                  <c:v>45582</c:v>
                </c:pt>
                <c:pt idx="65">
                  <c:v>45583</c:v>
                </c:pt>
                <c:pt idx="66">
                  <c:v>45586</c:v>
                </c:pt>
                <c:pt idx="67">
                  <c:v>45587</c:v>
                </c:pt>
                <c:pt idx="68">
                  <c:v>45588</c:v>
                </c:pt>
                <c:pt idx="69">
                  <c:v>45589</c:v>
                </c:pt>
                <c:pt idx="70">
                  <c:v>45590</c:v>
                </c:pt>
                <c:pt idx="71">
                  <c:v>45593</c:v>
                </c:pt>
                <c:pt idx="72">
                  <c:v>45594</c:v>
                </c:pt>
                <c:pt idx="73">
                  <c:v>45595</c:v>
                </c:pt>
                <c:pt idx="74">
                  <c:v>45596</c:v>
                </c:pt>
                <c:pt idx="75">
                  <c:v>45597</c:v>
                </c:pt>
                <c:pt idx="76">
                  <c:v>45600</c:v>
                </c:pt>
                <c:pt idx="77">
                  <c:v>45601</c:v>
                </c:pt>
                <c:pt idx="78">
                  <c:v>45602</c:v>
                </c:pt>
                <c:pt idx="79">
                  <c:v>45603</c:v>
                </c:pt>
                <c:pt idx="80">
                  <c:v>45604</c:v>
                </c:pt>
                <c:pt idx="81">
                  <c:v>45607</c:v>
                </c:pt>
                <c:pt idx="82">
                  <c:v>45608</c:v>
                </c:pt>
                <c:pt idx="83">
                  <c:v>45609</c:v>
                </c:pt>
                <c:pt idx="84">
                  <c:v>45610</c:v>
                </c:pt>
                <c:pt idx="85">
                  <c:v>45611</c:v>
                </c:pt>
                <c:pt idx="86">
                  <c:v>45614</c:v>
                </c:pt>
                <c:pt idx="87">
                  <c:v>45615</c:v>
                </c:pt>
                <c:pt idx="88">
                  <c:v>45616</c:v>
                </c:pt>
                <c:pt idx="89">
                  <c:v>45617</c:v>
                </c:pt>
                <c:pt idx="90">
                  <c:v>45618</c:v>
                </c:pt>
                <c:pt idx="91">
                  <c:v>45621</c:v>
                </c:pt>
                <c:pt idx="92">
                  <c:v>45622</c:v>
                </c:pt>
                <c:pt idx="93">
                  <c:v>45623</c:v>
                </c:pt>
                <c:pt idx="94">
                  <c:v>45625</c:v>
                </c:pt>
                <c:pt idx="95">
                  <c:v>45628</c:v>
                </c:pt>
                <c:pt idx="96">
                  <c:v>45629</c:v>
                </c:pt>
                <c:pt idx="97">
                  <c:v>45630</c:v>
                </c:pt>
                <c:pt idx="98">
                  <c:v>45631</c:v>
                </c:pt>
                <c:pt idx="99">
                  <c:v>45632</c:v>
                </c:pt>
                <c:pt idx="100">
                  <c:v>45635</c:v>
                </c:pt>
                <c:pt idx="101">
                  <c:v>45636</c:v>
                </c:pt>
                <c:pt idx="102">
                  <c:v>45637</c:v>
                </c:pt>
                <c:pt idx="103">
                  <c:v>45638</c:v>
                </c:pt>
                <c:pt idx="104">
                  <c:v>45639</c:v>
                </c:pt>
                <c:pt idx="105">
                  <c:v>45642</c:v>
                </c:pt>
                <c:pt idx="106">
                  <c:v>45643</c:v>
                </c:pt>
                <c:pt idx="107">
                  <c:v>45644</c:v>
                </c:pt>
                <c:pt idx="108">
                  <c:v>45645</c:v>
                </c:pt>
                <c:pt idx="109">
                  <c:v>45646</c:v>
                </c:pt>
                <c:pt idx="110">
                  <c:v>45649</c:v>
                </c:pt>
                <c:pt idx="111">
                  <c:v>45650</c:v>
                </c:pt>
                <c:pt idx="112">
                  <c:v>45652</c:v>
                </c:pt>
                <c:pt idx="113">
                  <c:v>45653</c:v>
                </c:pt>
                <c:pt idx="114">
                  <c:v>45656</c:v>
                </c:pt>
                <c:pt idx="115">
                  <c:v>45657</c:v>
                </c:pt>
                <c:pt idx="116">
                  <c:v>45659</c:v>
                </c:pt>
                <c:pt idx="117">
                  <c:v>45660</c:v>
                </c:pt>
                <c:pt idx="118">
                  <c:v>45663</c:v>
                </c:pt>
                <c:pt idx="119">
                  <c:v>45664</c:v>
                </c:pt>
                <c:pt idx="120">
                  <c:v>45665</c:v>
                </c:pt>
                <c:pt idx="121">
                  <c:v>45667</c:v>
                </c:pt>
                <c:pt idx="122">
                  <c:v>45670</c:v>
                </c:pt>
                <c:pt idx="123">
                  <c:v>45671</c:v>
                </c:pt>
                <c:pt idx="124">
                  <c:v>45672</c:v>
                </c:pt>
                <c:pt idx="125">
                  <c:v>45673</c:v>
                </c:pt>
                <c:pt idx="126">
                  <c:v>45674</c:v>
                </c:pt>
                <c:pt idx="127">
                  <c:v>45678</c:v>
                </c:pt>
                <c:pt idx="128">
                  <c:v>45679</c:v>
                </c:pt>
                <c:pt idx="129">
                  <c:v>45680</c:v>
                </c:pt>
                <c:pt idx="130">
                  <c:v>45681</c:v>
                </c:pt>
                <c:pt idx="131">
                  <c:v>45684</c:v>
                </c:pt>
                <c:pt idx="132">
                  <c:v>45685</c:v>
                </c:pt>
                <c:pt idx="133">
                  <c:v>45686</c:v>
                </c:pt>
                <c:pt idx="134">
                  <c:v>45687</c:v>
                </c:pt>
                <c:pt idx="135">
                  <c:v>45688</c:v>
                </c:pt>
                <c:pt idx="136">
                  <c:v>45691</c:v>
                </c:pt>
                <c:pt idx="137">
                  <c:v>45692</c:v>
                </c:pt>
                <c:pt idx="138">
                  <c:v>45693</c:v>
                </c:pt>
                <c:pt idx="139">
                  <c:v>45694</c:v>
                </c:pt>
                <c:pt idx="140">
                  <c:v>45695</c:v>
                </c:pt>
                <c:pt idx="141">
                  <c:v>45698</c:v>
                </c:pt>
                <c:pt idx="142">
                  <c:v>45699</c:v>
                </c:pt>
                <c:pt idx="143">
                  <c:v>45700</c:v>
                </c:pt>
                <c:pt idx="144">
                  <c:v>45701</c:v>
                </c:pt>
                <c:pt idx="145">
                  <c:v>45702</c:v>
                </c:pt>
                <c:pt idx="146">
                  <c:v>45706</c:v>
                </c:pt>
                <c:pt idx="147">
                  <c:v>45707</c:v>
                </c:pt>
                <c:pt idx="148">
                  <c:v>45708</c:v>
                </c:pt>
                <c:pt idx="149">
                  <c:v>45709</c:v>
                </c:pt>
                <c:pt idx="150">
                  <c:v>45712</c:v>
                </c:pt>
                <c:pt idx="151">
                  <c:v>45713</c:v>
                </c:pt>
                <c:pt idx="152">
                  <c:v>45714</c:v>
                </c:pt>
                <c:pt idx="153">
                  <c:v>45715</c:v>
                </c:pt>
                <c:pt idx="154">
                  <c:v>45716</c:v>
                </c:pt>
                <c:pt idx="155">
                  <c:v>45719</c:v>
                </c:pt>
                <c:pt idx="156">
                  <c:v>45720</c:v>
                </c:pt>
                <c:pt idx="157">
                  <c:v>45721</c:v>
                </c:pt>
                <c:pt idx="158">
                  <c:v>45722</c:v>
                </c:pt>
                <c:pt idx="159">
                  <c:v>45723</c:v>
                </c:pt>
                <c:pt idx="160">
                  <c:v>45726</c:v>
                </c:pt>
                <c:pt idx="161">
                  <c:v>45727</c:v>
                </c:pt>
                <c:pt idx="162">
                  <c:v>45728</c:v>
                </c:pt>
                <c:pt idx="163">
                  <c:v>45729</c:v>
                </c:pt>
                <c:pt idx="164">
                  <c:v>45730</c:v>
                </c:pt>
                <c:pt idx="165">
                  <c:v>45733</c:v>
                </c:pt>
                <c:pt idx="166">
                  <c:v>45734</c:v>
                </c:pt>
                <c:pt idx="167">
                  <c:v>45735</c:v>
                </c:pt>
                <c:pt idx="168">
                  <c:v>45736</c:v>
                </c:pt>
                <c:pt idx="169">
                  <c:v>45737</c:v>
                </c:pt>
                <c:pt idx="170">
                  <c:v>45740</c:v>
                </c:pt>
                <c:pt idx="171">
                  <c:v>45741</c:v>
                </c:pt>
                <c:pt idx="172">
                  <c:v>45742</c:v>
                </c:pt>
                <c:pt idx="173">
                  <c:v>45743</c:v>
                </c:pt>
                <c:pt idx="174">
                  <c:v>45744</c:v>
                </c:pt>
                <c:pt idx="175">
                  <c:v>45747</c:v>
                </c:pt>
              </c:numCache>
            </c:numRef>
          </c:cat>
          <c:val>
            <c:numRef>
              <c:f>MACD!$H$17:$H$192</c:f>
              <c:numCache>
                <c:formatCode>_-* #,##0.00_-;\-* #,##0.00_-;_-* "-"??_-;_-@_-</c:formatCode>
                <c:ptCount val="176"/>
                <c:pt idx="0">
                  <c:v>0</c:v>
                </c:pt>
                <c:pt idx="1">
                  <c:v>-0.10289306846998159</c:v>
                </c:pt>
                <c:pt idx="2">
                  <c:v>-0.20211012853024118</c:v>
                </c:pt>
                <c:pt idx="3">
                  <c:v>-0.20224636210968328</c:v>
                </c:pt>
                <c:pt idx="4">
                  <c:v>-0.6959949741553999</c:v>
                </c:pt>
                <c:pt idx="5">
                  <c:v>-1.1196409640707023</c:v>
                </c:pt>
                <c:pt idx="6">
                  <c:v>-1.3682727478046794</c:v>
                </c:pt>
                <c:pt idx="7">
                  <c:v>-1.505322254277516</c:v>
                </c:pt>
                <c:pt idx="8">
                  <c:v>-1.5314357466793227</c:v>
                </c:pt>
                <c:pt idx="9">
                  <c:v>-1.0730889671688044</c:v>
                </c:pt>
                <c:pt idx="10">
                  <c:v>-1.051842252420184</c:v>
                </c:pt>
                <c:pt idx="11">
                  <c:v>-0.85517909594061425</c:v>
                </c:pt>
                <c:pt idx="12">
                  <c:v>-1.6492480238532954</c:v>
                </c:pt>
                <c:pt idx="13">
                  <c:v>-2.2877270512447971</c:v>
                </c:pt>
                <c:pt idx="14">
                  <c:v>-1.9793451669169912</c:v>
                </c:pt>
                <c:pt idx="15">
                  <c:v>-1.4250464624002621</c:v>
                </c:pt>
                <c:pt idx="16">
                  <c:v>-0.77815903580839318</c:v>
                </c:pt>
                <c:pt idx="17">
                  <c:v>-0.2100370866071497</c:v>
                </c:pt>
                <c:pt idx="18">
                  <c:v>0.4357662893121601</c:v>
                </c:pt>
                <c:pt idx="19">
                  <c:v>0.88545148497395676</c:v>
                </c:pt>
                <c:pt idx="20">
                  <c:v>1.3493572833570746</c:v>
                </c:pt>
                <c:pt idx="21">
                  <c:v>1.6882066147366648</c:v>
                </c:pt>
                <c:pt idx="22">
                  <c:v>1.8319738500195459</c:v>
                </c:pt>
                <c:pt idx="23">
                  <c:v>1.8915332296029832</c:v>
                </c:pt>
                <c:pt idx="24">
                  <c:v>1.8442924740813045</c:v>
                </c:pt>
                <c:pt idx="25">
                  <c:v>1.61606529747476</c:v>
                </c:pt>
                <c:pt idx="26">
                  <c:v>1.5494378791956007</c:v>
                </c:pt>
                <c:pt idx="27">
                  <c:v>1.4583384980246987</c:v>
                </c:pt>
                <c:pt idx="28">
                  <c:v>1.3858993048279988</c:v>
                </c:pt>
                <c:pt idx="29">
                  <c:v>1.1732703767745514</c:v>
                </c:pt>
                <c:pt idx="30">
                  <c:v>1.1901229709612138</c:v>
                </c:pt>
                <c:pt idx="31">
                  <c:v>1.0861999206550659</c:v>
                </c:pt>
                <c:pt idx="32">
                  <c:v>0.56238109371271627</c:v>
                </c:pt>
                <c:pt idx="33">
                  <c:v>7.6611527969214555E-2</c:v>
                </c:pt>
                <c:pt idx="34">
                  <c:v>-0.13984832765732325</c:v>
                </c:pt>
                <c:pt idx="35">
                  <c:v>-0.37304072963318402</c:v>
                </c:pt>
                <c:pt idx="36">
                  <c:v>-0.4983470558733944</c:v>
                </c:pt>
                <c:pt idx="37">
                  <c:v>-0.60512560231487567</c:v>
                </c:pt>
                <c:pt idx="38">
                  <c:v>-0.47952541003240107</c:v>
                </c:pt>
                <c:pt idx="39">
                  <c:v>-0.36948106017361471</c:v>
                </c:pt>
                <c:pt idx="40">
                  <c:v>-0.29836410781471356</c:v>
                </c:pt>
                <c:pt idx="41">
                  <c:v>-0.63185652322543473</c:v>
                </c:pt>
                <c:pt idx="42">
                  <c:v>-0.77564043506687119</c:v>
                </c:pt>
                <c:pt idx="43">
                  <c:v>-0.57231891354311604</c:v>
                </c:pt>
                <c:pt idx="44">
                  <c:v>0.11234715064488077</c:v>
                </c:pt>
                <c:pt idx="45">
                  <c:v>0.49777693587146921</c:v>
                </c:pt>
                <c:pt idx="46">
                  <c:v>0.60666509440753624</c:v>
                </c:pt>
                <c:pt idx="47">
                  <c:v>0.70297196501053683</c:v>
                </c:pt>
                <c:pt idx="48">
                  <c:v>0.66348878622216301</c:v>
                </c:pt>
                <c:pt idx="49">
                  <c:v>0.67666056069483815</c:v>
                </c:pt>
                <c:pt idx="50">
                  <c:v>0.66444316314063767</c:v>
                </c:pt>
                <c:pt idx="51">
                  <c:v>0.95069763948551322</c:v>
                </c:pt>
                <c:pt idx="52">
                  <c:v>0.64104377332743201</c:v>
                </c:pt>
                <c:pt idx="53">
                  <c:v>0.44235560736308899</c:v>
                </c:pt>
                <c:pt idx="54">
                  <c:v>0.21541226137160707</c:v>
                </c:pt>
                <c:pt idx="55">
                  <c:v>0.12511645997036247</c:v>
                </c:pt>
                <c:pt idx="56">
                  <c:v>-0.27330524061133732</c:v>
                </c:pt>
                <c:pt idx="57">
                  <c:v>-0.25686111309191917</c:v>
                </c:pt>
                <c:pt idx="58">
                  <c:v>-4.4718749169625482E-4</c:v>
                </c:pt>
                <c:pt idx="59">
                  <c:v>0.12043311160345382</c:v>
                </c:pt>
                <c:pt idx="60">
                  <c:v>8.6572835702185102E-2</c:v>
                </c:pt>
                <c:pt idx="61">
                  <c:v>0.29170641823056942</c:v>
                </c:pt>
                <c:pt idx="62">
                  <c:v>0.55863722526441517</c:v>
                </c:pt>
                <c:pt idx="63">
                  <c:v>0.55419752734546468</c:v>
                </c:pt>
                <c:pt idx="64">
                  <c:v>0.53435276199123738</c:v>
                </c:pt>
                <c:pt idx="65">
                  <c:v>0.66294260244087089</c:v>
                </c:pt>
                <c:pt idx="66">
                  <c:v>0.78888630651052205</c:v>
                </c:pt>
                <c:pt idx="67">
                  <c:v>0.77075416099704808</c:v>
                </c:pt>
                <c:pt idx="68">
                  <c:v>0.37560874266406863</c:v>
                </c:pt>
                <c:pt idx="69">
                  <c:v>7.7361525706895584E-2</c:v>
                </c:pt>
                <c:pt idx="70">
                  <c:v>-7.896129274849617E-2</c:v>
                </c:pt>
                <c:pt idx="71">
                  <c:v>-6.4563665152110872E-2</c:v>
                </c:pt>
                <c:pt idx="72">
                  <c:v>-5.3535744918318251E-2</c:v>
                </c:pt>
                <c:pt idx="73">
                  <c:v>-0.2901358040467108</c:v>
                </c:pt>
                <c:pt idx="74">
                  <c:v>-0.70844699060671523</c:v>
                </c:pt>
                <c:pt idx="75">
                  <c:v>-1.1411649139466575</c:v>
                </c:pt>
                <c:pt idx="76">
                  <c:v>-1.4236108725315295</c:v>
                </c:pt>
                <c:pt idx="77">
                  <c:v>-1.4444849605121162</c:v>
                </c:pt>
                <c:pt idx="78">
                  <c:v>-1.4355086703724986</c:v>
                </c:pt>
                <c:pt idx="79">
                  <c:v>-1.0546625044945011</c:v>
                </c:pt>
                <c:pt idx="80">
                  <c:v>-0.79525356592737306</c:v>
                </c:pt>
                <c:pt idx="81">
                  <c:v>-0.76478226731831411</c:v>
                </c:pt>
                <c:pt idx="82">
                  <c:v>-0.70343668629139178</c:v>
                </c:pt>
                <c:pt idx="83">
                  <c:v>-0.5675545446089999</c:v>
                </c:pt>
                <c:pt idx="84">
                  <c:v>-0.24974688847379756</c:v>
                </c:pt>
                <c:pt idx="85">
                  <c:v>-0.23733025849953993</c:v>
                </c:pt>
                <c:pt idx="86">
                  <c:v>-1.8214561688080222E-2</c:v>
                </c:pt>
                <c:pt idx="87">
                  <c:v>0.14287446142597227</c:v>
                </c:pt>
                <c:pt idx="88">
                  <c:v>0.28817942240934558</c:v>
                </c:pt>
                <c:pt idx="89">
                  <c:v>0.33873609709994768</c:v>
                </c:pt>
                <c:pt idx="90">
                  <c:v>0.44327039379509836</c:v>
                </c:pt>
                <c:pt idx="91">
                  <c:v>0.6804458000821757</c:v>
                </c:pt>
                <c:pt idx="92">
                  <c:v>0.93508177615411248</c:v>
                </c:pt>
                <c:pt idx="93">
                  <c:v>1.0371250398956182</c:v>
                </c:pt>
                <c:pt idx="94">
                  <c:v>1.1972717429606101</c:v>
                </c:pt>
                <c:pt idx="95">
                  <c:v>1.3737781039184831</c:v>
                </c:pt>
                <c:pt idx="96">
                  <c:v>1.5992086392685911</c:v>
                </c:pt>
                <c:pt idx="97">
                  <c:v>1.6675338458564242</c:v>
                </c:pt>
                <c:pt idx="98">
                  <c:v>1.6089462797787166</c:v>
                </c:pt>
                <c:pt idx="99">
                  <c:v>1.4555383268223148</c:v>
                </c:pt>
                <c:pt idx="100">
                  <c:v>1.5097138227537763</c:v>
                </c:pt>
                <c:pt idx="101">
                  <c:v>1.5032846422521478</c:v>
                </c:pt>
                <c:pt idx="102">
                  <c:v>1.308999736372022</c:v>
                </c:pt>
                <c:pt idx="103">
                  <c:v>1.1796703373175936</c:v>
                </c:pt>
                <c:pt idx="104">
                  <c:v>1.0121817820648893</c:v>
                </c:pt>
                <c:pt idx="105">
                  <c:v>1.0021092656366388</c:v>
                </c:pt>
                <c:pt idx="106">
                  <c:v>1.0589517789267502</c:v>
                </c:pt>
                <c:pt idx="107">
                  <c:v>0.65009697845719838</c:v>
                </c:pt>
                <c:pt idx="108">
                  <c:v>0.42687591507811895</c:v>
                </c:pt>
                <c:pt idx="109">
                  <c:v>0.51963544712357823</c:v>
                </c:pt>
                <c:pt idx="110">
                  <c:v>0.55423329041137936</c:v>
                </c:pt>
                <c:pt idx="111">
                  <c:v>0.68650760527893162</c:v>
                </c:pt>
                <c:pt idx="112">
                  <c:v>0.73684964171274991</c:v>
                </c:pt>
                <c:pt idx="113">
                  <c:v>0.46029459997225608</c:v>
                </c:pt>
                <c:pt idx="114">
                  <c:v>-5.152122994128483E-3</c:v>
                </c:pt>
                <c:pt idx="115">
                  <c:v>-0.46183482450389501</c:v>
                </c:pt>
                <c:pt idx="116">
                  <c:v>-1.1937183400084326</c:v>
                </c:pt>
                <c:pt idx="117">
                  <c:v>-1.6689937293635593</c:v>
                </c:pt>
                <c:pt idx="118">
                  <c:v>-1.8187817970648403</c:v>
                </c:pt>
                <c:pt idx="119">
                  <c:v>-2.0352754583638415</c:v>
                </c:pt>
                <c:pt idx="120">
                  <c:v>-2.0682691961782327</c:v>
                </c:pt>
                <c:pt idx="121">
                  <c:v>-2.3844091354190233</c:v>
                </c:pt>
                <c:pt idx="122">
                  <c:v>-2.63903244253286</c:v>
                </c:pt>
                <c:pt idx="123">
                  <c:v>-2.7508581602653588</c:v>
                </c:pt>
                <c:pt idx="124">
                  <c:v>-2.3966504039283616</c:v>
                </c:pt>
                <c:pt idx="125">
                  <c:v>-2.6696584256488674</c:v>
                </c:pt>
                <c:pt idx="126">
                  <c:v>-2.5923427916214266</c:v>
                </c:pt>
                <c:pt idx="127">
                  <c:v>-2.8717836509508232</c:v>
                </c:pt>
                <c:pt idx="128">
                  <c:v>-2.8092737689870138</c:v>
                </c:pt>
                <c:pt idx="129">
                  <c:v>-2.6161017779874456</c:v>
                </c:pt>
                <c:pt idx="130">
                  <c:v>-2.3905076195352479</c:v>
                </c:pt>
                <c:pt idx="131">
                  <c:v>-1.6429808388047422</c:v>
                </c:pt>
                <c:pt idx="132">
                  <c:v>-0.51951938910891293</c:v>
                </c:pt>
                <c:pt idx="133">
                  <c:v>0.31599206631127164</c:v>
                </c:pt>
                <c:pt idx="134">
                  <c:v>0.74334624773313518</c:v>
                </c:pt>
                <c:pt idx="135">
                  <c:v>0.90226568779891547</c:v>
                </c:pt>
                <c:pt idx="136">
                  <c:v>0.47411511833254227</c:v>
                </c:pt>
                <c:pt idx="137">
                  <c:v>0.51495393999561623</c:v>
                </c:pt>
                <c:pt idx="138">
                  <c:v>0.51968526472957866</c:v>
                </c:pt>
                <c:pt idx="139">
                  <c:v>0.5692756951294009</c:v>
                </c:pt>
                <c:pt idx="140">
                  <c:v>0.2384818485235729</c:v>
                </c:pt>
                <c:pt idx="141">
                  <c:v>4.4084812053048594E-2</c:v>
                </c:pt>
                <c:pt idx="142">
                  <c:v>0.2611662253010012</c:v>
                </c:pt>
                <c:pt idx="143">
                  <c:v>0.67823062417303737</c:v>
                </c:pt>
                <c:pt idx="144">
                  <c:v>1.2233966965457039</c:v>
                </c:pt>
                <c:pt idx="145">
                  <c:v>1.716017455759514</c:v>
                </c:pt>
                <c:pt idx="146">
                  <c:v>1.9417521613292035</c:v>
                </c:pt>
                <c:pt idx="147">
                  <c:v>2.0177721885135371</c:v>
                </c:pt>
                <c:pt idx="148">
                  <c:v>2.0271078410660301</c:v>
                </c:pt>
                <c:pt idx="149">
                  <c:v>1.9104035372116213</c:v>
                </c:pt>
                <c:pt idx="150">
                  <c:v>1.8332497916239729</c:v>
                </c:pt>
                <c:pt idx="151">
                  <c:v>1.6780053107206547</c:v>
                </c:pt>
                <c:pt idx="152">
                  <c:v>1.0556557940070814</c:v>
                </c:pt>
                <c:pt idx="153">
                  <c:v>0.40177237015410672</c:v>
                </c:pt>
                <c:pt idx="154">
                  <c:v>0.24650027830139232</c:v>
                </c:pt>
                <c:pt idx="155">
                  <c:v>-0.12155158760397566</c:v>
                </c:pt>
                <c:pt idx="156">
                  <c:v>-0.49427056088499155</c:v>
                </c:pt>
                <c:pt idx="157">
                  <c:v>-0.72735796170321088</c:v>
                </c:pt>
                <c:pt idx="158">
                  <c:v>-0.87309026142104784</c:v>
                </c:pt>
                <c:pt idx="159">
                  <c:v>-0.68959729399920777</c:v>
                </c:pt>
                <c:pt idx="160">
                  <c:v>-1.2861243664480935</c:v>
                </c:pt>
                <c:pt idx="161">
                  <c:v>-2.0214531800518452</c:v>
                </c:pt>
                <c:pt idx="162">
                  <c:v>-2.6232126783841028</c:v>
                </c:pt>
                <c:pt idx="163">
                  <c:v>-3.3232622215262122</c:v>
                </c:pt>
                <c:pt idx="164">
                  <c:v>-3.3316316748880737</c:v>
                </c:pt>
                <c:pt idx="165">
                  <c:v>-3.1090355355621009</c:v>
                </c:pt>
                <c:pt idx="166">
                  <c:v>-2.8624055220020188</c:v>
                </c:pt>
                <c:pt idx="167">
                  <c:v>-2.3607801110072026</c:v>
                </c:pt>
                <c:pt idx="168">
                  <c:v>-1.9557310420005374</c:v>
                </c:pt>
                <c:pt idx="169">
                  <c:v>-1.2891181931463738</c:v>
                </c:pt>
                <c:pt idx="170">
                  <c:v>-0.59969722548293714</c:v>
                </c:pt>
                <c:pt idx="171">
                  <c:v>0.10498356586545388</c:v>
                </c:pt>
                <c:pt idx="172">
                  <c:v>0.44764455036821627</c:v>
                </c:pt>
                <c:pt idx="173">
                  <c:v>0.83414759965392538</c:v>
                </c:pt>
                <c:pt idx="174">
                  <c:v>0.69819560639170497</c:v>
                </c:pt>
                <c:pt idx="175">
                  <c:v>0.88997823087980699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C8-B14F-A384-FE9804BA7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5006783"/>
        <c:axId val="755008495"/>
      </c:barChart>
      <c:lineChart>
        <c:grouping val="standard"/>
        <c:varyColors val="0"/>
        <c:ser>
          <c:idx val="0"/>
          <c:order val="0"/>
          <c:tx>
            <c:strRef>
              <c:f>MACD!$F$4</c:f>
              <c:strCache>
                <c:ptCount val="1"/>
                <c:pt idx="0">
                  <c:v>MACD 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MACD!$A$17:$A$192</c:f>
              <c:numCache>
                <c:formatCode>m/d/yy</c:formatCode>
                <c:ptCount val="176"/>
                <c:pt idx="0">
                  <c:v>45491</c:v>
                </c:pt>
                <c:pt idx="1">
                  <c:v>45492</c:v>
                </c:pt>
                <c:pt idx="2">
                  <c:v>45495</c:v>
                </c:pt>
                <c:pt idx="3">
                  <c:v>45496</c:v>
                </c:pt>
                <c:pt idx="4">
                  <c:v>45497</c:v>
                </c:pt>
                <c:pt idx="5">
                  <c:v>45498</c:v>
                </c:pt>
                <c:pt idx="6">
                  <c:v>45499</c:v>
                </c:pt>
                <c:pt idx="7">
                  <c:v>45502</c:v>
                </c:pt>
                <c:pt idx="8">
                  <c:v>45503</c:v>
                </c:pt>
                <c:pt idx="9">
                  <c:v>45504</c:v>
                </c:pt>
                <c:pt idx="10">
                  <c:v>45505</c:v>
                </c:pt>
                <c:pt idx="11">
                  <c:v>45506</c:v>
                </c:pt>
                <c:pt idx="12">
                  <c:v>45509</c:v>
                </c:pt>
                <c:pt idx="13">
                  <c:v>45510</c:v>
                </c:pt>
                <c:pt idx="14">
                  <c:v>45511</c:v>
                </c:pt>
                <c:pt idx="15">
                  <c:v>45512</c:v>
                </c:pt>
                <c:pt idx="16">
                  <c:v>45513</c:v>
                </c:pt>
                <c:pt idx="17">
                  <c:v>45516</c:v>
                </c:pt>
                <c:pt idx="18">
                  <c:v>45517</c:v>
                </c:pt>
                <c:pt idx="19">
                  <c:v>45518</c:v>
                </c:pt>
                <c:pt idx="20">
                  <c:v>45519</c:v>
                </c:pt>
                <c:pt idx="21">
                  <c:v>45520</c:v>
                </c:pt>
                <c:pt idx="22">
                  <c:v>45523</c:v>
                </c:pt>
                <c:pt idx="23">
                  <c:v>45524</c:v>
                </c:pt>
                <c:pt idx="24">
                  <c:v>45525</c:v>
                </c:pt>
                <c:pt idx="25">
                  <c:v>45526</c:v>
                </c:pt>
                <c:pt idx="26">
                  <c:v>45527</c:v>
                </c:pt>
                <c:pt idx="27">
                  <c:v>45530</c:v>
                </c:pt>
                <c:pt idx="28">
                  <c:v>45531</c:v>
                </c:pt>
                <c:pt idx="29">
                  <c:v>45532</c:v>
                </c:pt>
                <c:pt idx="30">
                  <c:v>45533</c:v>
                </c:pt>
                <c:pt idx="31">
                  <c:v>45534</c:v>
                </c:pt>
                <c:pt idx="32">
                  <c:v>45538</c:v>
                </c:pt>
                <c:pt idx="33">
                  <c:v>45539</c:v>
                </c:pt>
                <c:pt idx="34">
                  <c:v>45540</c:v>
                </c:pt>
                <c:pt idx="35">
                  <c:v>45541</c:v>
                </c:pt>
                <c:pt idx="36">
                  <c:v>45544</c:v>
                </c:pt>
                <c:pt idx="37">
                  <c:v>45545</c:v>
                </c:pt>
                <c:pt idx="38">
                  <c:v>45546</c:v>
                </c:pt>
                <c:pt idx="39">
                  <c:v>45547</c:v>
                </c:pt>
                <c:pt idx="40">
                  <c:v>45548</c:v>
                </c:pt>
                <c:pt idx="41">
                  <c:v>45551</c:v>
                </c:pt>
                <c:pt idx="42">
                  <c:v>45552</c:v>
                </c:pt>
                <c:pt idx="43">
                  <c:v>45553</c:v>
                </c:pt>
                <c:pt idx="44">
                  <c:v>45554</c:v>
                </c:pt>
                <c:pt idx="45">
                  <c:v>45555</c:v>
                </c:pt>
                <c:pt idx="46">
                  <c:v>45558</c:v>
                </c:pt>
                <c:pt idx="47">
                  <c:v>45559</c:v>
                </c:pt>
                <c:pt idx="48">
                  <c:v>45560</c:v>
                </c:pt>
                <c:pt idx="49">
                  <c:v>45561</c:v>
                </c:pt>
                <c:pt idx="50">
                  <c:v>45562</c:v>
                </c:pt>
                <c:pt idx="51">
                  <c:v>45565</c:v>
                </c:pt>
                <c:pt idx="52">
                  <c:v>45566</c:v>
                </c:pt>
                <c:pt idx="53">
                  <c:v>45567</c:v>
                </c:pt>
                <c:pt idx="54">
                  <c:v>45568</c:v>
                </c:pt>
                <c:pt idx="55">
                  <c:v>45569</c:v>
                </c:pt>
                <c:pt idx="56">
                  <c:v>45572</c:v>
                </c:pt>
                <c:pt idx="57">
                  <c:v>45573</c:v>
                </c:pt>
                <c:pt idx="58">
                  <c:v>45574</c:v>
                </c:pt>
                <c:pt idx="59">
                  <c:v>45575</c:v>
                </c:pt>
                <c:pt idx="60">
                  <c:v>45576</c:v>
                </c:pt>
                <c:pt idx="61">
                  <c:v>45579</c:v>
                </c:pt>
                <c:pt idx="62">
                  <c:v>45580</c:v>
                </c:pt>
                <c:pt idx="63">
                  <c:v>45581</c:v>
                </c:pt>
                <c:pt idx="64">
                  <c:v>45582</c:v>
                </c:pt>
                <c:pt idx="65">
                  <c:v>45583</c:v>
                </c:pt>
                <c:pt idx="66">
                  <c:v>45586</c:v>
                </c:pt>
                <c:pt idx="67">
                  <c:v>45587</c:v>
                </c:pt>
                <c:pt idx="68">
                  <c:v>45588</c:v>
                </c:pt>
                <c:pt idx="69">
                  <c:v>45589</c:v>
                </c:pt>
                <c:pt idx="70">
                  <c:v>45590</c:v>
                </c:pt>
                <c:pt idx="71">
                  <c:v>45593</c:v>
                </c:pt>
                <c:pt idx="72">
                  <c:v>45594</c:v>
                </c:pt>
                <c:pt idx="73">
                  <c:v>45595</c:v>
                </c:pt>
                <c:pt idx="74">
                  <c:v>45596</c:v>
                </c:pt>
                <c:pt idx="75">
                  <c:v>45597</c:v>
                </c:pt>
                <c:pt idx="76">
                  <c:v>45600</c:v>
                </c:pt>
                <c:pt idx="77">
                  <c:v>45601</c:v>
                </c:pt>
                <c:pt idx="78">
                  <c:v>45602</c:v>
                </c:pt>
                <c:pt idx="79">
                  <c:v>45603</c:v>
                </c:pt>
                <c:pt idx="80">
                  <c:v>45604</c:v>
                </c:pt>
                <c:pt idx="81">
                  <c:v>45607</c:v>
                </c:pt>
                <c:pt idx="82">
                  <c:v>45608</c:v>
                </c:pt>
                <c:pt idx="83">
                  <c:v>45609</c:v>
                </c:pt>
                <c:pt idx="84">
                  <c:v>45610</c:v>
                </c:pt>
                <c:pt idx="85">
                  <c:v>45611</c:v>
                </c:pt>
                <c:pt idx="86">
                  <c:v>45614</c:v>
                </c:pt>
                <c:pt idx="87">
                  <c:v>45615</c:v>
                </c:pt>
                <c:pt idx="88">
                  <c:v>45616</c:v>
                </c:pt>
                <c:pt idx="89">
                  <c:v>45617</c:v>
                </c:pt>
                <c:pt idx="90">
                  <c:v>45618</c:v>
                </c:pt>
                <c:pt idx="91">
                  <c:v>45621</c:v>
                </c:pt>
                <c:pt idx="92">
                  <c:v>45622</c:v>
                </c:pt>
                <c:pt idx="93">
                  <c:v>45623</c:v>
                </c:pt>
                <c:pt idx="94">
                  <c:v>45625</c:v>
                </c:pt>
                <c:pt idx="95">
                  <c:v>45628</c:v>
                </c:pt>
                <c:pt idx="96">
                  <c:v>45629</c:v>
                </c:pt>
                <c:pt idx="97">
                  <c:v>45630</c:v>
                </c:pt>
                <c:pt idx="98">
                  <c:v>45631</c:v>
                </c:pt>
                <c:pt idx="99">
                  <c:v>45632</c:v>
                </c:pt>
                <c:pt idx="100">
                  <c:v>45635</c:v>
                </c:pt>
                <c:pt idx="101">
                  <c:v>45636</c:v>
                </c:pt>
                <c:pt idx="102">
                  <c:v>45637</c:v>
                </c:pt>
                <c:pt idx="103">
                  <c:v>45638</c:v>
                </c:pt>
                <c:pt idx="104">
                  <c:v>45639</c:v>
                </c:pt>
                <c:pt idx="105">
                  <c:v>45642</c:v>
                </c:pt>
                <c:pt idx="106">
                  <c:v>45643</c:v>
                </c:pt>
                <c:pt idx="107">
                  <c:v>45644</c:v>
                </c:pt>
                <c:pt idx="108">
                  <c:v>45645</c:v>
                </c:pt>
                <c:pt idx="109">
                  <c:v>45646</c:v>
                </c:pt>
                <c:pt idx="110">
                  <c:v>45649</c:v>
                </c:pt>
                <c:pt idx="111">
                  <c:v>45650</c:v>
                </c:pt>
                <c:pt idx="112">
                  <c:v>45652</c:v>
                </c:pt>
                <c:pt idx="113">
                  <c:v>45653</c:v>
                </c:pt>
                <c:pt idx="114">
                  <c:v>45656</c:v>
                </c:pt>
                <c:pt idx="115">
                  <c:v>45657</c:v>
                </c:pt>
                <c:pt idx="116">
                  <c:v>45659</c:v>
                </c:pt>
                <c:pt idx="117">
                  <c:v>45660</c:v>
                </c:pt>
                <c:pt idx="118">
                  <c:v>45663</c:v>
                </c:pt>
                <c:pt idx="119">
                  <c:v>45664</c:v>
                </c:pt>
                <c:pt idx="120">
                  <c:v>45665</c:v>
                </c:pt>
                <c:pt idx="121">
                  <c:v>45667</c:v>
                </c:pt>
                <c:pt idx="122">
                  <c:v>45670</c:v>
                </c:pt>
                <c:pt idx="123">
                  <c:v>45671</c:v>
                </c:pt>
                <c:pt idx="124">
                  <c:v>45672</c:v>
                </c:pt>
                <c:pt idx="125">
                  <c:v>45673</c:v>
                </c:pt>
                <c:pt idx="126">
                  <c:v>45674</c:v>
                </c:pt>
                <c:pt idx="127">
                  <c:v>45678</c:v>
                </c:pt>
                <c:pt idx="128">
                  <c:v>45679</c:v>
                </c:pt>
                <c:pt idx="129">
                  <c:v>45680</c:v>
                </c:pt>
                <c:pt idx="130">
                  <c:v>45681</c:v>
                </c:pt>
                <c:pt idx="131">
                  <c:v>45684</c:v>
                </c:pt>
                <c:pt idx="132">
                  <c:v>45685</c:v>
                </c:pt>
                <c:pt idx="133">
                  <c:v>45686</c:v>
                </c:pt>
                <c:pt idx="134">
                  <c:v>45687</c:v>
                </c:pt>
                <c:pt idx="135">
                  <c:v>45688</c:v>
                </c:pt>
                <c:pt idx="136">
                  <c:v>45691</c:v>
                </c:pt>
                <c:pt idx="137">
                  <c:v>45692</c:v>
                </c:pt>
                <c:pt idx="138">
                  <c:v>45693</c:v>
                </c:pt>
                <c:pt idx="139">
                  <c:v>45694</c:v>
                </c:pt>
                <c:pt idx="140">
                  <c:v>45695</c:v>
                </c:pt>
                <c:pt idx="141">
                  <c:v>45698</c:v>
                </c:pt>
                <c:pt idx="142">
                  <c:v>45699</c:v>
                </c:pt>
                <c:pt idx="143">
                  <c:v>45700</c:v>
                </c:pt>
                <c:pt idx="144">
                  <c:v>45701</c:v>
                </c:pt>
                <c:pt idx="145">
                  <c:v>45702</c:v>
                </c:pt>
                <c:pt idx="146">
                  <c:v>45706</c:v>
                </c:pt>
                <c:pt idx="147">
                  <c:v>45707</c:v>
                </c:pt>
                <c:pt idx="148">
                  <c:v>45708</c:v>
                </c:pt>
                <c:pt idx="149">
                  <c:v>45709</c:v>
                </c:pt>
                <c:pt idx="150">
                  <c:v>45712</c:v>
                </c:pt>
                <c:pt idx="151">
                  <c:v>45713</c:v>
                </c:pt>
                <c:pt idx="152">
                  <c:v>45714</c:v>
                </c:pt>
                <c:pt idx="153">
                  <c:v>45715</c:v>
                </c:pt>
                <c:pt idx="154">
                  <c:v>45716</c:v>
                </c:pt>
                <c:pt idx="155">
                  <c:v>45719</c:v>
                </c:pt>
                <c:pt idx="156">
                  <c:v>45720</c:v>
                </c:pt>
                <c:pt idx="157">
                  <c:v>45721</c:v>
                </c:pt>
                <c:pt idx="158">
                  <c:v>45722</c:v>
                </c:pt>
                <c:pt idx="159">
                  <c:v>45723</c:v>
                </c:pt>
                <c:pt idx="160">
                  <c:v>45726</c:v>
                </c:pt>
                <c:pt idx="161">
                  <c:v>45727</c:v>
                </c:pt>
                <c:pt idx="162">
                  <c:v>45728</c:v>
                </c:pt>
                <c:pt idx="163">
                  <c:v>45729</c:v>
                </c:pt>
                <c:pt idx="164">
                  <c:v>45730</c:v>
                </c:pt>
                <c:pt idx="165">
                  <c:v>45733</c:v>
                </c:pt>
                <c:pt idx="166">
                  <c:v>45734</c:v>
                </c:pt>
                <c:pt idx="167">
                  <c:v>45735</c:v>
                </c:pt>
                <c:pt idx="168">
                  <c:v>45736</c:v>
                </c:pt>
                <c:pt idx="169">
                  <c:v>45737</c:v>
                </c:pt>
                <c:pt idx="170">
                  <c:v>45740</c:v>
                </c:pt>
                <c:pt idx="171">
                  <c:v>45741</c:v>
                </c:pt>
                <c:pt idx="172">
                  <c:v>45742</c:v>
                </c:pt>
                <c:pt idx="173">
                  <c:v>45743</c:v>
                </c:pt>
                <c:pt idx="174">
                  <c:v>45744</c:v>
                </c:pt>
                <c:pt idx="175">
                  <c:v>45747</c:v>
                </c:pt>
              </c:numCache>
            </c:numRef>
          </c:cat>
          <c:val>
            <c:numRef>
              <c:f>MACD!$F$17:$F$192</c:f>
              <c:numCache>
                <c:formatCode>_-* #,##0.00_-;\-* #,##0.00_-;_-* "-"??_-;_-@_-</c:formatCode>
                <c:ptCount val="176"/>
                <c:pt idx="0">
                  <c:v>-0.25923076923075428</c:v>
                </c:pt>
                <c:pt idx="1">
                  <c:v>-0.46501690617071745</c:v>
                </c:pt>
                <c:pt idx="2">
                  <c:v>-0.66528903049609767</c:v>
                </c:pt>
                <c:pt idx="3">
                  <c:v>-0.73284071811210083</c:v>
                </c:pt>
                <c:pt idx="4">
                  <c:v>-1.4005880736966674</c:v>
                </c:pt>
                <c:pt idx="5">
                  <c:v>-2.0481622564261102</c:v>
                </c:pt>
                <c:pt idx="6">
                  <c:v>-2.5248394981275339</c:v>
                </c:pt>
                <c:pt idx="7">
                  <c:v>-2.8769350409257299</c:v>
                </c:pt>
                <c:pt idx="8">
                  <c:v>-3.094478001662452</c:v>
                </c:pt>
                <c:pt idx="9">
                  <c:v>-2.904403463944135</c:v>
                </c:pt>
                <c:pt idx="10">
                  <c:v>-3.1461173123005608</c:v>
                </c:pt>
                <c:pt idx="11">
                  <c:v>-3.1632489298061444</c:v>
                </c:pt>
                <c:pt idx="12">
                  <c:v>-4.3696298636821496</c:v>
                </c:pt>
                <c:pt idx="13">
                  <c:v>-5.5800406538848506</c:v>
                </c:pt>
                <c:pt idx="14">
                  <c:v>-5.7664950612862924</c:v>
                </c:pt>
                <c:pt idx="15">
                  <c:v>-5.5684579723696288</c:v>
                </c:pt>
                <c:pt idx="16">
                  <c:v>-5.1161103047298582</c:v>
                </c:pt>
                <c:pt idx="17">
                  <c:v>-4.6004976271804026</c:v>
                </c:pt>
                <c:pt idx="18">
                  <c:v>-3.8457526789330529</c:v>
                </c:pt>
                <c:pt idx="19">
                  <c:v>-3.1747046120277673</c:v>
                </c:pt>
                <c:pt idx="20">
                  <c:v>-2.3734594928053809</c:v>
                </c:pt>
                <c:pt idx="21">
                  <c:v>-1.6125585077416247</c:v>
                </c:pt>
                <c:pt idx="22">
                  <c:v>-1.010797809953857</c:v>
                </c:pt>
                <c:pt idx="23">
                  <c:v>-0.47835512296967408</c:v>
                </c:pt>
                <c:pt idx="24">
                  <c:v>-6.4522759971026744E-2</c:v>
                </c:pt>
                <c:pt idx="25">
                  <c:v>0.11126638779111886</c:v>
                </c:pt>
                <c:pt idx="26">
                  <c:v>0.43199843931085979</c:v>
                </c:pt>
                <c:pt idx="27">
                  <c:v>0.70548368264613259</c:v>
                </c:pt>
                <c:pt idx="28">
                  <c:v>0.97951931565643235</c:v>
                </c:pt>
                <c:pt idx="29">
                  <c:v>1.0602079817966228</c:v>
                </c:pt>
                <c:pt idx="30">
                  <c:v>1.3745913187235885</c:v>
                </c:pt>
                <c:pt idx="31">
                  <c:v>1.5422182485812073</c:v>
                </c:pt>
                <c:pt idx="32">
                  <c:v>1.1589946950670367</c:v>
                </c:pt>
                <c:pt idx="33">
                  <c:v>0.69237801131583865</c:v>
                </c:pt>
                <c:pt idx="34">
                  <c:v>0.44095607377497004</c:v>
                </c:pt>
                <c:pt idx="35">
                  <c:v>0.11450348939081323</c:v>
                </c:pt>
                <c:pt idx="36">
                  <c:v>-0.13538960081774576</c:v>
                </c:pt>
                <c:pt idx="37">
                  <c:v>-0.39344954783794606</c:v>
                </c:pt>
                <c:pt idx="38">
                  <c:v>-0.38773070806357168</c:v>
                </c:pt>
                <c:pt idx="39">
                  <c:v>-0.370056623248189</c:v>
                </c:pt>
                <c:pt idx="40">
                  <c:v>-0.37353069784296622</c:v>
                </c:pt>
                <c:pt idx="41">
                  <c:v>-0.86498724406004612</c:v>
                </c:pt>
                <c:pt idx="42">
                  <c:v>-1.2026812646682004</c:v>
                </c:pt>
                <c:pt idx="43">
                  <c:v>-1.1424394715302242</c:v>
                </c:pt>
                <c:pt idx="44">
                  <c:v>-0.42968661968100719</c:v>
                </c:pt>
                <c:pt idx="45">
                  <c:v>8.0187399513448554E-2</c:v>
                </c:pt>
                <c:pt idx="46">
                  <c:v>0.34074183165139971</c:v>
                </c:pt>
                <c:pt idx="47">
                  <c:v>0.61279169350703455</c:v>
                </c:pt>
                <c:pt idx="48">
                  <c:v>0.73918071127420149</c:v>
                </c:pt>
                <c:pt idx="49">
                  <c:v>0.92151762592058617</c:v>
                </c:pt>
                <c:pt idx="50">
                  <c:v>1.0754110191515451</c:v>
                </c:pt>
                <c:pt idx="51">
                  <c:v>1.599339905367799</c:v>
                </c:pt>
                <c:pt idx="52">
                  <c:v>1.4499469825415758</c:v>
                </c:pt>
                <c:pt idx="53">
                  <c:v>1.3618477184180051</c:v>
                </c:pt>
                <c:pt idx="54">
                  <c:v>1.188757437769425</c:v>
                </c:pt>
                <c:pt idx="55">
                  <c:v>1.1297407513607709</c:v>
                </c:pt>
                <c:pt idx="56">
                  <c:v>0.66299274062623681</c:v>
                </c:pt>
                <c:pt idx="57">
                  <c:v>0.61522158987267517</c:v>
                </c:pt>
                <c:pt idx="58">
                  <c:v>0.87152371859997402</c:v>
                </c:pt>
                <c:pt idx="59">
                  <c:v>1.0225122955959876</c:v>
                </c:pt>
                <c:pt idx="60">
                  <c:v>1.0102952286202651</c:v>
                </c:pt>
                <c:pt idx="61">
                  <c:v>1.2883554157062918</c:v>
                </c:pt>
                <c:pt idx="62">
                  <c:v>1.6949455290562412</c:v>
                </c:pt>
                <c:pt idx="63">
                  <c:v>1.8290552129736568</c:v>
                </c:pt>
                <c:pt idx="64">
                  <c:v>1.9427986381172389</c:v>
                </c:pt>
                <c:pt idx="65">
                  <c:v>2.23712412917709</c:v>
                </c:pt>
                <c:pt idx="66">
                  <c:v>2.5602894098743718</c:v>
                </c:pt>
                <c:pt idx="67">
                  <c:v>2.7348458046101598</c:v>
                </c:pt>
                <c:pt idx="68">
                  <c:v>2.4336025719431973</c:v>
                </c:pt>
                <c:pt idx="69">
                  <c:v>2.1546957364127479</c:v>
                </c:pt>
                <c:pt idx="70">
                  <c:v>1.9786325947702323</c:v>
                </c:pt>
                <c:pt idx="71">
                  <c:v>1.9768893060785899</c:v>
                </c:pt>
                <c:pt idx="72">
                  <c:v>1.9745332900828032</c:v>
                </c:pt>
                <c:pt idx="73">
                  <c:v>1.6653992799427328</c:v>
                </c:pt>
                <c:pt idx="74">
                  <c:v>1.0699763457310496</c:v>
                </c:pt>
                <c:pt idx="75">
                  <c:v>0.35196719390444287</c:v>
                </c:pt>
                <c:pt idx="76">
                  <c:v>-0.28638148281331155</c:v>
                </c:pt>
                <c:pt idx="77">
                  <c:v>-0.66837681092192724</c:v>
                </c:pt>
                <c:pt idx="78">
                  <c:v>-1.0182776883754343</c:v>
                </c:pt>
                <c:pt idx="79">
                  <c:v>-0.90109714862106216</c:v>
                </c:pt>
                <c:pt idx="80">
                  <c:v>-0.84050160153577735</c:v>
                </c:pt>
                <c:pt idx="81">
                  <c:v>-1.001225869756297</c:v>
                </c:pt>
                <c:pt idx="82">
                  <c:v>-1.1157394603022226</c:v>
                </c:pt>
                <c:pt idx="83">
                  <c:v>-1.1217459547720807</c:v>
                </c:pt>
                <c:pt idx="84">
                  <c:v>-0.8663750207553278</c:v>
                </c:pt>
                <c:pt idx="85">
                  <c:v>-0.91329095540595517</c:v>
                </c:pt>
                <c:pt idx="86">
                  <c:v>-0.69872889901651547</c:v>
                </c:pt>
                <c:pt idx="87">
                  <c:v>-0.50192126054596997</c:v>
                </c:pt>
                <c:pt idx="88">
                  <c:v>-0.28457144396026024</c:v>
                </c:pt>
                <c:pt idx="89">
                  <c:v>-0.14933074499467125</c:v>
                </c:pt>
                <c:pt idx="90">
                  <c:v>6.6021150149254026E-2</c:v>
                </c:pt>
                <c:pt idx="91">
                  <c:v>0.47330800645687532</c:v>
                </c:pt>
                <c:pt idx="92">
                  <c:v>0.9617144265673403</c:v>
                </c:pt>
                <c:pt idx="93">
                  <c:v>1.3230389502827506</c:v>
                </c:pt>
                <c:pt idx="94">
                  <c:v>1.7825035890878951</c:v>
                </c:pt>
                <c:pt idx="95">
                  <c:v>2.3024544760253889</c:v>
                </c:pt>
                <c:pt idx="96">
                  <c:v>2.9276871711926447</c:v>
                </c:pt>
                <c:pt idx="97">
                  <c:v>3.4128958392445838</c:v>
                </c:pt>
                <c:pt idx="98">
                  <c:v>3.7565448431115556</c:v>
                </c:pt>
                <c:pt idx="99">
                  <c:v>3.9670214718607326</c:v>
                </c:pt>
                <c:pt idx="100">
                  <c:v>4.3986254234806381</c:v>
                </c:pt>
                <c:pt idx="101">
                  <c:v>4.7680174035420464</c:v>
                </c:pt>
                <c:pt idx="102">
                  <c:v>4.900982431754926</c:v>
                </c:pt>
                <c:pt idx="103">
                  <c:v>5.0665706170298961</c:v>
                </c:pt>
                <c:pt idx="104">
                  <c:v>5.1521275072934145</c:v>
                </c:pt>
                <c:pt idx="105">
                  <c:v>5.3925823072743242</c:v>
                </c:pt>
                <c:pt idx="106">
                  <c:v>5.7141627652961233</c:v>
                </c:pt>
                <c:pt idx="107">
                  <c:v>5.4678322094408713</c:v>
                </c:pt>
                <c:pt idx="108">
                  <c:v>5.3513301248313212</c:v>
                </c:pt>
                <c:pt idx="109">
                  <c:v>5.5739985186576746</c:v>
                </c:pt>
                <c:pt idx="110">
                  <c:v>5.7471546845483203</c:v>
                </c:pt>
                <c:pt idx="111">
                  <c:v>6.0510559007356051</c:v>
                </c:pt>
                <c:pt idx="112">
                  <c:v>6.2856103475976113</c:v>
                </c:pt>
                <c:pt idx="113">
                  <c:v>6.1241289558501819</c:v>
                </c:pt>
                <c:pt idx="114">
                  <c:v>5.657394202135265</c:v>
                </c:pt>
                <c:pt idx="115">
                  <c:v>5.0852527944995245</c:v>
                </c:pt>
                <c:pt idx="116">
                  <c:v>4.0549396939928783</c:v>
                </c:pt>
                <c:pt idx="117">
                  <c:v>3.1624158722968616</c:v>
                </c:pt>
                <c:pt idx="118">
                  <c:v>2.5579323553293705</c:v>
                </c:pt>
                <c:pt idx="119">
                  <c:v>1.8326198294394089</c:v>
                </c:pt>
                <c:pt idx="120">
                  <c:v>1.2825587925804598</c:v>
                </c:pt>
                <c:pt idx="121">
                  <c:v>0.37031656948491332</c:v>
                </c:pt>
                <c:pt idx="122">
                  <c:v>-0.54406484826213841</c:v>
                </c:pt>
                <c:pt idx="123">
                  <c:v>-1.3436051060609771</c:v>
                </c:pt>
                <c:pt idx="124">
                  <c:v>-1.5885599507060704</c:v>
                </c:pt>
                <c:pt idx="125">
                  <c:v>-2.528982578838793</c:v>
                </c:pt>
                <c:pt idx="126">
                  <c:v>-3.0997526427167088</c:v>
                </c:pt>
                <c:pt idx="127">
                  <c:v>-4.0971394147838112</c:v>
                </c:pt>
                <c:pt idx="128">
                  <c:v>-4.7369479750667551</c:v>
                </c:pt>
                <c:pt idx="129">
                  <c:v>-5.1978014285640484</c:v>
                </c:pt>
                <c:pt idx="130">
                  <c:v>-5.5698341749956626</c:v>
                </c:pt>
                <c:pt idx="131">
                  <c:v>-5.2330526039663425</c:v>
                </c:pt>
                <c:pt idx="132">
                  <c:v>-4.2394710015477415</c:v>
                </c:pt>
                <c:pt idx="133">
                  <c:v>-3.3249615295497392</c:v>
                </c:pt>
                <c:pt idx="134">
                  <c:v>-2.7117707861945917</c:v>
                </c:pt>
                <c:pt idx="135">
                  <c:v>-2.3272849241790823</c:v>
                </c:pt>
                <c:pt idx="136">
                  <c:v>-2.6369067140623201</c:v>
                </c:pt>
                <c:pt idx="137">
                  <c:v>-2.4673294074003422</c:v>
                </c:pt>
                <c:pt idx="138">
                  <c:v>-2.3326767664839849</c:v>
                </c:pt>
                <c:pt idx="139">
                  <c:v>-2.1407674123018126</c:v>
                </c:pt>
                <c:pt idx="140">
                  <c:v>-2.4119407967767472</c:v>
                </c:pt>
                <c:pt idx="141">
                  <c:v>-2.5953166302340094</c:v>
                </c:pt>
                <c:pt idx="142">
                  <c:v>-2.3129436606608067</c:v>
                </c:pt>
                <c:pt idx="143">
                  <c:v>-1.7263216057455111</c:v>
                </c:pt>
                <c:pt idx="144">
                  <c:v>-0.87530635923641853</c:v>
                </c:pt>
                <c:pt idx="145">
                  <c:v>4.6318763917270189E-2</c:v>
                </c:pt>
                <c:pt idx="146">
                  <c:v>0.7574915098192605</c:v>
                </c:pt>
                <c:pt idx="147">
                  <c:v>1.3379545841319782</c:v>
                </c:pt>
                <c:pt idx="148">
                  <c:v>1.8540671969509788</c:v>
                </c:pt>
                <c:pt idx="149">
                  <c:v>2.2149637773994755</c:v>
                </c:pt>
                <c:pt idx="150">
                  <c:v>2.5961224797178204</c:v>
                </c:pt>
                <c:pt idx="151">
                  <c:v>2.860379326494666</c:v>
                </c:pt>
                <c:pt idx="152">
                  <c:v>2.501943758282863</c:v>
                </c:pt>
                <c:pt idx="153">
                  <c:v>1.9485034269684149</c:v>
                </c:pt>
                <c:pt idx="154">
                  <c:v>1.8548564046910485</c:v>
                </c:pt>
                <c:pt idx="155">
                  <c:v>1.4564166418846867</c:v>
                </c:pt>
                <c:pt idx="156">
                  <c:v>0.96013002838242301</c:v>
                </c:pt>
                <c:pt idx="157">
                  <c:v>0.54520313713840096</c:v>
                </c:pt>
                <c:pt idx="158">
                  <c:v>0.18119827206530204</c:v>
                </c:pt>
                <c:pt idx="159">
                  <c:v>0.19229191598734019</c:v>
                </c:pt>
                <c:pt idx="160">
                  <c:v>-0.72576624807356893</c:v>
                </c:pt>
                <c:pt idx="161">
                  <c:v>-1.966458356690282</c:v>
                </c:pt>
                <c:pt idx="162">
                  <c:v>-3.2240210246185654</c:v>
                </c:pt>
                <c:pt idx="163">
                  <c:v>-4.7548861231422279</c:v>
                </c:pt>
                <c:pt idx="164">
                  <c:v>-5.5961634952261079</c:v>
                </c:pt>
                <c:pt idx="165">
                  <c:v>-6.1508262397906606</c:v>
                </c:pt>
                <c:pt idx="166">
                  <c:v>-6.6197976067310833</c:v>
                </c:pt>
                <c:pt idx="167">
                  <c:v>-6.708367223488068</c:v>
                </c:pt>
                <c:pt idx="168">
                  <c:v>-6.7922509149815369</c:v>
                </c:pt>
                <c:pt idx="169">
                  <c:v>-6.4479176144139672</c:v>
                </c:pt>
                <c:pt idx="170">
                  <c:v>-5.908420953121265</c:v>
                </c:pt>
                <c:pt idx="171">
                  <c:v>-5.1774942703065108</c:v>
                </c:pt>
                <c:pt idx="172">
                  <c:v>-4.7229221482116941</c:v>
                </c:pt>
                <c:pt idx="173">
                  <c:v>-4.1278821990125039</c:v>
                </c:pt>
                <c:pt idx="174">
                  <c:v>-4.0892852906767985</c:v>
                </c:pt>
                <c:pt idx="175">
                  <c:v>-3.6750081084687451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C8-B14F-A384-FE9804BA7B5C}"/>
            </c:ext>
          </c:extLst>
        </c:ser>
        <c:ser>
          <c:idx val="1"/>
          <c:order val="1"/>
          <c:tx>
            <c:strRef>
              <c:f>MACD!$G$4</c:f>
              <c:strCache>
                <c:ptCount val="1"/>
                <c:pt idx="0">
                  <c:v>Signal Line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MACD!$A$17:$A$192</c:f>
              <c:numCache>
                <c:formatCode>m/d/yy</c:formatCode>
                <c:ptCount val="176"/>
                <c:pt idx="0">
                  <c:v>45491</c:v>
                </c:pt>
                <c:pt idx="1">
                  <c:v>45492</c:v>
                </c:pt>
                <c:pt idx="2">
                  <c:v>45495</c:v>
                </c:pt>
                <c:pt idx="3">
                  <c:v>45496</c:v>
                </c:pt>
                <c:pt idx="4">
                  <c:v>45497</c:v>
                </c:pt>
                <c:pt idx="5">
                  <c:v>45498</c:v>
                </c:pt>
                <c:pt idx="6">
                  <c:v>45499</c:v>
                </c:pt>
                <c:pt idx="7">
                  <c:v>45502</c:v>
                </c:pt>
                <c:pt idx="8">
                  <c:v>45503</c:v>
                </c:pt>
                <c:pt idx="9">
                  <c:v>45504</c:v>
                </c:pt>
                <c:pt idx="10">
                  <c:v>45505</c:v>
                </c:pt>
                <c:pt idx="11">
                  <c:v>45506</c:v>
                </c:pt>
                <c:pt idx="12">
                  <c:v>45509</c:v>
                </c:pt>
                <c:pt idx="13">
                  <c:v>45510</c:v>
                </c:pt>
                <c:pt idx="14">
                  <c:v>45511</c:v>
                </c:pt>
                <c:pt idx="15">
                  <c:v>45512</c:v>
                </c:pt>
                <c:pt idx="16">
                  <c:v>45513</c:v>
                </c:pt>
                <c:pt idx="17">
                  <c:v>45516</c:v>
                </c:pt>
                <c:pt idx="18">
                  <c:v>45517</c:v>
                </c:pt>
                <c:pt idx="19">
                  <c:v>45518</c:v>
                </c:pt>
                <c:pt idx="20">
                  <c:v>45519</c:v>
                </c:pt>
                <c:pt idx="21">
                  <c:v>45520</c:v>
                </c:pt>
                <c:pt idx="22">
                  <c:v>45523</c:v>
                </c:pt>
                <c:pt idx="23">
                  <c:v>45524</c:v>
                </c:pt>
                <c:pt idx="24">
                  <c:v>45525</c:v>
                </c:pt>
                <c:pt idx="25">
                  <c:v>45526</c:v>
                </c:pt>
                <c:pt idx="26">
                  <c:v>45527</c:v>
                </c:pt>
                <c:pt idx="27">
                  <c:v>45530</c:v>
                </c:pt>
                <c:pt idx="28">
                  <c:v>45531</c:v>
                </c:pt>
                <c:pt idx="29">
                  <c:v>45532</c:v>
                </c:pt>
                <c:pt idx="30">
                  <c:v>45533</c:v>
                </c:pt>
                <c:pt idx="31">
                  <c:v>45534</c:v>
                </c:pt>
                <c:pt idx="32">
                  <c:v>45538</c:v>
                </c:pt>
                <c:pt idx="33">
                  <c:v>45539</c:v>
                </c:pt>
                <c:pt idx="34">
                  <c:v>45540</c:v>
                </c:pt>
                <c:pt idx="35">
                  <c:v>45541</c:v>
                </c:pt>
                <c:pt idx="36">
                  <c:v>45544</c:v>
                </c:pt>
                <c:pt idx="37">
                  <c:v>45545</c:v>
                </c:pt>
                <c:pt idx="38">
                  <c:v>45546</c:v>
                </c:pt>
                <c:pt idx="39">
                  <c:v>45547</c:v>
                </c:pt>
                <c:pt idx="40">
                  <c:v>45548</c:v>
                </c:pt>
                <c:pt idx="41">
                  <c:v>45551</c:v>
                </c:pt>
                <c:pt idx="42">
                  <c:v>45552</c:v>
                </c:pt>
                <c:pt idx="43">
                  <c:v>45553</c:v>
                </c:pt>
                <c:pt idx="44">
                  <c:v>45554</c:v>
                </c:pt>
                <c:pt idx="45">
                  <c:v>45555</c:v>
                </c:pt>
                <c:pt idx="46">
                  <c:v>45558</c:v>
                </c:pt>
                <c:pt idx="47">
                  <c:v>45559</c:v>
                </c:pt>
                <c:pt idx="48">
                  <c:v>45560</c:v>
                </c:pt>
                <c:pt idx="49">
                  <c:v>45561</c:v>
                </c:pt>
                <c:pt idx="50">
                  <c:v>45562</c:v>
                </c:pt>
                <c:pt idx="51">
                  <c:v>45565</c:v>
                </c:pt>
                <c:pt idx="52">
                  <c:v>45566</c:v>
                </c:pt>
                <c:pt idx="53">
                  <c:v>45567</c:v>
                </c:pt>
                <c:pt idx="54">
                  <c:v>45568</c:v>
                </c:pt>
                <c:pt idx="55">
                  <c:v>45569</c:v>
                </c:pt>
                <c:pt idx="56">
                  <c:v>45572</c:v>
                </c:pt>
                <c:pt idx="57">
                  <c:v>45573</c:v>
                </c:pt>
                <c:pt idx="58">
                  <c:v>45574</c:v>
                </c:pt>
                <c:pt idx="59">
                  <c:v>45575</c:v>
                </c:pt>
                <c:pt idx="60">
                  <c:v>45576</c:v>
                </c:pt>
                <c:pt idx="61">
                  <c:v>45579</c:v>
                </c:pt>
                <c:pt idx="62">
                  <c:v>45580</c:v>
                </c:pt>
                <c:pt idx="63">
                  <c:v>45581</c:v>
                </c:pt>
                <c:pt idx="64">
                  <c:v>45582</c:v>
                </c:pt>
                <c:pt idx="65">
                  <c:v>45583</c:v>
                </c:pt>
                <c:pt idx="66">
                  <c:v>45586</c:v>
                </c:pt>
                <c:pt idx="67">
                  <c:v>45587</c:v>
                </c:pt>
                <c:pt idx="68">
                  <c:v>45588</c:v>
                </c:pt>
                <c:pt idx="69">
                  <c:v>45589</c:v>
                </c:pt>
                <c:pt idx="70">
                  <c:v>45590</c:v>
                </c:pt>
                <c:pt idx="71">
                  <c:v>45593</c:v>
                </c:pt>
                <c:pt idx="72">
                  <c:v>45594</c:v>
                </c:pt>
                <c:pt idx="73">
                  <c:v>45595</c:v>
                </c:pt>
                <c:pt idx="74">
                  <c:v>45596</c:v>
                </c:pt>
                <c:pt idx="75">
                  <c:v>45597</c:v>
                </c:pt>
                <c:pt idx="76">
                  <c:v>45600</c:v>
                </c:pt>
                <c:pt idx="77">
                  <c:v>45601</c:v>
                </c:pt>
                <c:pt idx="78">
                  <c:v>45602</c:v>
                </c:pt>
                <c:pt idx="79">
                  <c:v>45603</c:v>
                </c:pt>
                <c:pt idx="80">
                  <c:v>45604</c:v>
                </c:pt>
                <c:pt idx="81">
                  <c:v>45607</c:v>
                </c:pt>
                <c:pt idx="82">
                  <c:v>45608</c:v>
                </c:pt>
                <c:pt idx="83">
                  <c:v>45609</c:v>
                </c:pt>
                <c:pt idx="84">
                  <c:v>45610</c:v>
                </c:pt>
                <c:pt idx="85">
                  <c:v>45611</c:v>
                </c:pt>
                <c:pt idx="86">
                  <c:v>45614</c:v>
                </c:pt>
                <c:pt idx="87">
                  <c:v>45615</c:v>
                </c:pt>
                <c:pt idx="88">
                  <c:v>45616</c:v>
                </c:pt>
                <c:pt idx="89">
                  <c:v>45617</c:v>
                </c:pt>
                <c:pt idx="90">
                  <c:v>45618</c:v>
                </c:pt>
                <c:pt idx="91">
                  <c:v>45621</c:v>
                </c:pt>
                <c:pt idx="92">
                  <c:v>45622</c:v>
                </c:pt>
                <c:pt idx="93">
                  <c:v>45623</c:v>
                </c:pt>
                <c:pt idx="94">
                  <c:v>45625</c:v>
                </c:pt>
                <c:pt idx="95">
                  <c:v>45628</c:v>
                </c:pt>
                <c:pt idx="96">
                  <c:v>45629</c:v>
                </c:pt>
                <c:pt idx="97">
                  <c:v>45630</c:v>
                </c:pt>
                <c:pt idx="98">
                  <c:v>45631</c:v>
                </c:pt>
                <c:pt idx="99">
                  <c:v>45632</c:v>
                </c:pt>
                <c:pt idx="100">
                  <c:v>45635</c:v>
                </c:pt>
                <c:pt idx="101">
                  <c:v>45636</c:v>
                </c:pt>
                <c:pt idx="102">
                  <c:v>45637</c:v>
                </c:pt>
                <c:pt idx="103">
                  <c:v>45638</c:v>
                </c:pt>
                <c:pt idx="104">
                  <c:v>45639</c:v>
                </c:pt>
                <c:pt idx="105">
                  <c:v>45642</c:v>
                </c:pt>
                <c:pt idx="106">
                  <c:v>45643</c:v>
                </c:pt>
                <c:pt idx="107">
                  <c:v>45644</c:v>
                </c:pt>
                <c:pt idx="108">
                  <c:v>45645</c:v>
                </c:pt>
                <c:pt idx="109">
                  <c:v>45646</c:v>
                </c:pt>
                <c:pt idx="110">
                  <c:v>45649</c:v>
                </c:pt>
                <c:pt idx="111">
                  <c:v>45650</c:v>
                </c:pt>
                <c:pt idx="112">
                  <c:v>45652</c:v>
                </c:pt>
                <c:pt idx="113">
                  <c:v>45653</c:v>
                </c:pt>
                <c:pt idx="114">
                  <c:v>45656</c:v>
                </c:pt>
                <c:pt idx="115">
                  <c:v>45657</c:v>
                </c:pt>
                <c:pt idx="116">
                  <c:v>45659</c:v>
                </c:pt>
                <c:pt idx="117">
                  <c:v>45660</c:v>
                </c:pt>
                <c:pt idx="118">
                  <c:v>45663</c:v>
                </c:pt>
                <c:pt idx="119">
                  <c:v>45664</c:v>
                </c:pt>
                <c:pt idx="120">
                  <c:v>45665</c:v>
                </c:pt>
                <c:pt idx="121">
                  <c:v>45667</c:v>
                </c:pt>
                <c:pt idx="122">
                  <c:v>45670</c:v>
                </c:pt>
                <c:pt idx="123">
                  <c:v>45671</c:v>
                </c:pt>
                <c:pt idx="124">
                  <c:v>45672</c:v>
                </c:pt>
                <c:pt idx="125">
                  <c:v>45673</c:v>
                </c:pt>
                <c:pt idx="126">
                  <c:v>45674</c:v>
                </c:pt>
                <c:pt idx="127">
                  <c:v>45678</c:v>
                </c:pt>
                <c:pt idx="128">
                  <c:v>45679</c:v>
                </c:pt>
                <c:pt idx="129">
                  <c:v>45680</c:v>
                </c:pt>
                <c:pt idx="130">
                  <c:v>45681</c:v>
                </c:pt>
                <c:pt idx="131">
                  <c:v>45684</c:v>
                </c:pt>
                <c:pt idx="132">
                  <c:v>45685</c:v>
                </c:pt>
                <c:pt idx="133">
                  <c:v>45686</c:v>
                </c:pt>
                <c:pt idx="134">
                  <c:v>45687</c:v>
                </c:pt>
                <c:pt idx="135">
                  <c:v>45688</c:v>
                </c:pt>
                <c:pt idx="136">
                  <c:v>45691</c:v>
                </c:pt>
                <c:pt idx="137">
                  <c:v>45692</c:v>
                </c:pt>
                <c:pt idx="138">
                  <c:v>45693</c:v>
                </c:pt>
                <c:pt idx="139">
                  <c:v>45694</c:v>
                </c:pt>
                <c:pt idx="140">
                  <c:v>45695</c:v>
                </c:pt>
                <c:pt idx="141">
                  <c:v>45698</c:v>
                </c:pt>
                <c:pt idx="142">
                  <c:v>45699</c:v>
                </c:pt>
                <c:pt idx="143">
                  <c:v>45700</c:v>
                </c:pt>
                <c:pt idx="144">
                  <c:v>45701</c:v>
                </c:pt>
                <c:pt idx="145">
                  <c:v>45702</c:v>
                </c:pt>
                <c:pt idx="146">
                  <c:v>45706</c:v>
                </c:pt>
                <c:pt idx="147">
                  <c:v>45707</c:v>
                </c:pt>
                <c:pt idx="148">
                  <c:v>45708</c:v>
                </c:pt>
                <c:pt idx="149">
                  <c:v>45709</c:v>
                </c:pt>
                <c:pt idx="150">
                  <c:v>45712</c:v>
                </c:pt>
                <c:pt idx="151">
                  <c:v>45713</c:v>
                </c:pt>
                <c:pt idx="152">
                  <c:v>45714</c:v>
                </c:pt>
                <c:pt idx="153">
                  <c:v>45715</c:v>
                </c:pt>
                <c:pt idx="154">
                  <c:v>45716</c:v>
                </c:pt>
                <c:pt idx="155">
                  <c:v>45719</c:v>
                </c:pt>
                <c:pt idx="156">
                  <c:v>45720</c:v>
                </c:pt>
                <c:pt idx="157">
                  <c:v>45721</c:v>
                </c:pt>
                <c:pt idx="158">
                  <c:v>45722</c:v>
                </c:pt>
                <c:pt idx="159">
                  <c:v>45723</c:v>
                </c:pt>
                <c:pt idx="160">
                  <c:v>45726</c:v>
                </c:pt>
                <c:pt idx="161">
                  <c:v>45727</c:v>
                </c:pt>
                <c:pt idx="162">
                  <c:v>45728</c:v>
                </c:pt>
                <c:pt idx="163">
                  <c:v>45729</c:v>
                </c:pt>
                <c:pt idx="164">
                  <c:v>45730</c:v>
                </c:pt>
                <c:pt idx="165">
                  <c:v>45733</c:v>
                </c:pt>
                <c:pt idx="166">
                  <c:v>45734</c:v>
                </c:pt>
                <c:pt idx="167">
                  <c:v>45735</c:v>
                </c:pt>
                <c:pt idx="168">
                  <c:v>45736</c:v>
                </c:pt>
                <c:pt idx="169">
                  <c:v>45737</c:v>
                </c:pt>
                <c:pt idx="170">
                  <c:v>45740</c:v>
                </c:pt>
                <c:pt idx="171">
                  <c:v>45741</c:v>
                </c:pt>
                <c:pt idx="172">
                  <c:v>45742</c:v>
                </c:pt>
                <c:pt idx="173">
                  <c:v>45743</c:v>
                </c:pt>
                <c:pt idx="174">
                  <c:v>45744</c:v>
                </c:pt>
                <c:pt idx="175">
                  <c:v>45747</c:v>
                </c:pt>
              </c:numCache>
            </c:numRef>
          </c:cat>
          <c:val>
            <c:numRef>
              <c:f>MACD!$G$17:$G$192</c:f>
              <c:numCache>
                <c:formatCode>_-* #,##0.00_-;\-* #,##0.00_-;_-* "-"??_-;_-@_-</c:formatCode>
                <c:ptCount val="176"/>
                <c:pt idx="0">
                  <c:v>-0.25923076923075428</c:v>
                </c:pt>
                <c:pt idx="1">
                  <c:v>-0.36212383770073586</c:v>
                </c:pt>
                <c:pt idx="2">
                  <c:v>-0.46317890196585648</c:v>
                </c:pt>
                <c:pt idx="3">
                  <c:v>-0.53059435600241756</c:v>
                </c:pt>
                <c:pt idx="4">
                  <c:v>-0.70459309954126748</c:v>
                </c:pt>
                <c:pt idx="5">
                  <c:v>-0.92852129235540792</c:v>
                </c:pt>
                <c:pt idx="6">
                  <c:v>-1.1565667503228545</c:v>
                </c:pt>
                <c:pt idx="7">
                  <c:v>-1.371612786648214</c:v>
                </c:pt>
                <c:pt idx="8">
                  <c:v>-1.5630422549831293</c:v>
                </c:pt>
                <c:pt idx="9">
                  <c:v>-1.8313144967753305</c:v>
                </c:pt>
                <c:pt idx="10">
                  <c:v>-2.0942750598803768</c:v>
                </c:pt>
                <c:pt idx="11">
                  <c:v>-2.3080698338655301</c:v>
                </c:pt>
                <c:pt idx="12">
                  <c:v>-2.7203818398288542</c:v>
                </c:pt>
                <c:pt idx="13">
                  <c:v>-3.2923136026400535</c:v>
                </c:pt>
                <c:pt idx="14">
                  <c:v>-3.7871498943693012</c:v>
                </c:pt>
                <c:pt idx="15">
                  <c:v>-4.1434115099693667</c:v>
                </c:pt>
                <c:pt idx="16">
                  <c:v>-4.337951268921465</c:v>
                </c:pt>
                <c:pt idx="17">
                  <c:v>-4.3904605405732529</c:v>
                </c:pt>
                <c:pt idx="18">
                  <c:v>-4.2815189682452131</c:v>
                </c:pt>
                <c:pt idx="19">
                  <c:v>-4.0601560970017241</c:v>
                </c:pt>
                <c:pt idx="20">
                  <c:v>-3.7228167761624555</c:v>
                </c:pt>
                <c:pt idx="21">
                  <c:v>-3.3007651224782895</c:v>
                </c:pt>
                <c:pt idx="22">
                  <c:v>-2.842771659973403</c:v>
                </c:pt>
                <c:pt idx="23">
                  <c:v>-2.3698883525726573</c:v>
                </c:pt>
                <c:pt idx="24">
                  <c:v>-1.9088152340523312</c:v>
                </c:pt>
                <c:pt idx="25">
                  <c:v>-1.5047989096836412</c:v>
                </c:pt>
                <c:pt idx="26">
                  <c:v>-1.1174394398847409</c:v>
                </c:pt>
                <c:pt idx="27">
                  <c:v>-0.75285481537856613</c:v>
                </c:pt>
                <c:pt idx="28">
                  <c:v>-0.40637998917156642</c:v>
                </c:pt>
                <c:pt idx="29">
                  <c:v>-0.11306239497792858</c:v>
                </c:pt>
                <c:pt idx="30">
                  <c:v>0.18446834776237486</c:v>
                </c:pt>
                <c:pt idx="31">
                  <c:v>0.45601832792614139</c:v>
                </c:pt>
                <c:pt idx="32">
                  <c:v>0.5966136013543204</c:v>
                </c:pt>
                <c:pt idx="33">
                  <c:v>0.61576648334662409</c:v>
                </c:pt>
                <c:pt idx="34">
                  <c:v>0.58080440143229328</c:v>
                </c:pt>
                <c:pt idx="35">
                  <c:v>0.48754421902399725</c:v>
                </c:pt>
                <c:pt idx="36">
                  <c:v>0.36295745505564864</c:v>
                </c:pt>
                <c:pt idx="37">
                  <c:v>0.21167605447692966</c:v>
                </c:pt>
                <c:pt idx="38">
                  <c:v>9.1794701968829398E-2</c:v>
                </c:pt>
                <c:pt idx="39">
                  <c:v>-5.7556307457427847E-4</c:v>
                </c:pt>
                <c:pt idx="40">
                  <c:v>-7.5166590028252669E-2</c:v>
                </c:pt>
                <c:pt idx="41">
                  <c:v>-0.23313072083461139</c:v>
                </c:pt>
                <c:pt idx="42">
                  <c:v>-0.42704082960132916</c:v>
                </c:pt>
                <c:pt idx="43">
                  <c:v>-0.57012055798710815</c:v>
                </c:pt>
                <c:pt idx="44">
                  <c:v>-0.54203377032588795</c:v>
                </c:pt>
                <c:pt idx="45">
                  <c:v>-0.41758953635802065</c:v>
                </c:pt>
                <c:pt idx="46">
                  <c:v>-0.26592326275613654</c:v>
                </c:pt>
                <c:pt idx="47">
                  <c:v>-9.0180271503502302E-2</c:v>
                </c:pt>
                <c:pt idx="48">
                  <c:v>7.569192505203845E-2</c:v>
                </c:pt>
                <c:pt idx="49">
                  <c:v>0.24485706522574799</c:v>
                </c:pt>
                <c:pt idx="50">
                  <c:v>0.41096785601090746</c:v>
                </c:pt>
                <c:pt idx="51">
                  <c:v>0.6486422658822858</c:v>
                </c:pt>
                <c:pt idx="52">
                  <c:v>0.80890320921414383</c:v>
                </c:pt>
                <c:pt idx="53">
                  <c:v>0.91949211105491613</c:v>
                </c:pt>
                <c:pt idx="54">
                  <c:v>0.97334517639781792</c:v>
                </c:pt>
                <c:pt idx="55">
                  <c:v>1.0046242913904084</c:v>
                </c:pt>
                <c:pt idx="56">
                  <c:v>0.93629798123757413</c:v>
                </c:pt>
                <c:pt idx="57">
                  <c:v>0.87208270296459434</c:v>
                </c:pt>
                <c:pt idx="58">
                  <c:v>0.87197090609167027</c:v>
                </c:pt>
                <c:pt idx="59">
                  <c:v>0.90207918399253373</c:v>
                </c:pt>
                <c:pt idx="60">
                  <c:v>0.92372239291808</c:v>
                </c:pt>
                <c:pt idx="61">
                  <c:v>0.99664899747572233</c:v>
                </c:pt>
                <c:pt idx="62">
                  <c:v>1.136308303791826</c:v>
                </c:pt>
                <c:pt idx="63">
                  <c:v>1.2748576856281921</c:v>
                </c:pt>
                <c:pt idx="64">
                  <c:v>1.4084458761260015</c:v>
                </c:pt>
                <c:pt idx="65">
                  <c:v>1.5741815267362191</c:v>
                </c:pt>
                <c:pt idx="66">
                  <c:v>1.7714031033638498</c:v>
                </c:pt>
                <c:pt idx="67">
                  <c:v>1.9640916436131117</c:v>
                </c:pt>
                <c:pt idx="68">
                  <c:v>2.0579938292791287</c:v>
                </c:pt>
                <c:pt idx="69">
                  <c:v>2.0773342107058523</c:v>
                </c:pt>
                <c:pt idx="70">
                  <c:v>2.0575938875187285</c:v>
                </c:pt>
                <c:pt idx="71">
                  <c:v>2.0414529712307008</c:v>
                </c:pt>
                <c:pt idx="72">
                  <c:v>2.0280690350011215</c:v>
                </c:pt>
                <c:pt idx="73">
                  <c:v>1.9555350839894436</c:v>
                </c:pt>
                <c:pt idx="74">
                  <c:v>1.7784233363377648</c:v>
                </c:pt>
                <c:pt idx="75">
                  <c:v>1.4931321078511004</c:v>
                </c:pt>
                <c:pt idx="76">
                  <c:v>1.137229389718218</c:v>
                </c:pt>
                <c:pt idx="77">
                  <c:v>0.77610814959018892</c:v>
                </c:pt>
                <c:pt idx="78">
                  <c:v>0.41723098199706427</c:v>
                </c:pt>
                <c:pt idx="79">
                  <c:v>0.15356535587343895</c:v>
                </c:pt>
                <c:pt idx="80">
                  <c:v>-4.5248035608404319E-2</c:v>
                </c:pt>
                <c:pt idx="81">
                  <c:v>-0.23644360243798287</c:v>
                </c:pt>
                <c:pt idx="82">
                  <c:v>-0.41230277401083082</c:v>
                </c:pt>
                <c:pt idx="83">
                  <c:v>-0.55419141016308082</c:v>
                </c:pt>
                <c:pt idx="84">
                  <c:v>-0.61662813228153024</c:v>
                </c:pt>
                <c:pt idx="85">
                  <c:v>-0.67596069690641525</c:v>
                </c:pt>
                <c:pt idx="86">
                  <c:v>-0.68051433732843525</c:v>
                </c:pt>
                <c:pt idx="87">
                  <c:v>-0.64479572197194224</c:v>
                </c:pt>
                <c:pt idx="88">
                  <c:v>-0.57275086636960582</c:v>
                </c:pt>
                <c:pt idx="89">
                  <c:v>-0.48806684209461892</c:v>
                </c:pt>
                <c:pt idx="90">
                  <c:v>-0.37724924364584433</c:v>
                </c:pt>
                <c:pt idx="91">
                  <c:v>-0.20713779362530038</c:v>
                </c:pt>
                <c:pt idx="92">
                  <c:v>2.6632650413227793E-2</c:v>
                </c:pt>
                <c:pt idx="93">
                  <c:v>0.28591391038713243</c:v>
                </c:pt>
                <c:pt idx="94">
                  <c:v>0.58523184612728496</c:v>
                </c:pt>
                <c:pt idx="95">
                  <c:v>0.92867637210690579</c:v>
                </c:pt>
                <c:pt idx="96">
                  <c:v>1.3284785319240535</c:v>
                </c:pt>
                <c:pt idx="97">
                  <c:v>1.7453619933881597</c:v>
                </c:pt>
                <c:pt idx="98">
                  <c:v>2.1475985633328389</c:v>
                </c:pt>
                <c:pt idx="99">
                  <c:v>2.5114831450384179</c:v>
                </c:pt>
                <c:pt idx="100">
                  <c:v>2.8889116007268618</c:v>
                </c:pt>
                <c:pt idx="101">
                  <c:v>3.2647327612898986</c:v>
                </c:pt>
                <c:pt idx="102">
                  <c:v>3.5919826953829039</c:v>
                </c:pt>
                <c:pt idx="103">
                  <c:v>3.8869002797123025</c:v>
                </c:pt>
                <c:pt idx="104">
                  <c:v>4.1399457252285252</c:v>
                </c:pt>
                <c:pt idx="105">
                  <c:v>4.3904730416376854</c:v>
                </c:pt>
                <c:pt idx="106">
                  <c:v>4.6552109863693731</c:v>
                </c:pt>
                <c:pt idx="107">
                  <c:v>4.817735230983673</c:v>
                </c:pt>
                <c:pt idx="108">
                  <c:v>4.9244542097532022</c:v>
                </c:pt>
                <c:pt idx="109">
                  <c:v>5.0543630715340964</c:v>
                </c:pt>
                <c:pt idx="110">
                  <c:v>5.192921394136941</c:v>
                </c:pt>
                <c:pt idx="111">
                  <c:v>5.3645482954566734</c:v>
                </c:pt>
                <c:pt idx="112">
                  <c:v>5.5487607058848614</c:v>
                </c:pt>
                <c:pt idx="113">
                  <c:v>5.6638343558779258</c:v>
                </c:pt>
                <c:pt idx="114">
                  <c:v>5.6625463251293935</c:v>
                </c:pt>
                <c:pt idx="115">
                  <c:v>5.5470876190034195</c:v>
                </c:pt>
                <c:pt idx="116">
                  <c:v>5.2486580340013109</c:v>
                </c:pt>
                <c:pt idx="117">
                  <c:v>4.8314096016604209</c:v>
                </c:pt>
                <c:pt idx="118">
                  <c:v>4.3767141523942108</c:v>
                </c:pt>
                <c:pt idx="119">
                  <c:v>3.8678952878032504</c:v>
                </c:pt>
                <c:pt idx="120">
                  <c:v>3.3508279887586925</c:v>
                </c:pt>
                <c:pt idx="121">
                  <c:v>2.7547257049039366</c:v>
                </c:pt>
                <c:pt idx="122">
                  <c:v>2.0949675942707215</c:v>
                </c:pt>
                <c:pt idx="123">
                  <c:v>1.4072530542043817</c:v>
                </c:pt>
                <c:pt idx="124">
                  <c:v>0.80809045322229134</c:v>
                </c:pt>
                <c:pt idx="125">
                  <c:v>0.1406758468100745</c:v>
                </c:pt>
                <c:pt idx="126">
                  <c:v>-0.50740985109528214</c:v>
                </c:pt>
                <c:pt idx="127">
                  <c:v>-1.2253557638329879</c:v>
                </c:pt>
                <c:pt idx="128">
                  <c:v>-1.9276742060797414</c:v>
                </c:pt>
                <c:pt idx="129">
                  <c:v>-2.5816996505766028</c:v>
                </c:pt>
                <c:pt idx="130">
                  <c:v>-3.1793265554604146</c:v>
                </c:pt>
                <c:pt idx="131">
                  <c:v>-3.5900717651616003</c:v>
                </c:pt>
                <c:pt idx="132">
                  <c:v>-3.7199516124388285</c:v>
                </c:pt>
                <c:pt idx="133">
                  <c:v>-3.6409535958610109</c:v>
                </c:pt>
                <c:pt idx="134">
                  <c:v>-3.4551170339277268</c:v>
                </c:pt>
                <c:pt idx="135">
                  <c:v>-3.2295506119779978</c:v>
                </c:pt>
                <c:pt idx="136">
                  <c:v>-3.1110218323948624</c:v>
                </c:pt>
                <c:pt idx="137">
                  <c:v>-2.9822833473959585</c:v>
                </c:pt>
                <c:pt idx="138">
                  <c:v>-2.8523620312135636</c:v>
                </c:pt>
                <c:pt idx="139">
                  <c:v>-2.7100431074312135</c:v>
                </c:pt>
                <c:pt idx="140">
                  <c:v>-2.6504226453003201</c:v>
                </c:pt>
                <c:pt idx="141">
                  <c:v>-2.639401442287058</c:v>
                </c:pt>
                <c:pt idx="142">
                  <c:v>-2.5741098859618079</c:v>
                </c:pt>
                <c:pt idx="143">
                  <c:v>-2.4045522299185484</c:v>
                </c:pt>
                <c:pt idx="144">
                  <c:v>-2.0987030557821225</c:v>
                </c:pt>
                <c:pt idx="145">
                  <c:v>-1.6696986918422438</c:v>
                </c:pt>
                <c:pt idx="146">
                  <c:v>-1.184260651509943</c:v>
                </c:pt>
                <c:pt idx="147">
                  <c:v>-0.67981760438155869</c:v>
                </c:pt>
                <c:pt idx="148">
                  <c:v>-0.17304064411505116</c:v>
                </c:pt>
                <c:pt idx="149">
                  <c:v>0.30456024018785421</c:v>
                </c:pt>
                <c:pt idx="150">
                  <c:v>0.76287268809384745</c:v>
                </c:pt>
                <c:pt idx="151">
                  <c:v>1.1823740157740112</c:v>
                </c:pt>
                <c:pt idx="152">
                  <c:v>1.4462879642757815</c:v>
                </c:pt>
                <c:pt idx="153">
                  <c:v>1.5467310568143082</c:v>
                </c:pt>
                <c:pt idx="154">
                  <c:v>1.6083561263896562</c:v>
                </c:pt>
                <c:pt idx="155">
                  <c:v>1.5779682294886623</c:v>
                </c:pt>
                <c:pt idx="156">
                  <c:v>1.4544005892674146</c:v>
                </c:pt>
                <c:pt idx="157">
                  <c:v>1.2725610988416118</c:v>
                </c:pt>
                <c:pt idx="158">
                  <c:v>1.0542885334863499</c:v>
                </c:pt>
                <c:pt idx="159">
                  <c:v>0.88188920998654796</c:v>
                </c:pt>
                <c:pt idx="160">
                  <c:v>0.56035811837452454</c:v>
                </c:pt>
                <c:pt idx="161">
                  <c:v>5.499482336156325E-2</c:v>
                </c:pt>
                <c:pt idx="162">
                  <c:v>-0.60080834623446255</c:v>
                </c:pt>
                <c:pt idx="163">
                  <c:v>-1.4316239016160157</c:v>
                </c:pt>
                <c:pt idx="164">
                  <c:v>-2.2645318203380342</c:v>
                </c:pt>
                <c:pt idx="165">
                  <c:v>-3.0417907042285597</c:v>
                </c:pt>
                <c:pt idx="166">
                  <c:v>-3.7573920847290645</c:v>
                </c:pt>
                <c:pt idx="167">
                  <c:v>-4.3475871124808654</c:v>
                </c:pt>
                <c:pt idx="168">
                  <c:v>-4.8365198729809995</c:v>
                </c:pt>
                <c:pt idx="169">
                  <c:v>-5.1587994212675934</c:v>
                </c:pt>
                <c:pt idx="170">
                  <c:v>-5.3087237276383279</c:v>
                </c:pt>
                <c:pt idx="171">
                  <c:v>-5.2824778361719646</c:v>
                </c:pt>
                <c:pt idx="172">
                  <c:v>-5.1705666985799104</c:v>
                </c:pt>
                <c:pt idx="173">
                  <c:v>-4.9620297986664292</c:v>
                </c:pt>
                <c:pt idx="174">
                  <c:v>-4.7874808970685034</c:v>
                </c:pt>
                <c:pt idx="175">
                  <c:v>-4.5649863393485521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C8-B14F-A384-FE9804BA7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5006783"/>
        <c:axId val="755008495"/>
      </c:lineChart>
      <c:dateAx>
        <c:axId val="755006783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008495"/>
        <c:crosses val="autoZero"/>
        <c:auto val="1"/>
        <c:lblOffset val="100"/>
        <c:baseTimeUnit val="days"/>
      </c:dateAx>
      <c:valAx>
        <c:axId val="75500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006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RSI of</a:t>
            </a:r>
            <a:r>
              <a:rPr lang="en-US" baseline="0"/>
              <a:t> Apple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RSI!$I$1</c:f>
              <c:strCache>
                <c:ptCount val="1"/>
                <c:pt idx="0">
                  <c:v>14-Day RSI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RSI!$A$11:$A$189</c:f>
              <c:numCache>
                <c:formatCode>m/d/yy</c:formatCode>
                <c:ptCount val="179"/>
                <c:pt idx="0">
                  <c:v>45488</c:v>
                </c:pt>
                <c:pt idx="1">
                  <c:v>45489</c:v>
                </c:pt>
                <c:pt idx="2">
                  <c:v>45490</c:v>
                </c:pt>
                <c:pt idx="3">
                  <c:v>45491</c:v>
                </c:pt>
                <c:pt idx="4">
                  <c:v>45492</c:v>
                </c:pt>
                <c:pt idx="5">
                  <c:v>45495</c:v>
                </c:pt>
                <c:pt idx="6">
                  <c:v>45496</c:v>
                </c:pt>
                <c:pt idx="7">
                  <c:v>45497</c:v>
                </c:pt>
                <c:pt idx="8">
                  <c:v>45498</c:v>
                </c:pt>
                <c:pt idx="9">
                  <c:v>45499</c:v>
                </c:pt>
                <c:pt idx="10">
                  <c:v>45502</c:v>
                </c:pt>
                <c:pt idx="11">
                  <c:v>45503</c:v>
                </c:pt>
                <c:pt idx="12">
                  <c:v>45504</c:v>
                </c:pt>
                <c:pt idx="13">
                  <c:v>45505</c:v>
                </c:pt>
                <c:pt idx="14">
                  <c:v>45506</c:v>
                </c:pt>
                <c:pt idx="15">
                  <c:v>45509</c:v>
                </c:pt>
                <c:pt idx="16">
                  <c:v>45510</c:v>
                </c:pt>
                <c:pt idx="17">
                  <c:v>45511</c:v>
                </c:pt>
                <c:pt idx="18">
                  <c:v>45512</c:v>
                </c:pt>
                <c:pt idx="19">
                  <c:v>45513</c:v>
                </c:pt>
                <c:pt idx="20">
                  <c:v>45516</c:v>
                </c:pt>
                <c:pt idx="21">
                  <c:v>45517</c:v>
                </c:pt>
                <c:pt idx="22">
                  <c:v>45518</c:v>
                </c:pt>
                <c:pt idx="23">
                  <c:v>45519</c:v>
                </c:pt>
                <c:pt idx="24">
                  <c:v>45520</c:v>
                </c:pt>
                <c:pt idx="25">
                  <c:v>45523</c:v>
                </c:pt>
                <c:pt idx="26">
                  <c:v>45524</c:v>
                </c:pt>
                <c:pt idx="27">
                  <c:v>45525</c:v>
                </c:pt>
                <c:pt idx="28">
                  <c:v>45526</c:v>
                </c:pt>
                <c:pt idx="29">
                  <c:v>45527</c:v>
                </c:pt>
                <c:pt idx="30">
                  <c:v>45530</c:v>
                </c:pt>
                <c:pt idx="31">
                  <c:v>45531</c:v>
                </c:pt>
                <c:pt idx="32">
                  <c:v>45532</c:v>
                </c:pt>
                <c:pt idx="33">
                  <c:v>45533</c:v>
                </c:pt>
                <c:pt idx="34">
                  <c:v>45534</c:v>
                </c:pt>
                <c:pt idx="35">
                  <c:v>45538</c:v>
                </c:pt>
                <c:pt idx="36">
                  <c:v>45539</c:v>
                </c:pt>
                <c:pt idx="37">
                  <c:v>45540</c:v>
                </c:pt>
                <c:pt idx="38">
                  <c:v>45541</c:v>
                </c:pt>
                <c:pt idx="39">
                  <c:v>45544</c:v>
                </c:pt>
                <c:pt idx="40">
                  <c:v>45545</c:v>
                </c:pt>
                <c:pt idx="41">
                  <c:v>45546</c:v>
                </c:pt>
                <c:pt idx="42">
                  <c:v>45547</c:v>
                </c:pt>
                <c:pt idx="43">
                  <c:v>45548</c:v>
                </c:pt>
                <c:pt idx="44">
                  <c:v>45551</c:v>
                </c:pt>
                <c:pt idx="45">
                  <c:v>45552</c:v>
                </c:pt>
                <c:pt idx="46">
                  <c:v>45553</c:v>
                </c:pt>
                <c:pt idx="47">
                  <c:v>45554</c:v>
                </c:pt>
                <c:pt idx="48">
                  <c:v>45555</c:v>
                </c:pt>
                <c:pt idx="49">
                  <c:v>45558</c:v>
                </c:pt>
                <c:pt idx="50">
                  <c:v>45559</c:v>
                </c:pt>
                <c:pt idx="51">
                  <c:v>45560</c:v>
                </c:pt>
                <c:pt idx="52">
                  <c:v>45561</c:v>
                </c:pt>
                <c:pt idx="53">
                  <c:v>45562</c:v>
                </c:pt>
                <c:pt idx="54">
                  <c:v>45565</c:v>
                </c:pt>
                <c:pt idx="55">
                  <c:v>45566</c:v>
                </c:pt>
                <c:pt idx="56">
                  <c:v>45567</c:v>
                </c:pt>
                <c:pt idx="57">
                  <c:v>45568</c:v>
                </c:pt>
                <c:pt idx="58">
                  <c:v>45569</c:v>
                </c:pt>
                <c:pt idx="59">
                  <c:v>45572</c:v>
                </c:pt>
                <c:pt idx="60">
                  <c:v>45573</c:v>
                </c:pt>
                <c:pt idx="61">
                  <c:v>45574</c:v>
                </c:pt>
                <c:pt idx="62">
                  <c:v>45575</c:v>
                </c:pt>
                <c:pt idx="63">
                  <c:v>45576</c:v>
                </c:pt>
                <c:pt idx="64">
                  <c:v>45579</c:v>
                </c:pt>
                <c:pt idx="65">
                  <c:v>45580</c:v>
                </c:pt>
                <c:pt idx="66">
                  <c:v>45581</c:v>
                </c:pt>
                <c:pt idx="67">
                  <c:v>45582</c:v>
                </c:pt>
                <c:pt idx="68">
                  <c:v>45583</c:v>
                </c:pt>
                <c:pt idx="69">
                  <c:v>45586</c:v>
                </c:pt>
                <c:pt idx="70">
                  <c:v>45587</c:v>
                </c:pt>
                <c:pt idx="71">
                  <c:v>45588</c:v>
                </c:pt>
                <c:pt idx="72">
                  <c:v>45589</c:v>
                </c:pt>
                <c:pt idx="73">
                  <c:v>45590</c:v>
                </c:pt>
                <c:pt idx="74">
                  <c:v>45593</c:v>
                </c:pt>
                <c:pt idx="75">
                  <c:v>45594</c:v>
                </c:pt>
                <c:pt idx="76">
                  <c:v>45595</c:v>
                </c:pt>
                <c:pt idx="77">
                  <c:v>45596</c:v>
                </c:pt>
                <c:pt idx="78">
                  <c:v>45597</c:v>
                </c:pt>
                <c:pt idx="79">
                  <c:v>45600</c:v>
                </c:pt>
                <c:pt idx="80">
                  <c:v>45601</c:v>
                </c:pt>
                <c:pt idx="81">
                  <c:v>45602</c:v>
                </c:pt>
                <c:pt idx="82">
                  <c:v>45603</c:v>
                </c:pt>
                <c:pt idx="83">
                  <c:v>45604</c:v>
                </c:pt>
                <c:pt idx="84">
                  <c:v>45607</c:v>
                </c:pt>
                <c:pt idx="85">
                  <c:v>45608</c:v>
                </c:pt>
                <c:pt idx="86">
                  <c:v>45609</c:v>
                </c:pt>
                <c:pt idx="87">
                  <c:v>45610</c:v>
                </c:pt>
                <c:pt idx="88">
                  <c:v>45611</c:v>
                </c:pt>
                <c:pt idx="89">
                  <c:v>45614</c:v>
                </c:pt>
                <c:pt idx="90">
                  <c:v>45615</c:v>
                </c:pt>
                <c:pt idx="91">
                  <c:v>45616</c:v>
                </c:pt>
                <c:pt idx="92">
                  <c:v>45617</c:v>
                </c:pt>
                <c:pt idx="93">
                  <c:v>45618</c:v>
                </c:pt>
                <c:pt idx="94">
                  <c:v>45621</c:v>
                </c:pt>
                <c:pt idx="95">
                  <c:v>45622</c:v>
                </c:pt>
                <c:pt idx="96">
                  <c:v>45623</c:v>
                </c:pt>
                <c:pt idx="97">
                  <c:v>45625</c:v>
                </c:pt>
                <c:pt idx="98">
                  <c:v>45628</c:v>
                </c:pt>
                <c:pt idx="99">
                  <c:v>45629</c:v>
                </c:pt>
                <c:pt idx="100">
                  <c:v>45630</c:v>
                </c:pt>
                <c:pt idx="101">
                  <c:v>45631</c:v>
                </c:pt>
                <c:pt idx="102">
                  <c:v>45632</c:v>
                </c:pt>
                <c:pt idx="103">
                  <c:v>45635</c:v>
                </c:pt>
                <c:pt idx="104">
                  <c:v>45636</c:v>
                </c:pt>
                <c:pt idx="105">
                  <c:v>45637</c:v>
                </c:pt>
                <c:pt idx="106">
                  <c:v>45638</c:v>
                </c:pt>
                <c:pt idx="107">
                  <c:v>45639</c:v>
                </c:pt>
                <c:pt idx="108">
                  <c:v>45642</c:v>
                </c:pt>
                <c:pt idx="109">
                  <c:v>45643</c:v>
                </c:pt>
                <c:pt idx="110">
                  <c:v>45644</c:v>
                </c:pt>
                <c:pt idx="111">
                  <c:v>45645</c:v>
                </c:pt>
                <c:pt idx="112">
                  <c:v>45646</c:v>
                </c:pt>
                <c:pt idx="113">
                  <c:v>45649</c:v>
                </c:pt>
                <c:pt idx="114">
                  <c:v>45650</c:v>
                </c:pt>
                <c:pt idx="115">
                  <c:v>45652</c:v>
                </c:pt>
                <c:pt idx="116">
                  <c:v>45653</c:v>
                </c:pt>
                <c:pt idx="117">
                  <c:v>45656</c:v>
                </c:pt>
                <c:pt idx="118">
                  <c:v>45657</c:v>
                </c:pt>
                <c:pt idx="119">
                  <c:v>45659</c:v>
                </c:pt>
                <c:pt idx="120">
                  <c:v>45660</c:v>
                </c:pt>
                <c:pt idx="121">
                  <c:v>45663</c:v>
                </c:pt>
                <c:pt idx="122">
                  <c:v>45664</c:v>
                </c:pt>
                <c:pt idx="123">
                  <c:v>45665</c:v>
                </c:pt>
                <c:pt idx="124">
                  <c:v>45667</c:v>
                </c:pt>
                <c:pt idx="125">
                  <c:v>45670</c:v>
                </c:pt>
                <c:pt idx="126">
                  <c:v>45671</c:v>
                </c:pt>
                <c:pt idx="127">
                  <c:v>45672</c:v>
                </c:pt>
                <c:pt idx="128">
                  <c:v>45673</c:v>
                </c:pt>
                <c:pt idx="129">
                  <c:v>45674</c:v>
                </c:pt>
                <c:pt idx="130">
                  <c:v>45678</c:v>
                </c:pt>
                <c:pt idx="131">
                  <c:v>45679</c:v>
                </c:pt>
                <c:pt idx="132">
                  <c:v>45680</c:v>
                </c:pt>
                <c:pt idx="133">
                  <c:v>45681</c:v>
                </c:pt>
                <c:pt idx="134">
                  <c:v>45684</c:v>
                </c:pt>
                <c:pt idx="135">
                  <c:v>45685</c:v>
                </c:pt>
                <c:pt idx="136">
                  <c:v>45686</c:v>
                </c:pt>
                <c:pt idx="137">
                  <c:v>45687</c:v>
                </c:pt>
                <c:pt idx="138">
                  <c:v>45688</c:v>
                </c:pt>
                <c:pt idx="139">
                  <c:v>45691</c:v>
                </c:pt>
                <c:pt idx="140">
                  <c:v>45692</c:v>
                </c:pt>
                <c:pt idx="141">
                  <c:v>45693</c:v>
                </c:pt>
                <c:pt idx="142">
                  <c:v>45694</c:v>
                </c:pt>
                <c:pt idx="143">
                  <c:v>45695</c:v>
                </c:pt>
                <c:pt idx="144">
                  <c:v>45698</c:v>
                </c:pt>
                <c:pt idx="145">
                  <c:v>45699</c:v>
                </c:pt>
                <c:pt idx="146">
                  <c:v>45700</c:v>
                </c:pt>
                <c:pt idx="147">
                  <c:v>45701</c:v>
                </c:pt>
                <c:pt idx="148">
                  <c:v>45702</c:v>
                </c:pt>
                <c:pt idx="149">
                  <c:v>45706</c:v>
                </c:pt>
                <c:pt idx="150">
                  <c:v>45707</c:v>
                </c:pt>
                <c:pt idx="151">
                  <c:v>45708</c:v>
                </c:pt>
                <c:pt idx="152">
                  <c:v>45709</c:v>
                </c:pt>
                <c:pt idx="153">
                  <c:v>45712</c:v>
                </c:pt>
                <c:pt idx="154">
                  <c:v>45713</c:v>
                </c:pt>
                <c:pt idx="155">
                  <c:v>45714</c:v>
                </c:pt>
                <c:pt idx="156">
                  <c:v>45715</c:v>
                </c:pt>
                <c:pt idx="157">
                  <c:v>45716</c:v>
                </c:pt>
                <c:pt idx="158">
                  <c:v>45719</c:v>
                </c:pt>
                <c:pt idx="159">
                  <c:v>45720</c:v>
                </c:pt>
                <c:pt idx="160">
                  <c:v>45721</c:v>
                </c:pt>
                <c:pt idx="161">
                  <c:v>45722</c:v>
                </c:pt>
                <c:pt idx="162">
                  <c:v>45723</c:v>
                </c:pt>
                <c:pt idx="163">
                  <c:v>45726</c:v>
                </c:pt>
                <c:pt idx="164">
                  <c:v>45727</c:v>
                </c:pt>
                <c:pt idx="165">
                  <c:v>45728</c:v>
                </c:pt>
                <c:pt idx="166">
                  <c:v>45729</c:v>
                </c:pt>
                <c:pt idx="167">
                  <c:v>45730</c:v>
                </c:pt>
                <c:pt idx="168">
                  <c:v>45733</c:v>
                </c:pt>
                <c:pt idx="169">
                  <c:v>45734</c:v>
                </c:pt>
                <c:pt idx="170">
                  <c:v>45735</c:v>
                </c:pt>
                <c:pt idx="171">
                  <c:v>45736</c:v>
                </c:pt>
                <c:pt idx="172">
                  <c:v>45737</c:v>
                </c:pt>
                <c:pt idx="173">
                  <c:v>45740</c:v>
                </c:pt>
                <c:pt idx="174">
                  <c:v>45741</c:v>
                </c:pt>
                <c:pt idx="175">
                  <c:v>45742</c:v>
                </c:pt>
                <c:pt idx="176">
                  <c:v>45743</c:v>
                </c:pt>
                <c:pt idx="177">
                  <c:v>45744</c:v>
                </c:pt>
                <c:pt idx="178">
                  <c:v>45747</c:v>
                </c:pt>
              </c:numCache>
            </c:numRef>
          </c:cat>
          <c:val>
            <c:numRef>
              <c:f>RSI!$I$11:$I$189</c:f>
              <c:numCache>
                <c:formatCode>General</c:formatCode>
                <c:ptCount val="179"/>
                <c:pt idx="0">
                  <c:v>80.997541271513882</c:v>
                </c:pt>
                <c:pt idx="1">
                  <c:v>81.294715284980995</c:v>
                </c:pt>
                <c:pt idx="2">
                  <c:v>65.656110017828496</c:v>
                </c:pt>
                <c:pt idx="3">
                  <c:v>56.409472402880176</c:v>
                </c:pt>
                <c:pt idx="4">
                  <c:v>56.59157364542812</c:v>
                </c:pt>
                <c:pt idx="5">
                  <c:v>55.914317141409562</c:v>
                </c:pt>
                <c:pt idx="6">
                  <c:v>57.555397409342561</c:v>
                </c:pt>
                <c:pt idx="7">
                  <c:v>46.154354126941875</c:v>
                </c:pt>
                <c:pt idx="8">
                  <c:v>44.609953360822352</c:v>
                </c:pt>
                <c:pt idx="9">
                  <c:v>45.489224729096314</c:v>
                </c:pt>
                <c:pt idx="10">
                  <c:v>46.038788066769662</c:v>
                </c:pt>
                <c:pt idx="11">
                  <c:v>47.185626413265652</c:v>
                </c:pt>
                <c:pt idx="12">
                  <c:v>53.428838397414943</c:v>
                </c:pt>
                <c:pt idx="13">
                  <c:v>46.687985319991192</c:v>
                </c:pt>
                <c:pt idx="14">
                  <c:v>49.457047691065604</c:v>
                </c:pt>
                <c:pt idx="15">
                  <c:v>35.455393735038044</c:v>
                </c:pt>
                <c:pt idx="16">
                  <c:v>33.488564843839839</c:v>
                </c:pt>
                <c:pt idx="17">
                  <c:v>38.177609216749495</c:v>
                </c:pt>
                <c:pt idx="18">
                  <c:v>43.915367496132617</c:v>
                </c:pt>
                <c:pt idx="19">
                  <c:v>48.257201751390738</c:v>
                </c:pt>
                <c:pt idx="20">
                  <c:v>50.089222837078594</c:v>
                </c:pt>
                <c:pt idx="21">
                  <c:v>55.057484991093297</c:v>
                </c:pt>
                <c:pt idx="22">
                  <c:v>55.629789614260616</c:v>
                </c:pt>
                <c:pt idx="23">
                  <c:v>59.346519811738226</c:v>
                </c:pt>
                <c:pt idx="24">
                  <c:v>60.909854293755515</c:v>
                </c:pt>
                <c:pt idx="25">
                  <c:v>60.607903300576282</c:v>
                </c:pt>
                <c:pt idx="26">
                  <c:v>61.406305359714857</c:v>
                </c:pt>
                <c:pt idx="27">
                  <c:v>61.169423057983181</c:v>
                </c:pt>
                <c:pt idx="28">
                  <c:v>57.134357465612062</c:v>
                </c:pt>
                <c:pt idx="29">
                  <c:v>60.592553188382922</c:v>
                </c:pt>
                <c:pt idx="30">
                  <c:v>61.090120383105642</c:v>
                </c:pt>
                <c:pt idx="31">
                  <c:v>62.369325351353076</c:v>
                </c:pt>
                <c:pt idx="32">
                  <c:v>58.609767863218231</c:v>
                </c:pt>
                <c:pt idx="33">
                  <c:v>63.664260717609245</c:v>
                </c:pt>
                <c:pt idx="34">
                  <c:v>61.72108917845064</c:v>
                </c:pt>
                <c:pt idx="35">
                  <c:v>49.015506790792344</c:v>
                </c:pt>
                <c:pt idx="36">
                  <c:v>45.880847848815527</c:v>
                </c:pt>
                <c:pt idx="37">
                  <c:v>48.696498017466979</c:v>
                </c:pt>
                <c:pt idx="38">
                  <c:v>46.064922104505676</c:v>
                </c:pt>
                <c:pt idx="39">
                  <c:v>46.24540512887355</c:v>
                </c:pt>
                <c:pt idx="40">
                  <c:v>44.810007491636355</c:v>
                </c:pt>
                <c:pt idx="41">
                  <c:v>50.124101664886567</c:v>
                </c:pt>
                <c:pt idx="42">
                  <c:v>50.346206764837675</c:v>
                </c:pt>
                <c:pt idx="43">
                  <c:v>49.760462599325955</c:v>
                </c:pt>
                <c:pt idx="44">
                  <c:v>38.670493718653503</c:v>
                </c:pt>
                <c:pt idx="45">
                  <c:v>39.769888451816563</c:v>
                </c:pt>
                <c:pt idx="46">
                  <c:v>48.085996743431259</c:v>
                </c:pt>
                <c:pt idx="47">
                  <c:v>60.427614247976727</c:v>
                </c:pt>
                <c:pt idx="48">
                  <c:v>59.186487006032777</c:v>
                </c:pt>
                <c:pt idx="49">
                  <c:v>55.988785713527896</c:v>
                </c:pt>
                <c:pt idx="50">
                  <c:v>57.28181745487197</c:v>
                </c:pt>
                <c:pt idx="51">
                  <c:v>55.33646013753016</c:v>
                </c:pt>
                <c:pt idx="52">
                  <c:v>57.13916944168048</c:v>
                </c:pt>
                <c:pt idx="53">
                  <c:v>57.572155719562012</c:v>
                </c:pt>
                <c:pt idx="54">
                  <c:v>64.93360485005249</c:v>
                </c:pt>
                <c:pt idx="55">
                  <c:v>52.217710530814166</c:v>
                </c:pt>
                <c:pt idx="56">
                  <c:v>53.048924260385199</c:v>
                </c:pt>
                <c:pt idx="57">
                  <c:v>51.181713335898202</c:v>
                </c:pt>
                <c:pt idx="58">
                  <c:v>52.995540932640587</c:v>
                </c:pt>
                <c:pt idx="59">
                  <c:v>44.875631502172936</c:v>
                </c:pt>
                <c:pt idx="60">
                  <c:v>51.292610997482726</c:v>
                </c:pt>
                <c:pt idx="61">
                  <c:v>56.349069012859609</c:v>
                </c:pt>
                <c:pt idx="62">
                  <c:v>55.525766471878754</c:v>
                </c:pt>
                <c:pt idx="63">
                  <c:v>53.038814126815517</c:v>
                </c:pt>
                <c:pt idx="64">
                  <c:v>58.122548267827895</c:v>
                </c:pt>
                <c:pt idx="65">
                  <c:v>61.198541804060852</c:v>
                </c:pt>
                <c:pt idx="66">
                  <c:v>57.505938006382543</c:v>
                </c:pt>
                <c:pt idx="67">
                  <c:v>57.993826772957767</c:v>
                </c:pt>
                <c:pt idx="68">
                  <c:v>61.646611901804278</c:v>
                </c:pt>
                <c:pt idx="69">
                  <c:v>63.425274688903237</c:v>
                </c:pt>
                <c:pt idx="70">
                  <c:v>62.125481347121429</c:v>
                </c:pt>
                <c:pt idx="71">
                  <c:v>52.58003963024742</c:v>
                </c:pt>
                <c:pt idx="72">
                  <c:v>52.257898400672836</c:v>
                </c:pt>
                <c:pt idx="73">
                  <c:v>53.611061682022658</c:v>
                </c:pt>
                <c:pt idx="74">
                  <c:v>56.739305754144041</c:v>
                </c:pt>
                <c:pt idx="75">
                  <c:v>57.161407127605166</c:v>
                </c:pt>
                <c:pt idx="76">
                  <c:v>50.188461218209852</c:v>
                </c:pt>
                <c:pt idx="77">
                  <c:v>43.483873207603708</c:v>
                </c:pt>
                <c:pt idx="78">
                  <c:v>39.423081626128344</c:v>
                </c:pt>
                <c:pt idx="79">
                  <c:v>38.268486541377214</c:v>
                </c:pt>
                <c:pt idx="80">
                  <c:v>41.234065215396924</c:v>
                </c:pt>
                <c:pt idx="81">
                  <c:v>40.180260057226192</c:v>
                </c:pt>
                <c:pt idx="82">
                  <c:v>49.282189049340779</c:v>
                </c:pt>
                <c:pt idx="83">
                  <c:v>48.415517431460728</c:v>
                </c:pt>
                <c:pt idx="84">
                  <c:v>44.037007217640621</c:v>
                </c:pt>
                <c:pt idx="85">
                  <c:v>44.037007217640621</c:v>
                </c:pt>
                <c:pt idx="86">
                  <c:v>45.887288733227287</c:v>
                </c:pt>
                <c:pt idx="87">
                  <c:v>51.857893685054542</c:v>
                </c:pt>
                <c:pt idx="88">
                  <c:v>46.160591338772896</c:v>
                </c:pt>
                <c:pt idx="89">
                  <c:v>51.538205520421656</c:v>
                </c:pt>
                <c:pt idx="90">
                  <c:v>51.982874268340758</c:v>
                </c:pt>
                <c:pt idx="91">
                  <c:v>53.261821799792465</c:v>
                </c:pt>
                <c:pt idx="92">
                  <c:v>52.26242139791929</c:v>
                </c:pt>
                <c:pt idx="93">
                  <c:v>54.829591997385187</c:v>
                </c:pt>
                <c:pt idx="94">
                  <c:v>59.980020632119221</c:v>
                </c:pt>
                <c:pt idx="95">
                  <c:v>63.272257951591911</c:v>
                </c:pt>
                <c:pt idx="96">
                  <c:v>62.941253691581473</c:v>
                </c:pt>
                <c:pt idx="97">
                  <c:v>66.432582507819703</c:v>
                </c:pt>
                <c:pt idx="98">
                  <c:v>69.359913911881264</c:v>
                </c:pt>
                <c:pt idx="99">
                  <c:v>72.816567986755516</c:v>
                </c:pt>
                <c:pt idx="100">
                  <c:v>73.199632955896305</c:v>
                </c:pt>
                <c:pt idx="101">
                  <c:v>73.23348332784073</c:v>
                </c:pt>
                <c:pt idx="102">
                  <c:v>72.575362941815257</c:v>
                </c:pt>
                <c:pt idx="103">
                  <c:v>76.938633427161804</c:v>
                </c:pt>
                <c:pt idx="104">
                  <c:v>77.925308134257079</c:v>
                </c:pt>
                <c:pt idx="105">
                  <c:v>73.665893688905712</c:v>
                </c:pt>
                <c:pt idx="106">
                  <c:v>75.333418790098207</c:v>
                </c:pt>
                <c:pt idx="107">
                  <c:v>75.526423323142453</c:v>
                </c:pt>
                <c:pt idx="108">
                  <c:v>78.611510339190076</c:v>
                </c:pt>
                <c:pt idx="109">
                  <c:v>80.79732451244854</c:v>
                </c:pt>
                <c:pt idx="110">
                  <c:v>64.901515261784837</c:v>
                </c:pt>
                <c:pt idx="111">
                  <c:v>67.132932200020207</c:v>
                </c:pt>
                <c:pt idx="112">
                  <c:v>72.262621525168129</c:v>
                </c:pt>
                <c:pt idx="113">
                  <c:v>73.015333096166302</c:v>
                </c:pt>
                <c:pt idx="114">
                  <c:v>75.684657030194103</c:v>
                </c:pt>
                <c:pt idx="115">
                  <c:v>76.388599050825547</c:v>
                </c:pt>
                <c:pt idx="116">
                  <c:v>67.575822077463329</c:v>
                </c:pt>
                <c:pt idx="117">
                  <c:v>60.185454489403021</c:v>
                </c:pt>
                <c:pt idx="118">
                  <c:v>56.68026453411828</c:v>
                </c:pt>
                <c:pt idx="119">
                  <c:v>46.025405901397363</c:v>
                </c:pt>
                <c:pt idx="120">
                  <c:v>45.340831434344864</c:v>
                </c:pt>
                <c:pt idx="121">
                  <c:v>48.122069496038137</c:v>
                </c:pt>
                <c:pt idx="122">
                  <c:v>44.018555074428718</c:v>
                </c:pt>
                <c:pt idx="123">
                  <c:v>44.907109001840418</c:v>
                </c:pt>
                <c:pt idx="124">
                  <c:v>37.296022255333874</c:v>
                </c:pt>
                <c:pt idx="125">
                  <c:v>34.647529726098966</c:v>
                </c:pt>
                <c:pt idx="126">
                  <c:v>33.477164199585332</c:v>
                </c:pt>
                <c:pt idx="127">
                  <c:v>42.107901252404965</c:v>
                </c:pt>
                <c:pt idx="128">
                  <c:v>32.577855101325383</c:v>
                </c:pt>
                <c:pt idx="129">
                  <c:v>35.396107195957924</c:v>
                </c:pt>
                <c:pt idx="130">
                  <c:v>29.692205545901132</c:v>
                </c:pt>
                <c:pt idx="131">
                  <c:v>31.616206576246299</c:v>
                </c:pt>
                <c:pt idx="132">
                  <c:v>31.483658429088663</c:v>
                </c:pt>
                <c:pt idx="133">
                  <c:v>30.764649463310818</c:v>
                </c:pt>
                <c:pt idx="134">
                  <c:v>42.201379195447991</c:v>
                </c:pt>
                <c:pt idx="135">
                  <c:v>52.274329916290412</c:v>
                </c:pt>
                <c:pt idx="136">
                  <c:v>53.419169259969998</c:v>
                </c:pt>
                <c:pt idx="137">
                  <c:v>51.287266798083955</c:v>
                </c:pt>
                <c:pt idx="138">
                  <c:v>49.380767802149037</c:v>
                </c:pt>
                <c:pt idx="139">
                  <c:v>41.110586401538754</c:v>
                </c:pt>
                <c:pt idx="140">
                  <c:v>46.856758818043588</c:v>
                </c:pt>
                <c:pt idx="141">
                  <c:v>46.519980551205649</c:v>
                </c:pt>
                <c:pt idx="142">
                  <c:v>47.444512428098854</c:v>
                </c:pt>
                <c:pt idx="143">
                  <c:v>41.663296500566425</c:v>
                </c:pt>
                <c:pt idx="144">
                  <c:v>41.690672759784498</c:v>
                </c:pt>
                <c:pt idx="145">
                  <c:v>48.196498309516933</c:v>
                </c:pt>
                <c:pt idx="146">
                  <c:v>53.023346935699145</c:v>
                </c:pt>
                <c:pt idx="147">
                  <c:v>57.679594398341656</c:v>
                </c:pt>
                <c:pt idx="148">
                  <c:v>60.460117445039245</c:v>
                </c:pt>
                <c:pt idx="149">
                  <c:v>60.279509833151032</c:v>
                </c:pt>
                <c:pt idx="150">
                  <c:v>60.668828536229135</c:v>
                </c:pt>
                <c:pt idx="151">
                  <c:v>61.640587468318387</c:v>
                </c:pt>
                <c:pt idx="152">
                  <c:v>61.16590569971364</c:v>
                </c:pt>
                <c:pt idx="153">
                  <c:v>62.870470736170766</c:v>
                </c:pt>
                <c:pt idx="154">
                  <c:v>62.755640199335851</c:v>
                </c:pt>
                <c:pt idx="155">
                  <c:v>51.48174831600204</c:v>
                </c:pt>
                <c:pt idx="156">
                  <c:v>47.290666105372722</c:v>
                </c:pt>
                <c:pt idx="157">
                  <c:v>53.35764485736604</c:v>
                </c:pt>
                <c:pt idx="158">
                  <c:v>48.330094843737136</c:v>
                </c:pt>
                <c:pt idx="159">
                  <c:v>45.770203156584394</c:v>
                </c:pt>
                <c:pt idx="160">
                  <c:v>45.535201892316344</c:v>
                </c:pt>
                <c:pt idx="161">
                  <c:v>44.998295760865709</c:v>
                </c:pt>
                <c:pt idx="162">
                  <c:v>50.707839212598891</c:v>
                </c:pt>
                <c:pt idx="163">
                  <c:v>37.660815022952974</c:v>
                </c:pt>
                <c:pt idx="164">
                  <c:v>32.501325212498713</c:v>
                </c:pt>
                <c:pt idx="165">
                  <c:v>29.93397374715741</c:v>
                </c:pt>
                <c:pt idx="166">
                  <c:v>25.785568234817461</c:v>
                </c:pt>
                <c:pt idx="167">
                  <c:v>31.148669132655044</c:v>
                </c:pt>
                <c:pt idx="168">
                  <c:v>31.858523121226185</c:v>
                </c:pt>
                <c:pt idx="169">
                  <c:v>30.975126806023013</c:v>
                </c:pt>
                <c:pt idx="170">
                  <c:v>34.766975730078002</c:v>
                </c:pt>
                <c:pt idx="171">
                  <c:v>33.8711476437785</c:v>
                </c:pt>
                <c:pt idx="172">
                  <c:v>39.964824645986148</c:v>
                </c:pt>
                <c:pt idx="173">
                  <c:v>43.285065688523844</c:v>
                </c:pt>
                <c:pt idx="174">
                  <c:v>47.149363355027738</c:v>
                </c:pt>
                <c:pt idx="175">
                  <c:v>44.736325348380738</c:v>
                </c:pt>
                <c:pt idx="176">
                  <c:v>47.746052510500526</c:v>
                </c:pt>
                <c:pt idx="177">
                  <c:v>41.503205731738163</c:v>
                </c:pt>
                <c:pt idx="178">
                  <c:v>46.826144169384669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E9-D141-BB6B-1AEC997D8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7027840"/>
        <c:axId val="1756681728"/>
      </c:lineChart>
      <c:dateAx>
        <c:axId val="1697027840"/>
        <c:scaling>
          <c:orientation val="minMax"/>
        </c:scaling>
        <c:delete val="0"/>
        <c:axPos val="b"/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681728"/>
        <c:crosses val="autoZero"/>
        <c:auto val="1"/>
        <c:lblOffset val="100"/>
        <c:baseTimeUnit val="days"/>
      </c:dateAx>
      <c:valAx>
        <c:axId val="175668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02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Bollinger</a:t>
            </a:r>
            <a:r>
              <a:rPr lang="en-GB" baseline="0"/>
              <a:t> bands of Apple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BB!$B$1</c:f>
              <c:strCache>
                <c:ptCount val="1"/>
                <c:pt idx="0">
                  <c:v>APPL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BB!$A$16:$A$189</c:f>
              <c:numCache>
                <c:formatCode>m/d/yy</c:formatCode>
                <c:ptCount val="174"/>
                <c:pt idx="0">
                  <c:v>45495</c:v>
                </c:pt>
                <c:pt idx="1">
                  <c:v>45496</c:v>
                </c:pt>
                <c:pt idx="2">
                  <c:v>45497</c:v>
                </c:pt>
                <c:pt idx="3">
                  <c:v>45498</c:v>
                </c:pt>
                <c:pt idx="4">
                  <c:v>45499</c:v>
                </c:pt>
                <c:pt idx="5">
                  <c:v>45502</c:v>
                </c:pt>
                <c:pt idx="6">
                  <c:v>45503</c:v>
                </c:pt>
                <c:pt idx="7">
                  <c:v>45504</c:v>
                </c:pt>
                <c:pt idx="8">
                  <c:v>45505</c:v>
                </c:pt>
                <c:pt idx="9">
                  <c:v>45506</c:v>
                </c:pt>
                <c:pt idx="10">
                  <c:v>45509</c:v>
                </c:pt>
                <c:pt idx="11">
                  <c:v>45510</c:v>
                </c:pt>
                <c:pt idx="12">
                  <c:v>45511</c:v>
                </c:pt>
                <c:pt idx="13">
                  <c:v>45512</c:v>
                </c:pt>
                <c:pt idx="14">
                  <c:v>45513</c:v>
                </c:pt>
                <c:pt idx="15">
                  <c:v>45516</c:v>
                </c:pt>
                <c:pt idx="16">
                  <c:v>45517</c:v>
                </c:pt>
                <c:pt idx="17">
                  <c:v>45518</c:v>
                </c:pt>
                <c:pt idx="18">
                  <c:v>45519</c:v>
                </c:pt>
                <c:pt idx="19">
                  <c:v>45520</c:v>
                </c:pt>
                <c:pt idx="20">
                  <c:v>45523</c:v>
                </c:pt>
                <c:pt idx="21">
                  <c:v>45524</c:v>
                </c:pt>
                <c:pt idx="22">
                  <c:v>45525</c:v>
                </c:pt>
                <c:pt idx="23">
                  <c:v>45526</c:v>
                </c:pt>
                <c:pt idx="24">
                  <c:v>45527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  <c:pt idx="29">
                  <c:v>45534</c:v>
                </c:pt>
                <c:pt idx="30">
                  <c:v>45538</c:v>
                </c:pt>
                <c:pt idx="31">
                  <c:v>45539</c:v>
                </c:pt>
                <c:pt idx="32">
                  <c:v>45540</c:v>
                </c:pt>
                <c:pt idx="33">
                  <c:v>45541</c:v>
                </c:pt>
                <c:pt idx="34">
                  <c:v>45544</c:v>
                </c:pt>
                <c:pt idx="35">
                  <c:v>45545</c:v>
                </c:pt>
                <c:pt idx="36">
                  <c:v>45546</c:v>
                </c:pt>
                <c:pt idx="37">
                  <c:v>45547</c:v>
                </c:pt>
                <c:pt idx="38">
                  <c:v>45548</c:v>
                </c:pt>
                <c:pt idx="39">
                  <c:v>45551</c:v>
                </c:pt>
                <c:pt idx="40">
                  <c:v>45552</c:v>
                </c:pt>
                <c:pt idx="41">
                  <c:v>45553</c:v>
                </c:pt>
                <c:pt idx="42">
                  <c:v>45554</c:v>
                </c:pt>
                <c:pt idx="43">
                  <c:v>45555</c:v>
                </c:pt>
                <c:pt idx="44">
                  <c:v>45558</c:v>
                </c:pt>
                <c:pt idx="45">
                  <c:v>45559</c:v>
                </c:pt>
                <c:pt idx="46">
                  <c:v>45560</c:v>
                </c:pt>
                <c:pt idx="47">
                  <c:v>45561</c:v>
                </c:pt>
                <c:pt idx="48">
                  <c:v>45562</c:v>
                </c:pt>
                <c:pt idx="49">
                  <c:v>45565</c:v>
                </c:pt>
                <c:pt idx="50">
                  <c:v>45566</c:v>
                </c:pt>
                <c:pt idx="51">
                  <c:v>45567</c:v>
                </c:pt>
                <c:pt idx="52">
                  <c:v>45568</c:v>
                </c:pt>
                <c:pt idx="53">
                  <c:v>45569</c:v>
                </c:pt>
                <c:pt idx="54">
                  <c:v>45572</c:v>
                </c:pt>
                <c:pt idx="55">
                  <c:v>45573</c:v>
                </c:pt>
                <c:pt idx="56">
                  <c:v>45574</c:v>
                </c:pt>
                <c:pt idx="57">
                  <c:v>45575</c:v>
                </c:pt>
                <c:pt idx="58">
                  <c:v>45576</c:v>
                </c:pt>
                <c:pt idx="59">
                  <c:v>45579</c:v>
                </c:pt>
                <c:pt idx="60">
                  <c:v>45580</c:v>
                </c:pt>
                <c:pt idx="61">
                  <c:v>45581</c:v>
                </c:pt>
                <c:pt idx="62">
                  <c:v>45582</c:v>
                </c:pt>
                <c:pt idx="63">
                  <c:v>45583</c:v>
                </c:pt>
                <c:pt idx="64">
                  <c:v>45586</c:v>
                </c:pt>
                <c:pt idx="65">
                  <c:v>45587</c:v>
                </c:pt>
                <c:pt idx="66">
                  <c:v>45588</c:v>
                </c:pt>
                <c:pt idx="67">
                  <c:v>45589</c:v>
                </c:pt>
                <c:pt idx="68">
                  <c:v>45590</c:v>
                </c:pt>
                <c:pt idx="69">
                  <c:v>45593</c:v>
                </c:pt>
                <c:pt idx="70">
                  <c:v>45594</c:v>
                </c:pt>
                <c:pt idx="71">
                  <c:v>45595</c:v>
                </c:pt>
                <c:pt idx="72">
                  <c:v>45596</c:v>
                </c:pt>
                <c:pt idx="73">
                  <c:v>45597</c:v>
                </c:pt>
                <c:pt idx="74">
                  <c:v>45600</c:v>
                </c:pt>
                <c:pt idx="75">
                  <c:v>45601</c:v>
                </c:pt>
                <c:pt idx="76">
                  <c:v>45602</c:v>
                </c:pt>
                <c:pt idx="77">
                  <c:v>45603</c:v>
                </c:pt>
                <c:pt idx="78">
                  <c:v>45604</c:v>
                </c:pt>
                <c:pt idx="79">
                  <c:v>45607</c:v>
                </c:pt>
                <c:pt idx="80">
                  <c:v>45608</c:v>
                </c:pt>
                <c:pt idx="81">
                  <c:v>45609</c:v>
                </c:pt>
                <c:pt idx="82">
                  <c:v>45610</c:v>
                </c:pt>
                <c:pt idx="83">
                  <c:v>45611</c:v>
                </c:pt>
                <c:pt idx="84">
                  <c:v>45614</c:v>
                </c:pt>
                <c:pt idx="85">
                  <c:v>45615</c:v>
                </c:pt>
                <c:pt idx="86">
                  <c:v>45616</c:v>
                </c:pt>
                <c:pt idx="87">
                  <c:v>45617</c:v>
                </c:pt>
                <c:pt idx="88">
                  <c:v>45618</c:v>
                </c:pt>
                <c:pt idx="89">
                  <c:v>45621</c:v>
                </c:pt>
                <c:pt idx="90">
                  <c:v>45622</c:v>
                </c:pt>
                <c:pt idx="91">
                  <c:v>45623</c:v>
                </c:pt>
                <c:pt idx="92">
                  <c:v>45625</c:v>
                </c:pt>
                <c:pt idx="93">
                  <c:v>45628</c:v>
                </c:pt>
                <c:pt idx="94">
                  <c:v>45629</c:v>
                </c:pt>
                <c:pt idx="95">
                  <c:v>45630</c:v>
                </c:pt>
                <c:pt idx="96">
                  <c:v>45631</c:v>
                </c:pt>
                <c:pt idx="97">
                  <c:v>45632</c:v>
                </c:pt>
                <c:pt idx="98">
                  <c:v>45635</c:v>
                </c:pt>
                <c:pt idx="99">
                  <c:v>45636</c:v>
                </c:pt>
                <c:pt idx="100">
                  <c:v>45637</c:v>
                </c:pt>
                <c:pt idx="101">
                  <c:v>45638</c:v>
                </c:pt>
                <c:pt idx="102">
                  <c:v>45639</c:v>
                </c:pt>
                <c:pt idx="103">
                  <c:v>45642</c:v>
                </c:pt>
                <c:pt idx="104">
                  <c:v>45643</c:v>
                </c:pt>
                <c:pt idx="105">
                  <c:v>45644</c:v>
                </c:pt>
                <c:pt idx="106">
                  <c:v>45645</c:v>
                </c:pt>
                <c:pt idx="107">
                  <c:v>45646</c:v>
                </c:pt>
                <c:pt idx="108">
                  <c:v>45649</c:v>
                </c:pt>
                <c:pt idx="109">
                  <c:v>45650</c:v>
                </c:pt>
                <c:pt idx="110">
                  <c:v>45652</c:v>
                </c:pt>
                <c:pt idx="111">
                  <c:v>45653</c:v>
                </c:pt>
                <c:pt idx="112">
                  <c:v>45656</c:v>
                </c:pt>
                <c:pt idx="113">
                  <c:v>45657</c:v>
                </c:pt>
                <c:pt idx="114">
                  <c:v>45659</c:v>
                </c:pt>
                <c:pt idx="115">
                  <c:v>45660</c:v>
                </c:pt>
                <c:pt idx="116">
                  <c:v>45663</c:v>
                </c:pt>
                <c:pt idx="117">
                  <c:v>45664</c:v>
                </c:pt>
                <c:pt idx="118">
                  <c:v>45665</c:v>
                </c:pt>
                <c:pt idx="119">
                  <c:v>45667</c:v>
                </c:pt>
                <c:pt idx="120">
                  <c:v>45670</c:v>
                </c:pt>
                <c:pt idx="121">
                  <c:v>45671</c:v>
                </c:pt>
                <c:pt idx="122">
                  <c:v>45672</c:v>
                </c:pt>
                <c:pt idx="123">
                  <c:v>45673</c:v>
                </c:pt>
                <c:pt idx="124">
                  <c:v>45674</c:v>
                </c:pt>
                <c:pt idx="125">
                  <c:v>45678</c:v>
                </c:pt>
                <c:pt idx="126">
                  <c:v>45679</c:v>
                </c:pt>
                <c:pt idx="127">
                  <c:v>45680</c:v>
                </c:pt>
                <c:pt idx="128">
                  <c:v>45681</c:v>
                </c:pt>
                <c:pt idx="129">
                  <c:v>45684</c:v>
                </c:pt>
                <c:pt idx="130">
                  <c:v>45685</c:v>
                </c:pt>
                <c:pt idx="131">
                  <c:v>45686</c:v>
                </c:pt>
                <c:pt idx="132">
                  <c:v>45687</c:v>
                </c:pt>
                <c:pt idx="133">
                  <c:v>45688</c:v>
                </c:pt>
                <c:pt idx="134">
                  <c:v>45691</c:v>
                </c:pt>
                <c:pt idx="135">
                  <c:v>45692</c:v>
                </c:pt>
                <c:pt idx="136">
                  <c:v>45693</c:v>
                </c:pt>
                <c:pt idx="137">
                  <c:v>45694</c:v>
                </c:pt>
                <c:pt idx="138">
                  <c:v>45695</c:v>
                </c:pt>
                <c:pt idx="139">
                  <c:v>45698</c:v>
                </c:pt>
                <c:pt idx="140">
                  <c:v>45699</c:v>
                </c:pt>
                <c:pt idx="141">
                  <c:v>45700</c:v>
                </c:pt>
                <c:pt idx="142">
                  <c:v>45701</c:v>
                </c:pt>
                <c:pt idx="143">
                  <c:v>45702</c:v>
                </c:pt>
                <c:pt idx="144">
                  <c:v>45706</c:v>
                </c:pt>
                <c:pt idx="145">
                  <c:v>45707</c:v>
                </c:pt>
                <c:pt idx="146">
                  <c:v>45708</c:v>
                </c:pt>
                <c:pt idx="147">
                  <c:v>45709</c:v>
                </c:pt>
                <c:pt idx="148">
                  <c:v>45712</c:v>
                </c:pt>
                <c:pt idx="149">
                  <c:v>45713</c:v>
                </c:pt>
                <c:pt idx="150">
                  <c:v>45714</c:v>
                </c:pt>
                <c:pt idx="151">
                  <c:v>45715</c:v>
                </c:pt>
                <c:pt idx="152">
                  <c:v>45716</c:v>
                </c:pt>
                <c:pt idx="153">
                  <c:v>45719</c:v>
                </c:pt>
                <c:pt idx="154">
                  <c:v>45720</c:v>
                </c:pt>
                <c:pt idx="155">
                  <c:v>45721</c:v>
                </c:pt>
                <c:pt idx="156">
                  <c:v>45722</c:v>
                </c:pt>
                <c:pt idx="157">
                  <c:v>45723</c:v>
                </c:pt>
                <c:pt idx="158">
                  <c:v>45726</c:v>
                </c:pt>
                <c:pt idx="159">
                  <c:v>45727</c:v>
                </c:pt>
                <c:pt idx="160">
                  <c:v>45728</c:v>
                </c:pt>
                <c:pt idx="161">
                  <c:v>45729</c:v>
                </c:pt>
                <c:pt idx="162">
                  <c:v>45730</c:v>
                </c:pt>
                <c:pt idx="163">
                  <c:v>45733</c:v>
                </c:pt>
                <c:pt idx="164">
                  <c:v>45734</c:v>
                </c:pt>
                <c:pt idx="165">
                  <c:v>45735</c:v>
                </c:pt>
                <c:pt idx="166">
                  <c:v>45736</c:v>
                </c:pt>
                <c:pt idx="167">
                  <c:v>45737</c:v>
                </c:pt>
                <c:pt idx="168">
                  <c:v>45740</c:v>
                </c:pt>
                <c:pt idx="169">
                  <c:v>45741</c:v>
                </c:pt>
                <c:pt idx="170">
                  <c:v>45742</c:v>
                </c:pt>
                <c:pt idx="171">
                  <c:v>45743</c:v>
                </c:pt>
                <c:pt idx="172">
                  <c:v>45744</c:v>
                </c:pt>
                <c:pt idx="173">
                  <c:v>45747</c:v>
                </c:pt>
              </c:numCache>
            </c:numRef>
          </c:cat>
          <c:val>
            <c:numRef>
              <c:f>BB!$B$16:$B$189</c:f>
              <c:numCache>
                <c:formatCode>General</c:formatCode>
                <c:ptCount val="174"/>
                <c:pt idx="0">
                  <c:v>223.96</c:v>
                </c:pt>
                <c:pt idx="1">
                  <c:v>225.01</c:v>
                </c:pt>
                <c:pt idx="2">
                  <c:v>218.54</c:v>
                </c:pt>
                <c:pt idx="3">
                  <c:v>217.49</c:v>
                </c:pt>
                <c:pt idx="4">
                  <c:v>217.96</c:v>
                </c:pt>
                <c:pt idx="5">
                  <c:v>218.24</c:v>
                </c:pt>
                <c:pt idx="6">
                  <c:v>218.8</c:v>
                </c:pt>
                <c:pt idx="7">
                  <c:v>222.08</c:v>
                </c:pt>
                <c:pt idx="8">
                  <c:v>218.36</c:v>
                </c:pt>
                <c:pt idx="9">
                  <c:v>219.86</c:v>
                </c:pt>
                <c:pt idx="10">
                  <c:v>209.27</c:v>
                </c:pt>
                <c:pt idx="11">
                  <c:v>207.23</c:v>
                </c:pt>
                <c:pt idx="12">
                  <c:v>209.82</c:v>
                </c:pt>
                <c:pt idx="13">
                  <c:v>213.31</c:v>
                </c:pt>
                <c:pt idx="14">
                  <c:v>216.24</c:v>
                </c:pt>
                <c:pt idx="15">
                  <c:v>217.53</c:v>
                </c:pt>
                <c:pt idx="16">
                  <c:v>221.27</c:v>
                </c:pt>
                <c:pt idx="17">
                  <c:v>221.72</c:v>
                </c:pt>
                <c:pt idx="18">
                  <c:v>224.72</c:v>
                </c:pt>
                <c:pt idx="19">
                  <c:v>226.05</c:v>
                </c:pt>
                <c:pt idx="20">
                  <c:v>225.89</c:v>
                </c:pt>
                <c:pt idx="21">
                  <c:v>226.51</c:v>
                </c:pt>
                <c:pt idx="22">
                  <c:v>226.4</c:v>
                </c:pt>
                <c:pt idx="23">
                  <c:v>224.53</c:v>
                </c:pt>
                <c:pt idx="24">
                  <c:v>226.84</c:v>
                </c:pt>
                <c:pt idx="25">
                  <c:v>227.18</c:v>
                </c:pt>
                <c:pt idx="26">
                  <c:v>228.03</c:v>
                </c:pt>
                <c:pt idx="27">
                  <c:v>226.49</c:v>
                </c:pt>
                <c:pt idx="28">
                  <c:v>229.79</c:v>
                </c:pt>
                <c:pt idx="29">
                  <c:v>229</c:v>
                </c:pt>
                <c:pt idx="30">
                  <c:v>222.77</c:v>
                </c:pt>
                <c:pt idx="31">
                  <c:v>220.85</c:v>
                </c:pt>
                <c:pt idx="32">
                  <c:v>222.38</c:v>
                </c:pt>
                <c:pt idx="33">
                  <c:v>220.82</c:v>
                </c:pt>
                <c:pt idx="34">
                  <c:v>220.91</c:v>
                </c:pt>
                <c:pt idx="35">
                  <c:v>220.11</c:v>
                </c:pt>
                <c:pt idx="36">
                  <c:v>222.66</c:v>
                </c:pt>
                <c:pt idx="37">
                  <c:v>222.77</c:v>
                </c:pt>
                <c:pt idx="38">
                  <c:v>222.5</c:v>
                </c:pt>
                <c:pt idx="39">
                  <c:v>216.32</c:v>
                </c:pt>
                <c:pt idx="40">
                  <c:v>216.79</c:v>
                </c:pt>
                <c:pt idx="41">
                  <c:v>220.69</c:v>
                </c:pt>
                <c:pt idx="42">
                  <c:v>228.87</c:v>
                </c:pt>
                <c:pt idx="43">
                  <c:v>228.2</c:v>
                </c:pt>
                <c:pt idx="44">
                  <c:v>226.47</c:v>
                </c:pt>
                <c:pt idx="45">
                  <c:v>227.37</c:v>
                </c:pt>
                <c:pt idx="46">
                  <c:v>226.37</c:v>
                </c:pt>
                <c:pt idx="47">
                  <c:v>227.52</c:v>
                </c:pt>
                <c:pt idx="48">
                  <c:v>227.79</c:v>
                </c:pt>
                <c:pt idx="49">
                  <c:v>233</c:v>
                </c:pt>
                <c:pt idx="50">
                  <c:v>226.21</c:v>
                </c:pt>
                <c:pt idx="51">
                  <c:v>226.78</c:v>
                </c:pt>
                <c:pt idx="52">
                  <c:v>225.67</c:v>
                </c:pt>
                <c:pt idx="53">
                  <c:v>226.8</c:v>
                </c:pt>
                <c:pt idx="54">
                  <c:v>221.69</c:v>
                </c:pt>
                <c:pt idx="55">
                  <c:v>225.77</c:v>
                </c:pt>
                <c:pt idx="56">
                  <c:v>229.54</c:v>
                </c:pt>
                <c:pt idx="57">
                  <c:v>229.04</c:v>
                </c:pt>
                <c:pt idx="58">
                  <c:v>227.55</c:v>
                </c:pt>
                <c:pt idx="59">
                  <c:v>231.3</c:v>
                </c:pt>
                <c:pt idx="60">
                  <c:v>233.85</c:v>
                </c:pt>
                <c:pt idx="61">
                  <c:v>231.78</c:v>
                </c:pt>
                <c:pt idx="62">
                  <c:v>232.15</c:v>
                </c:pt>
                <c:pt idx="63">
                  <c:v>235</c:v>
                </c:pt>
                <c:pt idx="64">
                  <c:v>236.48</c:v>
                </c:pt>
                <c:pt idx="65">
                  <c:v>235.86</c:v>
                </c:pt>
                <c:pt idx="66">
                  <c:v>230.76</c:v>
                </c:pt>
                <c:pt idx="67">
                  <c:v>230.57</c:v>
                </c:pt>
                <c:pt idx="68">
                  <c:v>231.41</c:v>
                </c:pt>
                <c:pt idx="69">
                  <c:v>233.4</c:v>
                </c:pt>
                <c:pt idx="70">
                  <c:v>233.67</c:v>
                </c:pt>
                <c:pt idx="71">
                  <c:v>230.1</c:v>
                </c:pt>
                <c:pt idx="72">
                  <c:v>225.91</c:v>
                </c:pt>
                <c:pt idx="73">
                  <c:v>222.91</c:v>
                </c:pt>
                <c:pt idx="74">
                  <c:v>222.01</c:v>
                </c:pt>
                <c:pt idx="75">
                  <c:v>223.45</c:v>
                </c:pt>
                <c:pt idx="76">
                  <c:v>222.72</c:v>
                </c:pt>
                <c:pt idx="77">
                  <c:v>227.48</c:v>
                </c:pt>
                <c:pt idx="78">
                  <c:v>226.96</c:v>
                </c:pt>
                <c:pt idx="79">
                  <c:v>224.23</c:v>
                </c:pt>
                <c:pt idx="80">
                  <c:v>224.23</c:v>
                </c:pt>
                <c:pt idx="81">
                  <c:v>225.12</c:v>
                </c:pt>
                <c:pt idx="82">
                  <c:v>228.22</c:v>
                </c:pt>
                <c:pt idx="83">
                  <c:v>225</c:v>
                </c:pt>
                <c:pt idx="84">
                  <c:v>228.02</c:v>
                </c:pt>
                <c:pt idx="85">
                  <c:v>228.28</c:v>
                </c:pt>
                <c:pt idx="86">
                  <c:v>229</c:v>
                </c:pt>
                <c:pt idx="87">
                  <c:v>228.52</c:v>
                </c:pt>
                <c:pt idx="88">
                  <c:v>229.87</c:v>
                </c:pt>
                <c:pt idx="89">
                  <c:v>232.87</c:v>
                </c:pt>
                <c:pt idx="90">
                  <c:v>235.06</c:v>
                </c:pt>
                <c:pt idx="91">
                  <c:v>234.93</c:v>
                </c:pt>
                <c:pt idx="92">
                  <c:v>237.33</c:v>
                </c:pt>
                <c:pt idx="93">
                  <c:v>239.59</c:v>
                </c:pt>
                <c:pt idx="94">
                  <c:v>242.65</c:v>
                </c:pt>
                <c:pt idx="95">
                  <c:v>243.01</c:v>
                </c:pt>
                <c:pt idx="96">
                  <c:v>243.04</c:v>
                </c:pt>
                <c:pt idx="97">
                  <c:v>242.84</c:v>
                </c:pt>
                <c:pt idx="98">
                  <c:v>246.75</c:v>
                </c:pt>
                <c:pt idx="99">
                  <c:v>247.77</c:v>
                </c:pt>
                <c:pt idx="100">
                  <c:v>246.49</c:v>
                </c:pt>
                <c:pt idx="101">
                  <c:v>247.96</c:v>
                </c:pt>
                <c:pt idx="102">
                  <c:v>248.13</c:v>
                </c:pt>
                <c:pt idx="103">
                  <c:v>251.04</c:v>
                </c:pt>
                <c:pt idx="104">
                  <c:v>253.48</c:v>
                </c:pt>
                <c:pt idx="105">
                  <c:v>248.05</c:v>
                </c:pt>
                <c:pt idx="106">
                  <c:v>249.79</c:v>
                </c:pt>
                <c:pt idx="107">
                  <c:v>254.49</c:v>
                </c:pt>
                <c:pt idx="108">
                  <c:v>255.27</c:v>
                </c:pt>
                <c:pt idx="109">
                  <c:v>258.2</c:v>
                </c:pt>
                <c:pt idx="110">
                  <c:v>259.02</c:v>
                </c:pt>
                <c:pt idx="111">
                  <c:v>255.59</c:v>
                </c:pt>
                <c:pt idx="112">
                  <c:v>252.2</c:v>
                </c:pt>
                <c:pt idx="113">
                  <c:v>250.42</c:v>
                </c:pt>
                <c:pt idx="114">
                  <c:v>243.85</c:v>
                </c:pt>
                <c:pt idx="115">
                  <c:v>243.36</c:v>
                </c:pt>
                <c:pt idx="116">
                  <c:v>245</c:v>
                </c:pt>
                <c:pt idx="117">
                  <c:v>242.21</c:v>
                </c:pt>
                <c:pt idx="118">
                  <c:v>242.7</c:v>
                </c:pt>
                <c:pt idx="119">
                  <c:v>236.85</c:v>
                </c:pt>
                <c:pt idx="120">
                  <c:v>234.4</c:v>
                </c:pt>
                <c:pt idx="121">
                  <c:v>233.28</c:v>
                </c:pt>
                <c:pt idx="122">
                  <c:v>237.87</c:v>
                </c:pt>
                <c:pt idx="123">
                  <c:v>228.26</c:v>
                </c:pt>
                <c:pt idx="124">
                  <c:v>229.98</c:v>
                </c:pt>
                <c:pt idx="125">
                  <c:v>222.64</c:v>
                </c:pt>
                <c:pt idx="126">
                  <c:v>223.83</c:v>
                </c:pt>
                <c:pt idx="127">
                  <c:v>223.66</c:v>
                </c:pt>
                <c:pt idx="128">
                  <c:v>222.78</c:v>
                </c:pt>
                <c:pt idx="129">
                  <c:v>229.86</c:v>
                </c:pt>
                <c:pt idx="130">
                  <c:v>238.26</c:v>
                </c:pt>
                <c:pt idx="131">
                  <c:v>239.36</c:v>
                </c:pt>
                <c:pt idx="132">
                  <c:v>237.59</c:v>
                </c:pt>
                <c:pt idx="133">
                  <c:v>236</c:v>
                </c:pt>
                <c:pt idx="134">
                  <c:v>228.01</c:v>
                </c:pt>
                <c:pt idx="135">
                  <c:v>232.8</c:v>
                </c:pt>
                <c:pt idx="136">
                  <c:v>232.47</c:v>
                </c:pt>
                <c:pt idx="137">
                  <c:v>233.22</c:v>
                </c:pt>
                <c:pt idx="138">
                  <c:v>227.63</c:v>
                </c:pt>
                <c:pt idx="139">
                  <c:v>227.65</c:v>
                </c:pt>
                <c:pt idx="140">
                  <c:v>232.62</c:v>
                </c:pt>
                <c:pt idx="141">
                  <c:v>236.87</c:v>
                </c:pt>
                <c:pt idx="142">
                  <c:v>241.53</c:v>
                </c:pt>
                <c:pt idx="143">
                  <c:v>244.6</c:v>
                </c:pt>
                <c:pt idx="144">
                  <c:v>244.47</c:v>
                </c:pt>
                <c:pt idx="145">
                  <c:v>244.87</c:v>
                </c:pt>
                <c:pt idx="146">
                  <c:v>245.83</c:v>
                </c:pt>
                <c:pt idx="147">
                  <c:v>245.55</c:v>
                </c:pt>
                <c:pt idx="148">
                  <c:v>247.1</c:v>
                </c:pt>
                <c:pt idx="149">
                  <c:v>247.04</c:v>
                </c:pt>
                <c:pt idx="150">
                  <c:v>240.36</c:v>
                </c:pt>
                <c:pt idx="151">
                  <c:v>237.3</c:v>
                </c:pt>
                <c:pt idx="152">
                  <c:v>241.84</c:v>
                </c:pt>
                <c:pt idx="153">
                  <c:v>238.03</c:v>
                </c:pt>
                <c:pt idx="154">
                  <c:v>235.93</c:v>
                </c:pt>
                <c:pt idx="155">
                  <c:v>235.74</c:v>
                </c:pt>
                <c:pt idx="156">
                  <c:v>235.33</c:v>
                </c:pt>
                <c:pt idx="157">
                  <c:v>239.07</c:v>
                </c:pt>
                <c:pt idx="158">
                  <c:v>227.48</c:v>
                </c:pt>
                <c:pt idx="159">
                  <c:v>220.84</c:v>
                </c:pt>
                <c:pt idx="160">
                  <c:v>216.98</c:v>
                </c:pt>
                <c:pt idx="161">
                  <c:v>209.68</c:v>
                </c:pt>
                <c:pt idx="162">
                  <c:v>213.49</c:v>
                </c:pt>
                <c:pt idx="163">
                  <c:v>214</c:v>
                </c:pt>
                <c:pt idx="164">
                  <c:v>212.69</c:v>
                </c:pt>
                <c:pt idx="165">
                  <c:v>215.24</c:v>
                </c:pt>
                <c:pt idx="166">
                  <c:v>214.1</c:v>
                </c:pt>
                <c:pt idx="167">
                  <c:v>218.27</c:v>
                </c:pt>
                <c:pt idx="168">
                  <c:v>220.73</c:v>
                </c:pt>
                <c:pt idx="169">
                  <c:v>223.75</c:v>
                </c:pt>
                <c:pt idx="170">
                  <c:v>221.53</c:v>
                </c:pt>
                <c:pt idx="171">
                  <c:v>223.85</c:v>
                </c:pt>
                <c:pt idx="172">
                  <c:v>217.9</c:v>
                </c:pt>
                <c:pt idx="173">
                  <c:v>222.13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02-A647-9098-7A8D55177C92}"/>
            </c:ext>
          </c:extLst>
        </c:ser>
        <c:ser>
          <c:idx val="1"/>
          <c:order val="1"/>
          <c:tx>
            <c:strRef>
              <c:f>BB!$C$1</c:f>
              <c:strCache>
                <c:ptCount val="1"/>
                <c:pt idx="0">
                  <c:v>20 Day MA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BB!$A$16:$A$189</c:f>
              <c:numCache>
                <c:formatCode>m/d/yy</c:formatCode>
                <c:ptCount val="174"/>
                <c:pt idx="0">
                  <c:v>45495</c:v>
                </c:pt>
                <c:pt idx="1">
                  <c:v>45496</c:v>
                </c:pt>
                <c:pt idx="2">
                  <c:v>45497</c:v>
                </c:pt>
                <c:pt idx="3">
                  <c:v>45498</c:v>
                </c:pt>
                <c:pt idx="4">
                  <c:v>45499</c:v>
                </c:pt>
                <c:pt idx="5">
                  <c:v>45502</c:v>
                </c:pt>
                <c:pt idx="6">
                  <c:v>45503</c:v>
                </c:pt>
                <c:pt idx="7">
                  <c:v>45504</c:v>
                </c:pt>
                <c:pt idx="8">
                  <c:v>45505</c:v>
                </c:pt>
                <c:pt idx="9">
                  <c:v>45506</c:v>
                </c:pt>
                <c:pt idx="10">
                  <c:v>45509</c:v>
                </c:pt>
                <c:pt idx="11">
                  <c:v>45510</c:v>
                </c:pt>
                <c:pt idx="12">
                  <c:v>45511</c:v>
                </c:pt>
                <c:pt idx="13">
                  <c:v>45512</c:v>
                </c:pt>
                <c:pt idx="14">
                  <c:v>45513</c:v>
                </c:pt>
                <c:pt idx="15">
                  <c:v>45516</c:v>
                </c:pt>
                <c:pt idx="16">
                  <c:v>45517</c:v>
                </c:pt>
                <c:pt idx="17">
                  <c:v>45518</c:v>
                </c:pt>
                <c:pt idx="18">
                  <c:v>45519</c:v>
                </c:pt>
                <c:pt idx="19">
                  <c:v>45520</c:v>
                </c:pt>
                <c:pt idx="20">
                  <c:v>45523</c:v>
                </c:pt>
                <c:pt idx="21">
                  <c:v>45524</c:v>
                </c:pt>
                <c:pt idx="22">
                  <c:v>45525</c:v>
                </c:pt>
                <c:pt idx="23">
                  <c:v>45526</c:v>
                </c:pt>
                <c:pt idx="24">
                  <c:v>45527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  <c:pt idx="29">
                  <c:v>45534</c:v>
                </c:pt>
                <c:pt idx="30">
                  <c:v>45538</c:v>
                </c:pt>
                <c:pt idx="31">
                  <c:v>45539</c:v>
                </c:pt>
                <c:pt idx="32">
                  <c:v>45540</c:v>
                </c:pt>
                <c:pt idx="33">
                  <c:v>45541</c:v>
                </c:pt>
                <c:pt idx="34">
                  <c:v>45544</c:v>
                </c:pt>
                <c:pt idx="35">
                  <c:v>45545</c:v>
                </c:pt>
                <c:pt idx="36">
                  <c:v>45546</c:v>
                </c:pt>
                <c:pt idx="37">
                  <c:v>45547</c:v>
                </c:pt>
                <c:pt idx="38">
                  <c:v>45548</c:v>
                </c:pt>
                <c:pt idx="39">
                  <c:v>45551</c:v>
                </c:pt>
                <c:pt idx="40">
                  <c:v>45552</c:v>
                </c:pt>
                <c:pt idx="41">
                  <c:v>45553</c:v>
                </c:pt>
                <c:pt idx="42">
                  <c:v>45554</c:v>
                </c:pt>
                <c:pt idx="43">
                  <c:v>45555</c:v>
                </c:pt>
                <c:pt idx="44">
                  <c:v>45558</c:v>
                </c:pt>
                <c:pt idx="45">
                  <c:v>45559</c:v>
                </c:pt>
                <c:pt idx="46">
                  <c:v>45560</c:v>
                </c:pt>
                <c:pt idx="47">
                  <c:v>45561</c:v>
                </c:pt>
                <c:pt idx="48">
                  <c:v>45562</c:v>
                </c:pt>
                <c:pt idx="49">
                  <c:v>45565</c:v>
                </c:pt>
                <c:pt idx="50">
                  <c:v>45566</c:v>
                </c:pt>
                <c:pt idx="51">
                  <c:v>45567</c:v>
                </c:pt>
                <c:pt idx="52">
                  <c:v>45568</c:v>
                </c:pt>
                <c:pt idx="53">
                  <c:v>45569</c:v>
                </c:pt>
                <c:pt idx="54">
                  <c:v>45572</c:v>
                </c:pt>
                <c:pt idx="55">
                  <c:v>45573</c:v>
                </c:pt>
                <c:pt idx="56">
                  <c:v>45574</c:v>
                </c:pt>
                <c:pt idx="57">
                  <c:v>45575</c:v>
                </c:pt>
                <c:pt idx="58">
                  <c:v>45576</c:v>
                </c:pt>
                <c:pt idx="59">
                  <c:v>45579</c:v>
                </c:pt>
                <c:pt idx="60">
                  <c:v>45580</c:v>
                </c:pt>
                <c:pt idx="61">
                  <c:v>45581</c:v>
                </c:pt>
                <c:pt idx="62">
                  <c:v>45582</c:v>
                </c:pt>
                <c:pt idx="63">
                  <c:v>45583</c:v>
                </c:pt>
                <c:pt idx="64">
                  <c:v>45586</c:v>
                </c:pt>
                <c:pt idx="65">
                  <c:v>45587</c:v>
                </c:pt>
                <c:pt idx="66">
                  <c:v>45588</c:v>
                </c:pt>
                <c:pt idx="67">
                  <c:v>45589</c:v>
                </c:pt>
                <c:pt idx="68">
                  <c:v>45590</c:v>
                </c:pt>
                <c:pt idx="69">
                  <c:v>45593</c:v>
                </c:pt>
                <c:pt idx="70">
                  <c:v>45594</c:v>
                </c:pt>
                <c:pt idx="71">
                  <c:v>45595</c:v>
                </c:pt>
                <c:pt idx="72">
                  <c:v>45596</c:v>
                </c:pt>
                <c:pt idx="73">
                  <c:v>45597</c:v>
                </c:pt>
                <c:pt idx="74">
                  <c:v>45600</c:v>
                </c:pt>
                <c:pt idx="75">
                  <c:v>45601</c:v>
                </c:pt>
                <c:pt idx="76">
                  <c:v>45602</c:v>
                </c:pt>
                <c:pt idx="77">
                  <c:v>45603</c:v>
                </c:pt>
                <c:pt idx="78">
                  <c:v>45604</c:v>
                </c:pt>
                <c:pt idx="79">
                  <c:v>45607</c:v>
                </c:pt>
                <c:pt idx="80">
                  <c:v>45608</c:v>
                </c:pt>
                <c:pt idx="81">
                  <c:v>45609</c:v>
                </c:pt>
                <c:pt idx="82">
                  <c:v>45610</c:v>
                </c:pt>
                <c:pt idx="83">
                  <c:v>45611</c:v>
                </c:pt>
                <c:pt idx="84">
                  <c:v>45614</c:v>
                </c:pt>
                <c:pt idx="85">
                  <c:v>45615</c:v>
                </c:pt>
                <c:pt idx="86">
                  <c:v>45616</c:v>
                </c:pt>
                <c:pt idx="87">
                  <c:v>45617</c:v>
                </c:pt>
                <c:pt idx="88">
                  <c:v>45618</c:v>
                </c:pt>
                <c:pt idx="89">
                  <c:v>45621</c:v>
                </c:pt>
                <c:pt idx="90">
                  <c:v>45622</c:v>
                </c:pt>
                <c:pt idx="91">
                  <c:v>45623</c:v>
                </c:pt>
                <c:pt idx="92">
                  <c:v>45625</c:v>
                </c:pt>
                <c:pt idx="93">
                  <c:v>45628</c:v>
                </c:pt>
                <c:pt idx="94">
                  <c:v>45629</c:v>
                </c:pt>
                <c:pt idx="95">
                  <c:v>45630</c:v>
                </c:pt>
                <c:pt idx="96">
                  <c:v>45631</c:v>
                </c:pt>
                <c:pt idx="97">
                  <c:v>45632</c:v>
                </c:pt>
                <c:pt idx="98">
                  <c:v>45635</c:v>
                </c:pt>
                <c:pt idx="99">
                  <c:v>45636</c:v>
                </c:pt>
                <c:pt idx="100">
                  <c:v>45637</c:v>
                </c:pt>
                <c:pt idx="101">
                  <c:v>45638</c:v>
                </c:pt>
                <c:pt idx="102">
                  <c:v>45639</c:v>
                </c:pt>
                <c:pt idx="103">
                  <c:v>45642</c:v>
                </c:pt>
                <c:pt idx="104">
                  <c:v>45643</c:v>
                </c:pt>
                <c:pt idx="105">
                  <c:v>45644</c:v>
                </c:pt>
                <c:pt idx="106">
                  <c:v>45645</c:v>
                </c:pt>
                <c:pt idx="107">
                  <c:v>45646</c:v>
                </c:pt>
                <c:pt idx="108">
                  <c:v>45649</c:v>
                </c:pt>
                <c:pt idx="109">
                  <c:v>45650</c:v>
                </c:pt>
                <c:pt idx="110">
                  <c:v>45652</c:v>
                </c:pt>
                <c:pt idx="111">
                  <c:v>45653</c:v>
                </c:pt>
                <c:pt idx="112">
                  <c:v>45656</c:v>
                </c:pt>
                <c:pt idx="113">
                  <c:v>45657</c:v>
                </c:pt>
                <c:pt idx="114">
                  <c:v>45659</c:v>
                </c:pt>
                <c:pt idx="115">
                  <c:v>45660</c:v>
                </c:pt>
                <c:pt idx="116">
                  <c:v>45663</c:v>
                </c:pt>
                <c:pt idx="117">
                  <c:v>45664</c:v>
                </c:pt>
                <c:pt idx="118">
                  <c:v>45665</c:v>
                </c:pt>
                <c:pt idx="119">
                  <c:v>45667</c:v>
                </c:pt>
                <c:pt idx="120">
                  <c:v>45670</c:v>
                </c:pt>
                <c:pt idx="121">
                  <c:v>45671</c:v>
                </c:pt>
                <c:pt idx="122">
                  <c:v>45672</c:v>
                </c:pt>
                <c:pt idx="123">
                  <c:v>45673</c:v>
                </c:pt>
                <c:pt idx="124">
                  <c:v>45674</c:v>
                </c:pt>
                <c:pt idx="125">
                  <c:v>45678</c:v>
                </c:pt>
                <c:pt idx="126">
                  <c:v>45679</c:v>
                </c:pt>
                <c:pt idx="127">
                  <c:v>45680</c:v>
                </c:pt>
                <c:pt idx="128">
                  <c:v>45681</c:v>
                </c:pt>
                <c:pt idx="129">
                  <c:v>45684</c:v>
                </c:pt>
                <c:pt idx="130">
                  <c:v>45685</c:v>
                </c:pt>
                <c:pt idx="131">
                  <c:v>45686</c:v>
                </c:pt>
                <c:pt idx="132">
                  <c:v>45687</c:v>
                </c:pt>
                <c:pt idx="133">
                  <c:v>45688</c:v>
                </c:pt>
                <c:pt idx="134">
                  <c:v>45691</c:v>
                </c:pt>
                <c:pt idx="135">
                  <c:v>45692</c:v>
                </c:pt>
                <c:pt idx="136">
                  <c:v>45693</c:v>
                </c:pt>
                <c:pt idx="137">
                  <c:v>45694</c:v>
                </c:pt>
                <c:pt idx="138">
                  <c:v>45695</c:v>
                </c:pt>
                <c:pt idx="139">
                  <c:v>45698</c:v>
                </c:pt>
                <c:pt idx="140">
                  <c:v>45699</c:v>
                </c:pt>
                <c:pt idx="141">
                  <c:v>45700</c:v>
                </c:pt>
                <c:pt idx="142">
                  <c:v>45701</c:v>
                </c:pt>
                <c:pt idx="143">
                  <c:v>45702</c:v>
                </c:pt>
                <c:pt idx="144">
                  <c:v>45706</c:v>
                </c:pt>
                <c:pt idx="145">
                  <c:v>45707</c:v>
                </c:pt>
                <c:pt idx="146">
                  <c:v>45708</c:v>
                </c:pt>
                <c:pt idx="147">
                  <c:v>45709</c:v>
                </c:pt>
                <c:pt idx="148">
                  <c:v>45712</c:v>
                </c:pt>
                <c:pt idx="149">
                  <c:v>45713</c:v>
                </c:pt>
                <c:pt idx="150">
                  <c:v>45714</c:v>
                </c:pt>
                <c:pt idx="151">
                  <c:v>45715</c:v>
                </c:pt>
                <c:pt idx="152">
                  <c:v>45716</c:v>
                </c:pt>
                <c:pt idx="153">
                  <c:v>45719</c:v>
                </c:pt>
                <c:pt idx="154">
                  <c:v>45720</c:v>
                </c:pt>
                <c:pt idx="155">
                  <c:v>45721</c:v>
                </c:pt>
                <c:pt idx="156">
                  <c:v>45722</c:v>
                </c:pt>
                <c:pt idx="157">
                  <c:v>45723</c:v>
                </c:pt>
                <c:pt idx="158">
                  <c:v>45726</c:v>
                </c:pt>
                <c:pt idx="159">
                  <c:v>45727</c:v>
                </c:pt>
                <c:pt idx="160">
                  <c:v>45728</c:v>
                </c:pt>
                <c:pt idx="161">
                  <c:v>45729</c:v>
                </c:pt>
                <c:pt idx="162">
                  <c:v>45730</c:v>
                </c:pt>
                <c:pt idx="163">
                  <c:v>45733</c:v>
                </c:pt>
                <c:pt idx="164">
                  <c:v>45734</c:v>
                </c:pt>
                <c:pt idx="165">
                  <c:v>45735</c:v>
                </c:pt>
                <c:pt idx="166">
                  <c:v>45736</c:v>
                </c:pt>
                <c:pt idx="167">
                  <c:v>45737</c:v>
                </c:pt>
                <c:pt idx="168">
                  <c:v>45740</c:v>
                </c:pt>
                <c:pt idx="169">
                  <c:v>45741</c:v>
                </c:pt>
                <c:pt idx="170">
                  <c:v>45742</c:v>
                </c:pt>
                <c:pt idx="171">
                  <c:v>45743</c:v>
                </c:pt>
                <c:pt idx="172">
                  <c:v>45744</c:v>
                </c:pt>
                <c:pt idx="173">
                  <c:v>45747</c:v>
                </c:pt>
              </c:numCache>
            </c:numRef>
          </c:cat>
          <c:val>
            <c:numRef>
              <c:f>BB!$C$16:$C$189</c:f>
              <c:numCache>
                <c:formatCode>General</c:formatCode>
                <c:ptCount val="174"/>
                <c:pt idx="5">
                  <c:v>225.0145</c:v>
                </c:pt>
                <c:pt idx="6">
                  <c:v>225.11700000000002</c:v>
                </c:pt>
                <c:pt idx="7">
                  <c:v>225.20749999999998</c:v>
                </c:pt>
                <c:pt idx="8">
                  <c:v>225.04799999999994</c:v>
                </c:pt>
                <c:pt idx="9">
                  <c:v>224.72399999999993</c:v>
                </c:pt>
                <c:pt idx="10">
                  <c:v>223.79650000000001</c:v>
                </c:pt>
                <c:pt idx="11">
                  <c:v>222.72399999999999</c:v>
                </c:pt>
                <c:pt idx="12">
                  <c:v>221.56599999999997</c:v>
                </c:pt>
                <c:pt idx="13">
                  <c:v>220.85300000000001</c:v>
                </c:pt>
                <c:pt idx="14">
                  <c:v>220.13800000000001</c:v>
                </c:pt>
                <c:pt idx="15">
                  <c:v>219.29450000000003</c:v>
                </c:pt>
                <c:pt idx="16">
                  <c:v>218.61700000000005</c:v>
                </c:pt>
                <c:pt idx="17">
                  <c:v>218.25900000000007</c:v>
                </c:pt>
                <c:pt idx="18">
                  <c:v>218.28600000000006</c:v>
                </c:pt>
                <c:pt idx="19">
                  <c:v>218.37299999999999</c:v>
                </c:pt>
                <c:pt idx="20">
                  <c:v>218.46950000000001</c:v>
                </c:pt>
                <c:pt idx="21">
                  <c:v>218.54450000000003</c:v>
                </c:pt>
                <c:pt idx="22">
                  <c:v>218.93749999999994</c:v>
                </c:pt>
                <c:pt idx="23">
                  <c:v>219.28949999999995</c:v>
                </c:pt>
                <c:pt idx="24">
                  <c:v>219.73349999999999</c:v>
                </c:pt>
                <c:pt idx="25">
                  <c:v>220.18050000000002</c:v>
                </c:pt>
                <c:pt idx="26">
                  <c:v>220.642</c:v>
                </c:pt>
                <c:pt idx="27">
                  <c:v>220.86250000000001</c:v>
                </c:pt>
                <c:pt idx="28">
                  <c:v>221.43400000000003</c:v>
                </c:pt>
                <c:pt idx="29">
                  <c:v>221.89099999999999</c:v>
                </c:pt>
                <c:pt idx="30">
                  <c:v>222.56600000000003</c:v>
                </c:pt>
                <c:pt idx="31">
                  <c:v>223.24700000000007</c:v>
                </c:pt>
                <c:pt idx="32">
                  <c:v>223.875</c:v>
                </c:pt>
                <c:pt idx="33">
                  <c:v>224.25050000000002</c:v>
                </c:pt>
                <c:pt idx="34">
                  <c:v>224.48399999999998</c:v>
                </c:pt>
                <c:pt idx="35">
                  <c:v>224.613</c:v>
                </c:pt>
                <c:pt idx="36">
                  <c:v>224.68249999999998</c:v>
                </c:pt>
                <c:pt idx="37">
                  <c:v>224.73500000000004</c:v>
                </c:pt>
                <c:pt idx="38">
                  <c:v>224.62400000000002</c:v>
                </c:pt>
                <c:pt idx="39">
                  <c:v>224.13749999999999</c:v>
                </c:pt>
                <c:pt idx="40">
                  <c:v>223.68249999999998</c:v>
                </c:pt>
                <c:pt idx="41">
                  <c:v>223.39150000000001</c:v>
                </c:pt>
                <c:pt idx="42">
                  <c:v>223.51499999999996</c:v>
                </c:pt>
                <c:pt idx="43">
                  <c:v>223.69850000000002</c:v>
                </c:pt>
                <c:pt idx="44">
                  <c:v>223.68</c:v>
                </c:pt>
                <c:pt idx="45">
                  <c:v>223.68950000000001</c:v>
                </c:pt>
                <c:pt idx="46">
                  <c:v>223.60649999999995</c:v>
                </c:pt>
                <c:pt idx="47">
                  <c:v>223.65800000000004</c:v>
                </c:pt>
                <c:pt idx="48">
                  <c:v>223.55799999999999</c:v>
                </c:pt>
                <c:pt idx="49">
                  <c:v>223.75799999999998</c:v>
                </c:pt>
                <c:pt idx="50">
                  <c:v>223.92999999999998</c:v>
                </c:pt>
                <c:pt idx="51">
                  <c:v>224.22649999999993</c:v>
                </c:pt>
                <c:pt idx="52">
                  <c:v>224.39099999999999</c:v>
                </c:pt>
                <c:pt idx="53">
                  <c:v>224.68999999999997</c:v>
                </c:pt>
                <c:pt idx="54">
                  <c:v>224.72899999999998</c:v>
                </c:pt>
                <c:pt idx="55">
                  <c:v>225.01200000000003</c:v>
                </c:pt>
                <c:pt idx="56">
                  <c:v>225.35600000000005</c:v>
                </c:pt>
                <c:pt idx="57">
                  <c:v>225.66950000000003</c:v>
                </c:pt>
                <c:pt idx="58">
                  <c:v>225.92200000000003</c:v>
                </c:pt>
                <c:pt idx="59">
                  <c:v>226.67099999999999</c:v>
                </c:pt>
                <c:pt idx="60">
                  <c:v>227.52400000000003</c:v>
                </c:pt>
                <c:pt idx="61">
                  <c:v>228.07850000000002</c:v>
                </c:pt>
                <c:pt idx="62">
                  <c:v>228.24250000000001</c:v>
                </c:pt>
                <c:pt idx="63">
                  <c:v>228.58249999999998</c:v>
                </c:pt>
                <c:pt idx="64">
                  <c:v>229.083</c:v>
                </c:pt>
                <c:pt idx="65">
                  <c:v>229.50749999999999</c:v>
                </c:pt>
                <c:pt idx="66">
                  <c:v>229.727</c:v>
                </c:pt>
                <c:pt idx="67">
                  <c:v>229.87950000000001</c:v>
                </c:pt>
                <c:pt idx="68">
                  <c:v>230.06049999999999</c:v>
                </c:pt>
                <c:pt idx="69">
                  <c:v>230.08049999999997</c:v>
                </c:pt>
                <c:pt idx="70">
                  <c:v>230.45350000000002</c:v>
                </c:pt>
                <c:pt idx="71">
                  <c:v>230.61950000000007</c:v>
                </c:pt>
                <c:pt idx="72">
                  <c:v>230.63150000000002</c:v>
                </c:pt>
                <c:pt idx="73">
                  <c:v>230.43699999999998</c:v>
                </c:pt>
                <c:pt idx="74">
                  <c:v>230.45300000000003</c:v>
                </c:pt>
                <c:pt idx="75">
                  <c:v>230.33700000000005</c:v>
                </c:pt>
                <c:pt idx="76">
                  <c:v>229.99600000000001</c:v>
                </c:pt>
                <c:pt idx="77">
                  <c:v>229.91799999999998</c:v>
                </c:pt>
                <c:pt idx="78">
                  <c:v>229.88849999999996</c:v>
                </c:pt>
                <c:pt idx="79">
                  <c:v>229.53499999999994</c:v>
                </c:pt>
                <c:pt idx="80">
                  <c:v>229.05399999999992</c:v>
                </c:pt>
                <c:pt idx="81">
                  <c:v>228.72099999999992</c:v>
                </c:pt>
                <c:pt idx="82">
                  <c:v>228.52449999999999</c:v>
                </c:pt>
                <c:pt idx="83">
                  <c:v>228.02449999999999</c:v>
                </c:pt>
                <c:pt idx="84">
                  <c:v>227.60150000000004</c:v>
                </c:pt>
                <c:pt idx="85">
                  <c:v>227.22249999999994</c:v>
                </c:pt>
                <c:pt idx="86">
                  <c:v>227.13449999999997</c:v>
                </c:pt>
                <c:pt idx="87">
                  <c:v>227.03200000000001</c:v>
                </c:pt>
                <c:pt idx="88">
                  <c:v>226.95500000000001</c:v>
                </c:pt>
                <c:pt idx="89">
                  <c:v>226.92849999999999</c:v>
                </c:pt>
                <c:pt idx="90">
                  <c:v>226.99799999999999</c:v>
                </c:pt>
                <c:pt idx="91">
                  <c:v>227.23949999999999</c:v>
                </c:pt>
                <c:pt idx="92">
                  <c:v>227.81049999999999</c:v>
                </c:pt>
                <c:pt idx="93">
                  <c:v>228.64450000000002</c:v>
                </c:pt>
                <c:pt idx="94">
                  <c:v>229.67649999999998</c:v>
                </c:pt>
                <c:pt idx="95">
                  <c:v>230.65449999999996</c:v>
                </c:pt>
                <c:pt idx="96">
                  <c:v>231.6705</c:v>
                </c:pt>
                <c:pt idx="97">
                  <c:v>232.43849999999998</c:v>
                </c:pt>
                <c:pt idx="98">
                  <c:v>233.42799999999997</c:v>
                </c:pt>
                <c:pt idx="99">
                  <c:v>234.60500000000002</c:v>
                </c:pt>
                <c:pt idx="100">
                  <c:v>235.71800000000002</c:v>
                </c:pt>
                <c:pt idx="101">
                  <c:v>236.85999999999999</c:v>
                </c:pt>
                <c:pt idx="102">
                  <c:v>237.85550000000003</c:v>
                </c:pt>
                <c:pt idx="103">
                  <c:v>239.15750000000003</c:v>
                </c:pt>
                <c:pt idx="104">
                  <c:v>240.43049999999999</c:v>
                </c:pt>
                <c:pt idx="105">
                  <c:v>241.41900000000001</c:v>
                </c:pt>
                <c:pt idx="106">
                  <c:v>242.45850000000002</c:v>
                </c:pt>
                <c:pt idx="107">
                  <c:v>243.75699999999998</c:v>
                </c:pt>
                <c:pt idx="108">
                  <c:v>245.02699999999999</c:v>
                </c:pt>
                <c:pt idx="109">
                  <c:v>246.29350000000005</c:v>
                </c:pt>
                <c:pt idx="110">
                  <c:v>247.4915</c:v>
                </c:pt>
                <c:pt idx="111">
                  <c:v>248.52450000000007</c:v>
                </c:pt>
                <c:pt idx="112">
                  <c:v>249.26799999999997</c:v>
                </c:pt>
                <c:pt idx="113">
                  <c:v>249.80949999999999</c:v>
                </c:pt>
                <c:pt idx="114">
                  <c:v>249.86950000000002</c:v>
                </c:pt>
                <c:pt idx="115">
                  <c:v>249.887</c:v>
                </c:pt>
                <c:pt idx="116">
                  <c:v>249.98499999999999</c:v>
                </c:pt>
                <c:pt idx="117">
                  <c:v>249.95349999999999</c:v>
                </c:pt>
                <c:pt idx="118">
                  <c:v>249.75099999999998</c:v>
                </c:pt>
                <c:pt idx="119">
                  <c:v>249.20500000000001</c:v>
                </c:pt>
                <c:pt idx="120">
                  <c:v>248.60049999999995</c:v>
                </c:pt>
                <c:pt idx="121">
                  <c:v>247.8665</c:v>
                </c:pt>
                <c:pt idx="122">
                  <c:v>247.35349999999994</c:v>
                </c:pt>
                <c:pt idx="123">
                  <c:v>246.21449999999996</c:v>
                </c:pt>
                <c:pt idx="124">
                  <c:v>245.03949999999995</c:v>
                </c:pt>
                <c:pt idx="125">
                  <c:v>243.76900000000001</c:v>
                </c:pt>
                <c:pt idx="126">
                  <c:v>242.471</c:v>
                </c:pt>
                <c:pt idx="127">
                  <c:v>240.92949999999996</c:v>
                </c:pt>
                <c:pt idx="128">
                  <c:v>239.30499999999998</c:v>
                </c:pt>
                <c:pt idx="129">
                  <c:v>237.88799999999998</c:v>
                </c:pt>
                <c:pt idx="130">
                  <c:v>236.85</c:v>
                </c:pt>
                <c:pt idx="131">
                  <c:v>236.03849999999997</c:v>
                </c:pt>
                <c:pt idx="132">
                  <c:v>235.30799999999999</c:v>
                </c:pt>
                <c:pt idx="133">
                  <c:v>234.58699999999999</c:v>
                </c:pt>
                <c:pt idx="134">
                  <c:v>233.79500000000002</c:v>
                </c:pt>
                <c:pt idx="135">
                  <c:v>233.26700000000005</c:v>
                </c:pt>
                <c:pt idx="136">
                  <c:v>232.64050000000003</c:v>
                </c:pt>
                <c:pt idx="137">
                  <c:v>232.19100000000003</c:v>
                </c:pt>
                <c:pt idx="138">
                  <c:v>231.43750000000006</c:v>
                </c:pt>
                <c:pt idx="139">
                  <c:v>230.97749999999996</c:v>
                </c:pt>
                <c:pt idx="140">
                  <c:v>230.88849999999996</c:v>
                </c:pt>
                <c:pt idx="141">
                  <c:v>231.06799999999998</c:v>
                </c:pt>
                <c:pt idx="142">
                  <c:v>231.25100000000003</c:v>
                </c:pt>
                <c:pt idx="143">
                  <c:v>232.06800000000004</c:v>
                </c:pt>
                <c:pt idx="144">
                  <c:v>232.79250000000002</c:v>
                </c:pt>
                <c:pt idx="145">
                  <c:v>233.904</c:v>
                </c:pt>
                <c:pt idx="146">
                  <c:v>235.00399999999999</c:v>
                </c:pt>
                <c:pt idx="147">
                  <c:v>236.09849999999997</c:v>
                </c:pt>
                <c:pt idx="148">
                  <c:v>237.31450000000004</c:v>
                </c:pt>
                <c:pt idx="149">
                  <c:v>238.17350000000002</c:v>
                </c:pt>
                <c:pt idx="150">
                  <c:v>238.27849999999998</c:v>
                </c:pt>
                <c:pt idx="151">
                  <c:v>238.1755</c:v>
                </c:pt>
                <c:pt idx="152">
                  <c:v>238.38800000000001</c:v>
                </c:pt>
                <c:pt idx="153">
                  <c:v>238.48949999999999</c:v>
                </c:pt>
                <c:pt idx="154">
                  <c:v>238.88550000000001</c:v>
                </c:pt>
                <c:pt idx="155">
                  <c:v>239.03250000000003</c:v>
                </c:pt>
                <c:pt idx="156">
                  <c:v>239.1755</c:v>
                </c:pt>
                <c:pt idx="157">
                  <c:v>239.46799999999999</c:v>
                </c:pt>
                <c:pt idx="158">
                  <c:v>239.4605</c:v>
                </c:pt>
                <c:pt idx="159">
                  <c:v>239.11999999999998</c:v>
                </c:pt>
                <c:pt idx="160">
                  <c:v>238.33799999999997</c:v>
                </c:pt>
                <c:pt idx="161">
                  <c:v>236.97850000000003</c:v>
                </c:pt>
                <c:pt idx="162">
                  <c:v>235.57650000000004</c:v>
                </c:pt>
                <c:pt idx="163">
                  <c:v>234.04649999999998</c:v>
                </c:pt>
                <c:pt idx="164">
                  <c:v>232.45749999999998</c:v>
                </c:pt>
                <c:pt idx="165">
                  <c:v>230.97599999999997</c:v>
                </c:pt>
                <c:pt idx="166">
                  <c:v>229.3895</c:v>
                </c:pt>
                <c:pt idx="167">
                  <c:v>228.02550000000005</c:v>
                </c:pt>
                <c:pt idx="168">
                  <c:v>226.70700000000002</c:v>
                </c:pt>
                <c:pt idx="169">
                  <c:v>225.54249999999996</c:v>
                </c:pt>
                <c:pt idx="170">
                  <c:v>224.60099999999997</c:v>
                </c:pt>
                <c:pt idx="171">
                  <c:v>223.92850000000004</c:v>
                </c:pt>
                <c:pt idx="172">
                  <c:v>222.73150000000001</c:v>
                </c:pt>
                <c:pt idx="173">
                  <c:v>221.93650000000002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02-A647-9098-7A8D55177C92}"/>
            </c:ext>
          </c:extLst>
        </c:ser>
        <c:ser>
          <c:idx val="2"/>
          <c:order val="2"/>
          <c:tx>
            <c:strRef>
              <c:f>BB!$E$1</c:f>
              <c:strCache>
                <c:ptCount val="1"/>
                <c:pt idx="0">
                  <c:v>Upper Band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BB!$A$16:$A$189</c:f>
              <c:numCache>
                <c:formatCode>m/d/yy</c:formatCode>
                <c:ptCount val="174"/>
                <c:pt idx="0">
                  <c:v>45495</c:v>
                </c:pt>
                <c:pt idx="1">
                  <c:v>45496</c:v>
                </c:pt>
                <c:pt idx="2">
                  <c:v>45497</c:v>
                </c:pt>
                <c:pt idx="3">
                  <c:v>45498</c:v>
                </c:pt>
                <c:pt idx="4">
                  <c:v>45499</c:v>
                </c:pt>
                <c:pt idx="5">
                  <c:v>45502</c:v>
                </c:pt>
                <c:pt idx="6">
                  <c:v>45503</c:v>
                </c:pt>
                <c:pt idx="7">
                  <c:v>45504</c:v>
                </c:pt>
                <c:pt idx="8">
                  <c:v>45505</c:v>
                </c:pt>
                <c:pt idx="9">
                  <c:v>45506</c:v>
                </c:pt>
                <c:pt idx="10">
                  <c:v>45509</c:v>
                </c:pt>
                <c:pt idx="11">
                  <c:v>45510</c:v>
                </c:pt>
                <c:pt idx="12">
                  <c:v>45511</c:v>
                </c:pt>
                <c:pt idx="13">
                  <c:v>45512</c:v>
                </c:pt>
                <c:pt idx="14">
                  <c:v>45513</c:v>
                </c:pt>
                <c:pt idx="15">
                  <c:v>45516</c:v>
                </c:pt>
                <c:pt idx="16">
                  <c:v>45517</c:v>
                </c:pt>
                <c:pt idx="17">
                  <c:v>45518</c:v>
                </c:pt>
                <c:pt idx="18">
                  <c:v>45519</c:v>
                </c:pt>
                <c:pt idx="19">
                  <c:v>45520</c:v>
                </c:pt>
                <c:pt idx="20">
                  <c:v>45523</c:v>
                </c:pt>
                <c:pt idx="21">
                  <c:v>45524</c:v>
                </c:pt>
                <c:pt idx="22">
                  <c:v>45525</c:v>
                </c:pt>
                <c:pt idx="23">
                  <c:v>45526</c:v>
                </c:pt>
                <c:pt idx="24">
                  <c:v>45527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  <c:pt idx="29">
                  <c:v>45534</c:v>
                </c:pt>
                <c:pt idx="30">
                  <c:v>45538</c:v>
                </c:pt>
                <c:pt idx="31">
                  <c:v>45539</c:v>
                </c:pt>
                <c:pt idx="32">
                  <c:v>45540</c:v>
                </c:pt>
                <c:pt idx="33">
                  <c:v>45541</c:v>
                </c:pt>
                <c:pt idx="34">
                  <c:v>45544</c:v>
                </c:pt>
                <c:pt idx="35">
                  <c:v>45545</c:v>
                </c:pt>
                <c:pt idx="36">
                  <c:v>45546</c:v>
                </c:pt>
                <c:pt idx="37">
                  <c:v>45547</c:v>
                </c:pt>
                <c:pt idx="38">
                  <c:v>45548</c:v>
                </c:pt>
                <c:pt idx="39">
                  <c:v>45551</c:v>
                </c:pt>
                <c:pt idx="40">
                  <c:v>45552</c:v>
                </c:pt>
                <c:pt idx="41">
                  <c:v>45553</c:v>
                </c:pt>
                <c:pt idx="42">
                  <c:v>45554</c:v>
                </c:pt>
                <c:pt idx="43">
                  <c:v>45555</c:v>
                </c:pt>
                <c:pt idx="44">
                  <c:v>45558</c:v>
                </c:pt>
                <c:pt idx="45">
                  <c:v>45559</c:v>
                </c:pt>
                <c:pt idx="46">
                  <c:v>45560</c:v>
                </c:pt>
                <c:pt idx="47">
                  <c:v>45561</c:v>
                </c:pt>
                <c:pt idx="48">
                  <c:v>45562</c:v>
                </c:pt>
                <c:pt idx="49">
                  <c:v>45565</c:v>
                </c:pt>
                <c:pt idx="50">
                  <c:v>45566</c:v>
                </c:pt>
                <c:pt idx="51">
                  <c:v>45567</c:v>
                </c:pt>
                <c:pt idx="52">
                  <c:v>45568</c:v>
                </c:pt>
                <c:pt idx="53">
                  <c:v>45569</c:v>
                </c:pt>
                <c:pt idx="54">
                  <c:v>45572</c:v>
                </c:pt>
                <c:pt idx="55">
                  <c:v>45573</c:v>
                </c:pt>
                <c:pt idx="56">
                  <c:v>45574</c:v>
                </c:pt>
                <c:pt idx="57">
                  <c:v>45575</c:v>
                </c:pt>
                <c:pt idx="58">
                  <c:v>45576</c:v>
                </c:pt>
                <c:pt idx="59">
                  <c:v>45579</c:v>
                </c:pt>
                <c:pt idx="60">
                  <c:v>45580</c:v>
                </c:pt>
                <c:pt idx="61">
                  <c:v>45581</c:v>
                </c:pt>
                <c:pt idx="62">
                  <c:v>45582</c:v>
                </c:pt>
                <c:pt idx="63">
                  <c:v>45583</c:v>
                </c:pt>
                <c:pt idx="64">
                  <c:v>45586</c:v>
                </c:pt>
                <c:pt idx="65">
                  <c:v>45587</c:v>
                </c:pt>
                <c:pt idx="66">
                  <c:v>45588</c:v>
                </c:pt>
                <c:pt idx="67">
                  <c:v>45589</c:v>
                </c:pt>
                <c:pt idx="68">
                  <c:v>45590</c:v>
                </c:pt>
                <c:pt idx="69">
                  <c:v>45593</c:v>
                </c:pt>
                <c:pt idx="70">
                  <c:v>45594</c:v>
                </c:pt>
                <c:pt idx="71">
                  <c:v>45595</c:v>
                </c:pt>
                <c:pt idx="72">
                  <c:v>45596</c:v>
                </c:pt>
                <c:pt idx="73">
                  <c:v>45597</c:v>
                </c:pt>
                <c:pt idx="74">
                  <c:v>45600</c:v>
                </c:pt>
                <c:pt idx="75">
                  <c:v>45601</c:v>
                </c:pt>
                <c:pt idx="76">
                  <c:v>45602</c:v>
                </c:pt>
                <c:pt idx="77">
                  <c:v>45603</c:v>
                </c:pt>
                <c:pt idx="78">
                  <c:v>45604</c:v>
                </c:pt>
                <c:pt idx="79">
                  <c:v>45607</c:v>
                </c:pt>
                <c:pt idx="80">
                  <c:v>45608</c:v>
                </c:pt>
                <c:pt idx="81">
                  <c:v>45609</c:v>
                </c:pt>
                <c:pt idx="82">
                  <c:v>45610</c:v>
                </c:pt>
                <c:pt idx="83">
                  <c:v>45611</c:v>
                </c:pt>
                <c:pt idx="84">
                  <c:v>45614</c:v>
                </c:pt>
                <c:pt idx="85">
                  <c:v>45615</c:v>
                </c:pt>
                <c:pt idx="86">
                  <c:v>45616</c:v>
                </c:pt>
                <c:pt idx="87">
                  <c:v>45617</c:v>
                </c:pt>
                <c:pt idx="88">
                  <c:v>45618</c:v>
                </c:pt>
                <c:pt idx="89">
                  <c:v>45621</c:v>
                </c:pt>
                <c:pt idx="90">
                  <c:v>45622</c:v>
                </c:pt>
                <c:pt idx="91">
                  <c:v>45623</c:v>
                </c:pt>
                <c:pt idx="92">
                  <c:v>45625</c:v>
                </c:pt>
                <c:pt idx="93">
                  <c:v>45628</c:v>
                </c:pt>
                <c:pt idx="94">
                  <c:v>45629</c:v>
                </c:pt>
                <c:pt idx="95">
                  <c:v>45630</c:v>
                </c:pt>
                <c:pt idx="96">
                  <c:v>45631</c:v>
                </c:pt>
                <c:pt idx="97">
                  <c:v>45632</c:v>
                </c:pt>
                <c:pt idx="98">
                  <c:v>45635</c:v>
                </c:pt>
                <c:pt idx="99">
                  <c:v>45636</c:v>
                </c:pt>
                <c:pt idx="100">
                  <c:v>45637</c:v>
                </c:pt>
                <c:pt idx="101">
                  <c:v>45638</c:v>
                </c:pt>
                <c:pt idx="102">
                  <c:v>45639</c:v>
                </c:pt>
                <c:pt idx="103">
                  <c:v>45642</c:v>
                </c:pt>
                <c:pt idx="104">
                  <c:v>45643</c:v>
                </c:pt>
                <c:pt idx="105">
                  <c:v>45644</c:v>
                </c:pt>
                <c:pt idx="106">
                  <c:v>45645</c:v>
                </c:pt>
                <c:pt idx="107">
                  <c:v>45646</c:v>
                </c:pt>
                <c:pt idx="108">
                  <c:v>45649</c:v>
                </c:pt>
                <c:pt idx="109">
                  <c:v>45650</c:v>
                </c:pt>
                <c:pt idx="110">
                  <c:v>45652</c:v>
                </c:pt>
                <c:pt idx="111">
                  <c:v>45653</c:v>
                </c:pt>
                <c:pt idx="112">
                  <c:v>45656</c:v>
                </c:pt>
                <c:pt idx="113">
                  <c:v>45657</c:v>
                </c:pt>
                <c:pt idx="114">
                  <c:v>45659</c:v>
                </c:pt>
                <c:pt idx="115">
                  <c:v>45660</c:v>
                </c:pt>
                <c:pt idx="116">
                  <c:v>45663</c:v>
                </c:pt>
                <c:pt idx="117">
                  <c:v>45664</c:v>
                </c:pt>
                <c:pt idx="118">
                  <c:v>45665</c:v>
                </c:pt>
                <c:pt idx="119">
                  <c:v>45667</c:v>
                </c:pt>
                <c:pt idx="120">
                  <c:v>45670</c:v>
                </c:pt>
                <c:pt idx="121">
                  <c:v>45671</c:v>
                </c:pt>
                <c:pt idx="122">
                  <c:v>45672</c:v>
                </c:pt>
                <c:pt idx="123">
                  <c:v>45673</c:v>
                </c:pt>
                <c:pt idx="124">
                  <c:v>45674</c:v>
                </c:pt>
                <c:pt idx="125">
                  <c:v>45678</c:v>
                </c:pt>
                <c:pt idx="126">
                  <c:v>45679</c:v>
                </c:pt>
                <c:pt idx="127">
                  <c:v>45680</c:v>
                </c:pt>
                <c:pt idx="128">
                  <c:v>45681</c:v>
                </c:pt>
                <c:pt idx="129">
                  <c:v>45684</c:v>
                </c:pt>
                <c:pt idx="130">
                  <c:v>45685</c:v>
                </c:pt>
                <c:pt idx="131">
                  <c:v>45686</c:v>
                </c:pt>
                <c:pt idx="132">
                  <c:v>45687</c:v>
                </c:pt>
                <c:pt idx="133">
                  <c:v>45688</c:v>
                </c:pt>
                <c:pt idx="134">
                  <c:v>45691</c:v>
                </c:pt>
                <c:pt idx="135">
                  <c:v>45692</c:v>
                </c:pt>
                <c:pt idx="136">
                  <c:v>45693</c:v>
                </c:pt>
                <c:pt idx="137">
                  <c:v>45694</c:v>
                </c:pt>
                <c:pt idx="138">
                  <c:v>45695</c:v>
                </c:pt>
                <c:pt idx="139">
                  <c:v>45698</c:v>
                </c:pt>
                <c:pt idx="140">
                  <c:v>45699</c:v>
                </c:pt>
                <c:pt idx="141">
                  <c:v>45700</c:v>
                </c:pt>
                <c:pt idx="142">
                  <c:v>45701</c:v>
                </c:pt>
                <c:pt idx="143">
                  <c:v>45702</c:v>
                </c:pt>
                <c:pt idx="144">
                  <c:v>45706</c:v>
                </c:pt>
                <c:pt idx="145">
                  <c:v>45707</c:v>
                </c:pt>
                <c:pt idx="146">
                  <c:v>45708</c:v>
                </c:pt>
                <c:pt idx="147">
                  <c:v>45709</c:v>
                </c:pt>
                <c:pt idx="148">
                  <c:v>45712</c:v>
                </c:pt>
                <c:pt idx="149">
                  <c:v>45713</c:v>
                </c:pt>
                <c:pt idx="150">
                  <c:v>45714</c:v>
                </c:pt>
                <c:pt idx="151">
                  <c:v>45715</c:v>
                </c:pt>
                <c:pt idx="152">
                  <c:v>45716</c:v>
                </c:pt>
                <c:pt idx="153">
                  <c:v>45719</c:v>
                </c:pt>
                <c:pt idx="154">
                  <c:v>45720</c:v>
                </c:pt>
                <c:pt idx="155">
                  <c:v>45721</c:v>
                </c:pt>
                <c:pt idx="156">
                  <c:v>45722</c:v>
                </c:pt>
                <c:pt idx="157">
                  <c:v>45723</c:v>
                </c:pt>
                <c:pt idx="158">
                  <c:v>45726</c:v>
                </c:pt>
                <c:pt idx="159">
                  <c:v>45727</c:v>
                </c:pt>
                <c:pt idx="160">
                  <c:v>45728</c:v>
                </c:pt>
                <c:pt idx="161">
                  <c:v>45729</c:v>
                </c:pt>
                <c:pt idx="162">
                  <c:v>45730</c:v>
                </c:pt>
                <c:pt idx="163">
                  <c:v>45733</c:v>
                </c:pt>
                <c:pt idx="164">
                  <c:v>45734</c:v>
                </c:pt>
                <c:pt idx="165">
                  <c:v>45735</c:v>
                </c:pt>
                <c:pt idx="166">
                  <c:v>45736</c:v>
                </c:pt>
                <c:pt idx="167">
                  <c:v>45737</c:v>
                </c:pt>
                <c:pt idx="168">
                  <c:v>45740</c:v>
                </c:pt>
                <c:pt idx="169">
                  <c:v>45741</c:v>
                </c:pt>
                <c:pt idx="170">
                  <c:v>45742</c:v>
                </c:pt>
                <c:pt idx="171">
                  <c:v>45743</c:v>
                </c:pt>
                <c:pt idx="172">
                  <c:v>45744</c:v>
                </c:pt>
                <c:pt idx="173">
                  <c:v>45747</c:v>
                </c:pt>
              </c:numCache>
            </c:numRef>
          </c:cat>
          <c:val>
            <c:numRef>
              <c:f>BB!$E$16:$E$189</c:f>
              <c:numCache>
                <c:formatCode>General</c:formatCode>
                <c:ptCount val="174"/>
                <c:pt idx="5">
                  <c:v>236.45835741922622</c:v>
                </c:pt>
                <c:pt idx="6">
                  <c:v>236.28251853746733</c:v>
                </c:pt>
                <c:pt idx="7">
                  <c:v>236.23610371941976</c:v>
                </c:pt>
                <c:pt idx="8">
                  <c:v>236.38722043175801</c:v>
                </c:pt>
                <c:pt idx="9">
                  <c:v>236.27609418244148</c:v>
                </c:pt>
                <c:pt idx="10">
                  <c:v>237.14153617553418</c:v>
                </c:pt>
                <c:pt idx="11">
                  <c:v>237.75745518291924</c:v>
                </c:pt>
                <c:pt idx="12">
                  <c:v>236.83916931918947</c:v>
                </c:pt>
                <c:pt idx="13">
                  <c:v>236.27668117709362</c:v>
                </c:pt>
                <c:pt idx="14">
                  <c:v>234.98596296501734</c:v>
                </c:pt>
                <c:pt idx="15">
                  <c:v>232.56386872333383</c:v>
                </c:pt>
                <c:pt idx="16">
                  <c:v>229.76238393945656</c:v>
                </c:pt>
                <c:pt idx="17">
                  <c:v>228.43409011986478</c:v>
                </c:pt>
                <c:pt idx="18">
                  <c:v>228.52987755532163</c:v>
                </c:pt>
                <c:pt idx="19">
                  <c:v>228.85898683958737</c:v>
                </c:pt>
                <c:pt idx="20">
                  <c:v>229.20453947974013</c:v>
                </c:pt>
                <c:pt idx="21">
                  <c:v>229.49081968913947</c:v>
                </c:pt>
                <c:pt idx="22">
                  <c:v>230.43371425101594</c:v>
                </c:pt>
                <c:pt idx="23">
                  <c:v>231.02766712133626</c:v>
                </c:pt>
                <c:pt idx="24">
                  <c:v>231.9230248817214</c:v>
                </c:pt>
                <c:pt idx="25">
                  <c:v>232.78793385550975</c:v>
                </c:pt>
                <c:pt idx="26">
                  <c:v>233.70419389971241</c:v>
                </c:pt>
                <c:pt idx="27">
                  <c:v>234.17342289892227</c:v>
                </c:pt>
                <c:pt idx="28">
                  <c:v>235.2638965250915</c:v>
                </c:pt>
                <c:pt idx="29">
                  <c:v>236.10073409877521</c:v>
                </c:pt>
                <c:pt idx="30">
                  <c:v>235.4743741077358</c:v>
                </c:pt>
                <c:pt idx="31">
                  <c:v>234.0070686751869</c:v>
                </c:pt>
                <c:pt idx="32">
                  <c:v>232.61125597272954</c:v>
                </c:pt>
                <c:pt idx="33">
                  <c:v>231.61219452747054</c:v>
                </c:pt>
                <c:pt idx="34">
                  <c:v>231.02656476347084</c:v>
                </c:pt>
                <c:pt idx="35">
                  <c:v>230.6613215592601</c:v>
                </c:pt>
                <c:pt idx="36">
                  <c:v>230.59960055241316</c:v>
                </c:pt>
                <c:pt idx="37">
                  <c:v>230.55933190205226</c:v>
                </c:pt>
                <c:pt idx="38">
                  <c:v>230.53352985929465</c:v>
                </c:pt>
                <c:pt idx="39">
                  <c:v>231.06678757635223</c:v>
                </c:pt>
                <c:pt idx="40">
                  <c:v>231.28921967476953</c:v>
                </c:pt>
                <c:pt idx="41">
                  <c:v>230.98806508249825</c:v>
                </c:pt>
                <c:pt idx="42">
                  <c:v>231.39261518815377</c:v>
                </c:pt>
                <c:pt idx="43">
                  <c:v>231.8421504810739</c:v>
                </c:pt>
                <c:pt idx="44">
                  <c:v>231.79523323918147</c:v>
                </c:pt>
                <c:pt idx="45">
                  <c:v>231.82241033556352</c:v>
                </c:pt>
                <c:pt idx="46">
                  <c:v>231.58532005522642</c:v>
                </c:pt>
                <c:pt idx="47">
                  <c:v>231.72796145559181</c:v>
                </c:pt>
                <c:pt idx="48">
                  <c:v>231.35290143754574</c:v>
                </c:pt>
                <c:pt idx="49">
                  <c:v>232.30937194286759</c:v>
                </c:pt>
                <c:pt idx="50">
                  <c:v>232.53590739581031</c:v>
                </c:pt>
                <c:pt idx="51">
                  <c:v>232.79413377024551</c:v>
                </c:pt>
                <c:pt idx="52">
                  <c:v>232.93566383188946</c:v>
                </c:pt>
                <c:pt idx="53">
                  <c:v>233.12634742615171</c:v>
                </c:pt>
                <c:pt idx="54">
                  <c:v>233.09871960795516</c:v>
                </c:pt>
                <c:pt idx="55">
                  <c:v>233.10221136930306</c:v>
                </c:pt>
                <c:pt idx="56">
                  <c:v>233.60857701378313</c:v>
                </c:pt>
                <c:pt idx="57">
                  <c:v>233.98458071929682</c:v>
                </c:pt>
                <c:pt idx="58">
                  <c:v>234.13794239717421</c:v>
                </c:pt>
                <c:pt idx="59">
                  <c:v>233.86950247584431</c:v>
                </c:pt>
                <c:pt idx="60">
                  <c:v>233.77302990366044</c:v>
                </c:pt>
                <c:pt idx="61">
                  <c:v>233.71204343011107</c:v>
                </c:pt>
                <c:pt idx="62">
                  <c:v>234.15702404989972</c:v>
                </c:pt>
                <c:pt idx="63">
                  <c:v>235.22387866156686</c:v>
                </c:pt>
                <c:pt idx="64">
                  <c:v>236.51565086946565</c:v>
                </c:pt>
                <c:pt idx="65">
                  <c:v>237.47849709803248</c:v>
                </c:pt>
                <c:pt idx="66">
                  <c:v>237.57504394000253</c:v>
                </c:pt>
                <c:pt idx="67">
                  <c:v>237.66525886170589</c:v>
                </c:pt>
                <c:pt idx="68">
                  <c:v>237.80995695890329</c:v>
                </c:pt>
                <c:pt idx="69">
                  <c:v>237.86388980407025</c:v>
                </c:pt>
                <c:pt idx="70">
                  <c:v>238.17062593078401</c:v>
                </c:pt>
                <c:pt idx="71">
                  <c:v>238.14434859088809</c:v>
                </c:pt>
                <c:pt idx="72">
                  <c:v>238.12380981178632</c:v>
                </c:pt>
                <c:pt idx="73">
                  <c:v>238.5262966319699</c:v>
                </c:pt>
                <c:pt idx="74">
                  <c:v>238.47039713635951</c:v>
                </c:pt>
                <c:pt idx="75">
                  <c:v>238.69939728911831</c:v>
                </c:pt>
                <c:pt idx="76">
                  <c:v>239.02488790727327</c:v>
                </c:pt>
                <c:pt idx="77">
                  <c:v>239.00840581573433</c:v>
                </c:pt>
                <c:pt idx="78">
                  <c:v>239.01501954182797</c:v>
                </c:pt>
                <c:pt idx="79">
                  <c:v>238.97367185126109</c:v>
                </c:pt>
                <c:pt idx="80">
                  <c:v>238.54712305109106</c:v>
                </c:pt>
                <c:pt idx="81">
                  <c:v>238.27852203075773</c:v>
                </c:pt>
                <c:pt idx="82">
                  <c:v>237.94581173122097</c:v>
                </c:pt>
                <c:pt idx="83">
                  <c:v>237.05200527991798</c:v>
                </c:pt>
                <c:pt idx="84">
                  <c:v>235.70648553523179</c:v>
                </c:pt>
                <c:pt idx="85">
                  <c:v>234.35162447566128</c:v>
                </c:pt>
                <c:pt idx="86">
                  <c:v>234.12180721417505</c:v>
                </c:pt>
                <c:pt idx="87">
                  <c:v>233.8655629914339</c:v>
                </c:pt>
                <c:pt idx="88">
                  <c:v>233.61331178223685</c:v>
                </c:pt>
                <c:pt idx="89">
                  <c:v>233.4822045369695</c:v>
                </c:pt>
                <c:pt idx="90">
                  <c:v>233.87426459182905</c:v>
                </c:pt>
                <c:pt idx="91">
                  <c:v>234.87214588186134</c:v>
                </c:pt>
                <c:pt idx="92">
                  <c:v>236.63930328065027</c:v>
                </c:pt>
                <c:pt idx="93">
                  <c:v>238.60317772875817</c:v>
                </c:pt>
                <c:pt idx="94">
                  <c:v>240.93349272732988</c:v>
                </c:pt>
                <c:pt idx="95">
                  <c:v>242.98164330675451</c:v>
                </c:pt>
                <c:pt idx="96">
                  <c:v>244.57991635111037</c:v>
                </c:pt>
                <c:pt idx="97">
                  <c:v>246.1036909301661</c:v>
                </c:pt>
                <c:pt idx="98">
                  <c:v>248.24069526631229</c:v>
                </c:pt>
                <c:pt idx="99">
                  <c:v>250.06706835758843</c:v>
                </c:pt>
                <c:pt idx="100">
                  <c:v>251.24011407196707</c:v>
                </c:pt>
                <c:pt idx="101">
                  <c:v>252.45967476044223</c:v>
                </c:pt>
                <c:pt idx="102">
                  <c:v>253.67324283584904</c:v>
                </c:pt>
                <c:pt idx="103">
                  <c:v>254.8057235413481</c:v>
                </c:pt>
                <c:pt idx="104">
                  <c:v>256.40282669337813</c:v>
                </c:pt>
                <c:pt idx="105">
                  <c:v>256.6552226289852</c:v>
                </c:pt>
                <c:pt idx="106">
                  <c:v>256.94557340319204</c:v>
                </c:pt>
                <c:pt idx="107">
                  <c:v>257.62601749641226</c:v>
                </c:pt>
                <c:pt idx="108">
                  <c:v>258.17476923243913</c:v>
                </c:pt>
                <c:pt idx="109">
                  <c:v>259.39037029709573</c:v>
                </c:pt>
                <c:pt idx="110">
                  <c:v>260.64505669331345</c:v>
                </c:pt>
                <c:pt idx="111">
                  <c:v>260.73561568677451</c:v>
                </c:pt>
                <c:pt idx="112">
                  <c:v>260.36959324743879</c:v>
                </c:pt>
                <c:pt idx="113">
                  <c:v>259.93725753222691</c:v>
                </c:pt>
                <c:pt idx="114">
                  <c:v>259.83152996645924</c:v>
                </c:pt>
                <c:pt idx="115">
                  <c:v>259.7993996775968</c:v>
                </c:pt>
                <c:pt idx="116">
                  <c:v>259.64799179997146</c:v>
                </c:pt>
                <c:pt idx="117">
                  <c:v>259.71813495423527</c:v>
                </c:pt>
                <c:pt idx="118">
                  <c:v>259.95351960624379</c:v>
                </c:pt>
                <c:pt idx="119">
                  <c:v>260.91179784524672</c:v>
                </c:pt>
                <c:pt idx="120">
                  <c:v>262.0207650769961</c:v>
                </c:pt>
                <c:pt idx="121">
                  <c:v>262.93842618570596</c:v>
                </c:pt>
                <c:pt idx="122">
                  <c:v>263.07222001618982</c:v>
                </c:pt>
                <c:pt idx="123">
                  <c:v>263.97694586643104</c:v>
                </c:pt>
                <c:pt idx="124">
                  <c:v>263.85609567061954</c:v>
                </c:pt>
                <c:pt idx="125">
                  <c:v>265.00549480443863</c:v>
                </c:pt>
                <c:pt idx="126">
                  <c:v>265.27363872080554</c:v>
                </c:pt>
                <c:pt idx="127">
                  <c:v>264.46752967651776</c:v>
                </c:pt>
                <c:pt idx="128">
                  <c:v>263.15831886871575</c:v>
                </c:pt>
                <c:pt idx="129">
                  <c:v>260.34117054156093</c:v>
                </c:pt>
                <c:pt idx="130">
                  <c:v>256.9901207334488</c:v>
                </c:pt>
                <c:pt idx="131">
                  <c:v>254.21111128876723</c:v>
                </c:pt>
                <c:pt idx="132">
                  <c:v>251.84630335598959</c:v>
                </c:pt>
                <c:pt idx="133">
                  <c:v>249.53186724069857</c:v>
                </c:pt>
                <c:pt idx="134">
                  <c:v>248.34666114590578</c:v>
                </c:pt>
                <c:pt idx="135">
                  <c:v>247.10623955927306</c:v>
                </c:pt>
                <c:pt idx="136">
                  <c:v>245.3300190485775</c:v>
                </c:pt>
                <c:pt idx="137">
                  <c:v>244.0638614029954</c:v>
                </c:pt>
                <c:pt idx="138">
                  <c:v>242.37840706332992</c:v>
                </c:pt>
                <c:pt idx="139">
                  <c:v>241.73227250242638</c:v>
                </c:pt>
                <c:pt idx="140">
                  <c:v>241.55310209734691</c:v>
                </c:pt>
                <c:pt idx="141">
                  <c:v>242.01908665600672</c:v>
                </c:pt>
                <c:pt idx="142">
                  <c:v>242.78736246601889</c:v>
                </c:pt>
                <c:pt idx="143">
                  <c:v>244.94855507140005</c:v>
                </c:pt>
                <c:pt idx="144">
                  <c:v>246.76252938624799</c:v>
                </c:pt>
                <c:pt idx="145">
                  <c:v>248.00963366363354</c:v>
                </c:pt>
                <c:pt idx="146">
                  <c:v>249.23255749614319</c:v>
                </c:pt>
                <c:pt idx="147">
                  <c:v>250.01720725243356</c:v>
                </c:pt>
                <c:pt idx="148">
                  <c:v>250.56747896998814</c:v>
                </c:pt>
                <c:pt idx="149">
                  <c:v>251.61777136856361</c:v>
                </c:pt>
                <c:pt idx="150">
                  <c:v>251.75837080212955</c:v>
                </c:pt>
                <c:pt idx="151">
                  <c:v>251.65205660377444</c:v>
                </c:pt>
                <c:pt idx="152">
                  <c:v>251.95937948230142</c:v>
                </c:pt>
                <c:pt idx="153">
                  <c:v>252.01597069540625</c:v>
                </c:pt>
                <c:pt idx="154">
                  <c:v>251.55689750528103</c:v>
                </c:pt>
                <c:pt idx="155">
                  <c:v>251.47275025133297</c:v>
                </c:pt>
                <c:pt idx="156">
                  <c:v>251.36127509790995</c:v>
                </c:pt>
                <c:pt idx="157">
                  <c:v>251.32836584152179</c:v>
                </c:pt>
                <c:pt idx="158">
                  <c:v>251.35253267118921</c:v>
                </c:pt>
                <c:pt idx="159">
                  <c:v>252.70531250245915</c:v>
                </c:pt>
                <c:pt idx="160">
                  <c:v>254.95987854352776</c:v>
                </c:pt>
                <c:pt idx="161">
                  <c:v>257.97736540794654</c:v>
                </c:pt>
                <c:pt idx="162">
                  <c:v>258.91025713650214</c:v>
                </c:pt>
                <c:pt idx="163">
                  <c:v>258.8552796640837</c:v>
                </c:pt>
                <c:pt idx="164">
                  <c:v>258.49577617788452</c:v>
                </c:pt>
                <c:pt idx="165">
                  <c:v>257.40937794292819</c:v>
                </c:pt>
                <c:pt idx="166">
                  <c:v>255.87784856071031</c:v>
                </c:pt>
                <c:pt idx="167">
                  <c:v>253.81014045042895</c:v>
                </c:pt>
                <c:pt idx="168">
                  <c:v>251.04084223452469</c:v>
                </c:pt>
                <c:pt idx="169">
                  <c:v>247.93064148042143</c:v>
                </c:pt>
                <c:pt idx="170">
                  <c:v>245.92383470835898</c:v>
                </c:pt>
                <c:pt idx="171">
                  <c:v>244.39621452543588</c:v>
                </c:pt>
                <c:pt idx="172">
                  <c:v>241.51990434669045</c:v>
                </c:pt>
                <c:pt idx="173">
                  <c:v>239.2900790635762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02-A647-9098-7A8D55177C92}"/>
            </c:ext>
          </c:extLst>
        </c:ser>
        <c:ser>
          <c:idx val="3"/>
          <c:order val="3"/>
          <c:tx>
            <c:strRef>
              <c:f>BB!$F$1</c:f>
              <c:strCache>
                <c:ptCount val="1"/>
                <c:pt idx="0">
                  <c:v>Lower Band</c:v>
                </c:pt>
              </c:strCache>
            </c:strRef>
          </c:tx>
          <c:spPr>
            <a:ln w="28575" cap="rnd">
              <a:solidFill>
                <a:srgbClr val="FFC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BB!$A$16:$A$189</c:f>
              <c:numCache>
                <c:formatCode>m/d/yy</c:formatCode>
                <c:ptCount val="174"/>
                <c:pt idx="0">
                  <c:v>45495</c:v>
                </c:pt>
                <c:pt idx="1">
                  <c:v>45496</c:v>
                </c:pt>
                <c:pt idx="2">
                  <c:v>45497</c:v>
                </c:pt>
                <c:pt idx="3">
                  <c:v>45498</c:v>
                </c:pt>
                <c:pt idx="4">
                  <c:v>45499</c:v>
                </c:pt>
                <c:pt idx="5">
                  <c:v>45502</c:v>
                </c:pt>
                <c:pt idx="6">
                  <c:v>45503</c:v>
                </c:pt>
                <c:pt idx="7">
                  <c:v>45504</c:v>
                </c:pt>
                <c:pt idx="8">
                  <c:v>45505</c:v>
                </c:pt>
                <c:pt idx="9">
                  <c:v>45506</c:v>
                </c:pt>
                <c:pt idx="10">
                  <c:v>45509</c:v>
                </c:pt>
                <c:pt idx="11">
                  <c:v>45510</c:v>
                </c:pt>
                <c:pt idx="12">
                  <c:v>45511</c:v>
                </c:pt>
                <c:pt idx="13">
                  <c:v>45512</c:v>
                </c:pt>
                <c:pt idx="14">
                  <c:v>45513</c:v>
                </c:pt>
                <c:pt idx="15">
                  <c:v>45516</c:v>
                </c:pt>
                <c:pt idx="16">
                  <c:v>45517</c:v>
                </c:pt>
                <c:pt idx="17">
                  <c:v>45518</c:v>
                </c:pt>
                <c:pt idx="18">
                  <c:v>45519</c:v>
                </c:pt>
                <c:pt idx="19">
                  <c:v>45520</c:v>
                </c:pt>
                <c:pt idx="20">
                  <c:v>45523</c:v>
                </c:pt>
                <c:pt idx="21">
                  <c:v>45524</c:v>
                </c:pt>
                <c:pt idx="22">
                  <c:v>45525</c:v>
                </c:pt>
                <c:pt idx="23">
                  <c:v>45526</c:v>
                </c:pt>
                <c:pt idx="24">
                  <c:v>45527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  <c:pt idx="29">
                  <c:v>45534</c:v>
                </c:pt>
                <c:pt idx="30">
                  <c:v>45538</c:v>
                </c:pt>
                <c:pt idx="31">
                  <c:v>45539</c:v>
                </c:pt>
                <c:pt idx="32">
                  <c:v>45540</c:v>
                </c:pt>
                <c:pt idx="33">
                  <c:v>45541</c:v>
                </c:pt>
                <c:pt idx="34">
                  <c:v>45544</c:v>
                </c:pt>
                <c:pt idx="35">
                  <c:v>45545</c:v>
                </c:pt>
                <c:pt idx="36">
                  <c:v>45546</c:v>
                </c:pt>
                <c:pt idx="37">
                  <c:v>45547</c:v>
                </c:pt>
                <c:pt idx="38">
                  <c:v>45548</c:v>
                </c:pt>
                <c:pt idx="39">
                  <c:v>45551</c:v>
                </c:pt>
                <c:pt idx="40">
                  <c:v>45552</c:v>
                </c:pt>
                <c:pt idx="41">
                  <c:v>45553</c:v>
                </c:pt>
                <c:pt idx="42">
                  <c:v>45554</c:v>
                </c:pt>
                <c:pt idx="43">
                  <c:v>45555</c:v>
                </c:pt>
                <c:pt idx="44">
                  <c:v>45558</c:v>
                </c:pt>
                <c:pt idx="45">
                  <c:v>45559</c:v>
                </c:pt>
                <c:pt idx="46">
                  <c:v>45560</c:v>
                </c:pt>
                <c:pt idx="47">
                  <c:v>45561</c:v>
                </c:pt>
                <c:pt idx="48">
                  <c:v>45562</c:v>
                </c:pt>
                <c:pt idx="49">
                  <c:v>45565</c:v>
                </c:pt>
                <c:pt idx="50">
                  <c:v>45566</c:v>
                </c:pt>
                <c:pt idx="51">
                  <c:v>45567</c:v>
                </c:pt>
                <c:pt idx="52">
                  <c:v>45568</c:v>
                </c:pt>
                <c:pt idx="53">
                  <c:v>45569</c:v>
                </c:pt>
                <c:pt idx="54">
                  <c:v>45572</c:v>
                </c:pt>
                <c:pt idx="55">
                  <c:v>45573</c:v>
                </c:pt>
                <c:pt idx="56">
                  <c:v>45574</c:v>
                </c:pt>
                <c:pt idx="57">
                  <c:v>45575</c:v>
                </c:pt>
                <c:pt idx="58">
                  <c:v>45576</c:v>
                </c:pt>
                <c:pt idx="59">
                  <c:v>45579</c:v>
                </c:pt>
                <c:pt idx="60">
                  <c:v>45580</c:v>
                </c:pt>
                <c:pt idx="61">
                  <c:v>45581</c:v>
                </c:pt>
                <c:pt idx="62">
                  <c:v>45582</c:v>
                </c:pt>
                <c:pt idx="63">
                  <c:v>45583</c:v>
                </c:pt>
                <c:pt idx="64">
                  <c:v>45586</c:v>
                </c:pt>
                <c:pt idx="65">
                  <c:v>45587</c:v>
                </c:pt>
                <c:pt idx="66">
                  <c:v>45588</c:v>
                </c:pt>
                <c:pt idx="67">
                  <c:v>45589</c:v>
                </c:pt>
                <c:pt idx="68">
                  <c:v>45590</c:v>
                </c:pt>
                <c:pt idx="69">
                  <c:v>45593</c:v>
                </c:pt>
                <c:pt idx="70">
                  <c:v>45594</c:v>
                </c:pt>
                <c:pt idx="71">
                  <c:v>45595</c:v>
                </c:pt>
                <c:pt idx="72">
                  <c:v>45596</c:v>
                </c:pt>
                <c:pt idx="73">
                  <c:v>45597</c:v>
                </c:pt>
                <c:pt idx="74">
                  <c:v>45600</c:v>
                </c:pt>
                <c:pt idx="75">
                  <c:v>45601</c:v>
                </c:pt>
                <c:pt idx="76">
                  <c:v>45602</c:v>
                </c:pt>
                <c:pt idx="77">
                  <c:v>45603</c:v>
                </c:pt>
                <c:pt idx="78">
                  <c:v>45604</c:v>
                </c:pt>
                <c:pt idx="79">
                  <c:v>45607</c:v>
                </c:pt>
                <c:pt idx="80">
                  <c:v>45608</c:v>
                </c:pt>
                <c:pt idx="81">
                  <c:v>45609</c:v>
                </c:pt>
                <c:pt idx="82">
                  <c:v>45610</c:v>
                </c:pt>
                <c:pt idx="83">
                  <c:v>45611</c:v>
                </c:pt>
                <c:pt idx="84">
                  <c:v>45614</c:v>
                </c:pt>
                <c:pt idx="85">
                  <c:v>45615</c:v>
                </c:pt>
                <c:pt idx="86">
                  <c:v>45616</c:v>
                </c:pt>
                <c:pt idx="87">
                  <c:v>45617</c:v>
                </c:pt>
                <c:pt idx="88">
                  <c:v>45618</c:v>
                </c:pt>
                <c:pt idx="89">
                  <c:v>45621</c:v>
                </c:pt>
                <c:pt idx="90">
                  <c:v>45622</c:v>
                </c:pt>
                <c:pt idx="91">
                  <c:v>45623</c:v>
                </c:pt>
                <c:pt idx="92">
                  <c:v>45625</c:v>
                </c:pt>
                <c:pt idx="93">
                  <c:v>45628</c:v>
                </c:pt>
                <c:pt idx="94">
                  <c:v>45629</c:v>
                </c:pt>
                <c:pt idx="95">
                  <c:v>45630</c:v>
                </c:pt>
                <c:pt idx="96">
                  <c:v>45631</c:v>
                </c:pt>
                <c:pt idx="97">
                  <c:v>45632</c:v>
                </c:pt>
                <c:pt idx="98">
                  <c:v>45635</c:v>
                </c:pt>
                <c:pt idx="99">
                  <c:v>45636</c:v>
                </c:pt>
                <c:pt idx="100">
                  <c:v>45637</c:v>
                </c:pt>
                <c:pt idx="101">
                  <c:v>45638</c:v>
                </c:pt>
                <c:pt idx="102">
                  <c:v>45639</c:v>
                </c:pt>
                <c:pt idx="103">
                  <c:v>45642</c:v>
                </c:pt>
                <c:pt idx="104">
                  <c:v>45643</c:v>
                </c:pt>
                <c:pt idx="105">
                  <c:v>45644</c:v>
                </c:pt>
                <c:pt idx="106">
                  <c:v>45645</c:v>
                </c:pt>
                <c:pt idx="107">
                  <c:v>45646</c:v>
                </c:pt>
                <c:pt idx="108">
                  <c:v>45649</c:v>
                </c:pt>
                <c:pt idx="109">
                  <c:v>45650</c:v>
                </c:pt>
                <c:pt idx="110">
                  <c:v>45652</c:v>
                </c:pt>
                <c:pt idx="111">
                  <c:v>45653</c:v>
                </c:pt>
                <c:pt idx="112">
                  <c:v>45656</c:v>
                </c:pt>
                <c:pt idx="113">
                  <c:v>45657</c:v>
                </c:pt>
                <c:pt idx="114">
                  <c:v>45659</c:v>
                </c:pt>
                <c:pt idx="115">
                  <c:v>45660</c:v>
                </c:pt>
                <c:pt idx="116">
                  <c:v>45663</c:v>
                </c:pt>
                <c:pt idx="117">
                  <c:v>45664</c:v>
                </c:pt>
                <c:pt idx="118">
                  <c:v>45665</c:v>
                </c:pt>
                <c:pt idx="119">
                  <c:v>45667</c:v>
                </c:pt>
                <c:pt idx="120">
                  <c:v>45670</c:v>
                </c:pt>
                <c:pt idx="121">
                  <c:v>45671</c:v>
                </c:pt>
                <c:pt idx="122">
                  <c:v>45672</c:v>
                </c:pt>
                <c:pt idx="123">
                  <c:v>45673</c:v>
                </c:pt>
                <c:pt idx="124">
                  <c:v>45674</c:v>
                </c:pt>
                <c:pt idx="125">
                  <c:v>45678</c:v>
                </c:pt>
                <c:pt idx="126">
                  <c:v>45679</c:v>
                </c:pt>
                <c:pt idx="127">
                  <c:v>45680</c:v>
                </c:pt>
                <c:pt idx="128">
                  <c:v>45681</c:v>
                </c:pt>
                <c:pt idx="129">
                  <c:v>45684</c:v>
                </c:pt>
                <c:pt idx="130">
                  <c:v>45685</c:v>
                </c:pt>
                <c:pt idx="131">
                  <c:v>45686</c:v>
                </c:pt>
                <c:pt idx="132">
                  <c:v>45687</c:v>
                </c:pt>
                <c:pt idx="133">
                  <c:v>45688</c:v>
                </c:pt>
                <c:pt idx="134">
                  <c:v>45691</c:v>
                </c:pt>
                <c:pt idx="135">
                  <c:v>45692</c:v>
                </c:pt>
                <c:pt idx="136">
                  <c:v>45693</c:v>
                </c:pt>
                <c:pt idx="137">
                  <c:v>45694</c:v>
                </c:pt>
                <c:pt idx="138">
                  <c:v>45695</c:v>
                </c:pt>
                <c:pt idx="139">
                  <c:v>45698</c:v>
                </c:pt>
                <c:pt idx="140">
                  <c:v>45699</c:v>
                </c:pt>
                <c:pt idx="141">
                  <c:v>45700</c:v>
                </c:pt>
                <c:pt idx="142">
                  <c:v>45701</c:v>
                </c:pt>
                <c:pt idx="143">
                  <c:v>45702</c:v>
                </c:pt>
                <c:pt idx="144">
                  <c:v>45706</c:v>
                </c:pt>
                <c:pt idx="145">
                  <c:v>45707</c:v>
                </c:pt>
                <c:pt idx="146">
                  <c:v>45708</c:v>
                </c:pt>
                <c:pt idx="147">
                  <c:v>45709</c:v>
                </c:pt>
                <c:pt idx="148">
                  <c:v>45712</c:v>
                </c:pt>
                <c:pt idx="149">
                  <c:v>45713</c:v>
                </c:pt>
                <c:pt idx="150">
                  <c:v>45714</c:v>
                </c:pt>
                <c:pt idx="151">
                  <c:v>45715</c:v>
                </c:pt>
                <c:pt idx="152">
                  <c:v>45716</c:v>
                </c:pt>
                <c:pt idx="153">
                  <c:v>45719</c:v>
                </c:pt>
                <c:pt idx="154">
                  <c:v>45720</c:v>
                </c:pt>
                <c:pt idx="155">
                  <c:v>45721</c:v>
                </c:pt>
                <c:pt idx="156">
                  <c:v>45722</c:v>
                </c:pt>
                <c:pt idx="157">
                  <c:v>45723</c:v>
                </c:pt>
                <c:pt idx="158">
                  <c:v>45726</c:v>
                </c:pt>
                <c:pt idx="159">
                  <c:v>45727</c:v>
                </c:pt>
                <c:pt idx="160">
                  <c:v>45728</c:v>
                </c:pt>
                <c:pt idx="161">
                  <c:v>45729</c:v>
                </c:pt>
                <c:pt idx="162">
                  <c:v>45730</c:v>
                </c:pt>
                <c:pt idx="163">
                  <c:v>45733</c:v>
                </c:pt>
                <c:pt idx="164">
                  <c:v>45734</c:v>
                </c:pt>
                <c:pt idx="165">
                  <c:v>45735</c:v>
                </c:pt>
                <c:pt idx="166">
                  <c:v>45736</c:v>
                </c:pt>
                <c:pt idx="167">
                  <c:v>45737</c:v>
                </c:pt>
                <c:pt idx="168">
                  <c:v>45740</c:v>
                </c:pt>
                <c:pt idx="169">
                  <c:v>45741</c:v>
                </c:pt>
                <c:pt idx="170">
                  <c:v>45742</c:v>
                </c:pt>
                <c:pt idx="171">
                  <c:v>45743</c:v>
                </c:pt>
                <c:pt idx="172">
                  <c:v>45744</c:v>
                </c:pt>
                <c:pt idx="173">
                  <c:v>45747</c:v>
                </c:pt>
              </c:numCache>
            </c:numRef>
          </c:cat>
          <c:val>
            <c:numRef>
              <c:f>BB!$F$16:$F$189</c:f>
              <c:numCache>
                <c:formatCode>General</c:formatCode>
                <c:ptCount val="174"/>
                <c:pt idx="5">
                  <c:v>213.57064258077378</c:v>
                </c:pt>
                <c:pt idx="6">
                  <c:v>213.95148146253271</c:v>
                </c:pt>
                <c:pt idx="7">
                  <c:v>214.1788962805802</c:v>
                </c:pt>
                <c:pt idx="8">
                  <c:v>213.70877956824188</c:v>
                </c:pt>
                <c:pt idx="9">
                  <c:v>213.17190581755838</c:v>
                </c:pt>
                <c:pt idx="10">
                  <c:v>210.45146382446583</c:v>
                </c:pt>
                <c:pt idx="11">
                  <c:v>207.69054481708073</c:v>
                </c:pt>
                <c:pt idx="12">
                  <c:v>206.29283068081048</c:v>
                </c:pt>
                <c:pt idx="13">
                  <c:v>205.4293188229064</c:v>
                </c:pt>
                <c:pt idx="14">
                  <c:v>205.29003703498267</c:v>
                </c:pt>
                <c:pt idx="15">
                  <c:v>206.02513127666623</c:v>
                </c:pt>
                <c:pt idx="16">
                  <c:v>207.47161606054354</c:v>
                </c:pt>
                <c:pt idx="17">
                  <c:v>208.08390988013537</c:v>
                </c:pt>
                <c:pt idx="18">
                  <c:v>208.04212244467848</c:v>
                </c:pt>
                <c:pt idx="19">
                  <c:v>207.88701316041261</c:v>
                </c:pt>
                <c:pt idx="20">
                  <c:v>207.73446052025989</c:v>
                </c:pt>
                <c:pt idx="21">
                  <c:v>207.59818031086058</c:v>
                </c:pt>
                <c:pt idx="22">
                  <c:v>207.44128574898394</c:v>
                </c:pt>
                <c:pt idx="23">
                  <c:v>207.55133287866363</c:v>
                </c:pt>
                <c:pt idx="24">
                  <c:v>207.54397511827858</c:v>
                </c:pt>
                <c:pt idx="25">
                  <c:v>207.5730661444903</c:v>
                </c:pt>
                <c:pt idx="26">
                  <c:v>207.57980610028758</c:v>
                </c:pt>
                <c:pt idx="27">
                  <c:v>207.55157710107775</c:v>
                </c:pt>
                <c:pt idx="28">
                  <c:v>207.60410347490856</c:v>
                </c:pt>
                <c:pt idx="29">
                  <c:v>207.68126590122478</c:v>
                </c:pt>
                <c:pt idx="30">
                  <c:v>209.65762589226426</c:v>
                </c:pt>
                <c:pt idx="31">
                  <c:v>212.48693132481324</c:v>
                </c:pt>
                <c:pt idx="32">
                  <c:v>215.13874402727046</c:v>
                </c:pt>
                <c:pt idx="33">
                  <c:v>216.8888054725295</c:v>
                </c:pt>
                <c:pt idx="34">
                  <c:v>217.94143523652912</c:v>
                </c:pt>
                <c:pt idx="35">
                  <c:v>218.5646784407399</c:v>
                </c:pt>
                <c:pt idx="36">
                  <c:v>218.76539944758679</c:v>
                </c:pt>
                <c:pt idx="37">
                  <c:v>218.91066809794782</c:v>
                </c:pt>
                <c:pt idx="38">
                  <c:v>218.7144701407054</c:v>
                </c:pt>
                <c:pt idx="39">
                  <c:v>217.20821242364775</c:v>
                </c:pt>
                <c:pt idx="40">
                  <c:v>216.07578032523043</c:v>
                </c:pt>
                <c:pt idx="41">
                  <c:v>215.79493491750176</c:v>
                </c:pt>
                <c:pt idx="42">
                  <c:v>215.63738481184615</c:v>
                </c:pt>
                <c:pt idx="43">
                  <c:v>215.55484951892615</c:v>
                </c:pt>
                <c:pt idx="44">
                  <c:v>215.56476676081854</c:v>
                </c:pt>
                <c:pt idx="45">
                  <c:v>215.5565896644365</c:v>
                </c:pt>
                <c:pt idx="46">
                  <c:v>215.62767994477349</c:v>
                </c:pt>
                <c:pt idx="47">
                  <c:v>215.58803854440828</c:v>
                </c:pt>
                <c:pt idx="48">
                  <c:v>215.76309856245425</c:v>
                </c:pt>
                <c:pt idx="49">
                  <c:v>215.20662805713238</c:v>
                </c:pt>
                <c:pt idx="50">
                  <c:v>215.32409260418964</c:v>
                </c:pt>
                <c:pt idx="51">
                  <c:v>215.65886622975435</c:v>
                </c:pt>
                <c:pt idx="52">
                  <c:v>215.84633616811053</c:v>
                </c:pt>
                <c:pt idx="53">
                  <c:v>216.25365257384823</c:v>
                </c:pt>
                <c:pt idx="54">
                  <c:v>216.35928039204481</c:v>
                </c:pt>
                <c:pt idx="55">
                  <c:v>216.92178863069699</c:v>
                </c:pt>
                <c:pt idx="56">
                  <c:v>217.10342298621697</c:v>
                </c:pt>
                <c:pt idx="57">
                  <c:v>217.35441928070324</c:v>
                </c:pt>
                <c:pt idx="58">
                  <c:v>217.70605760282584</c:v>
                </c:pt>
                <c:pt idx="59">
                  <c:v>219.47249752415567</c:v>
                </c:pt>
                <c:pt idx="60">
                  <c:v>221.27497009633962</c:v>
                </c:pt>
                <c:pt idx="61">
                  <c:v>222.44495656988897</c:v>
                </c:pt>
                <c:pt idx="62">
                  <c:v>222.3279759501003</c:v>
                </c:pt>
                <c:pt idx="63">
                  <c:v>221.94112133843311</c:v>
                </c:pt>
                <c:pt idx="64">
                  <c:v>221.65034913053435</c:v>
                </c:pt>
                <c:pt idx="65">
                  <c:v>221.53650290196751</c:v>
                </c:pt>
                <c:pt idx="66">
                  <c:v>221.87895605999748</c:v>
                </c:pt>
                <c:pt idx="67">
                  <c:v>222.09374113829412</c:v>
                </c:pt>
                <c:pt idx="68">
                  <c:v>222.3110430410967</c:v>
                </c:pt>
                <c:pt idx="69">
                  <c:v>222.29711019592969</c:v>
                </c:pt>
                <c:pt idx="70">
                  <c:v>222.73637406921603</c:v>
                </c:pt>
                <c:pt idx="71">
                  <c:v>223.09465140911206</c:v>
                </c:pt>
                <c:pt idx="72">
                  <c:v>223.13919018821372</c:v>
                </c:pt>
                <c:pt idx="73">
                  <c:v>222.34770336803007</c:v>
                </c:pt>
                <c:pt idx="74">
                  <c:v>222.43560286364055</c:v>
                </c:pt>
                <c:pt idx="75">
                  <c:v>221.97460271088178</c:v>
                </c:pt>
                <c:pt idx="76">
                  <c:v>220.96711209272675</c:v>
                </c:pt>
                <c:pt idx="77">
                  <c:v>220.82759418426562</c:v>
                </c:pt>
                <c:pt idx="78">
                  <c:v>220.76198045817196</c:v>
                </c:pt>
                <c:pt idx="79">
                  <c:v>220.09632814873879</c:v>
                </c:pt>
                <c:pt idx="80">
                  <c:v>219.56087694890877</c:v>
                </c:pt>
                <c:pt idx="81">
                  <c:v>219.16347796924211</c:v>
                </c:pt>
                <c:pt idx="82">
                  <c:v>219.10318826877901</c:v>
                </c:pt>
                <c:pt idx="83">
                  <c:v>218.996994720082</c:v>
                </c:pt>
                <c:pt idx="84">
                  <c:v>219.4965144647683</c:v>
                </c:pt>
                <c:pt idx="85">
                  <c:v>220.0933755243386</c:v>
                </c:pt>
                <c:pt idx="86">
                  <c:v>220.1471927858249</c:v>
                </c:pt>
                <c:pt idx="87">
                  <c:v>220.19843700856612</c:v>
                </c:pt>
                <c:pt idx="88">
                  <c:v>220.29668821776318</c:v>
                </c:pt>
                <c:pt idx="89">
                  <c:v>220.37479546303047</c:v>
                </c:pt>
                <c:pt idx="90">
                  <c:v>220.12173540817093</c:v>
                </c:pt>
                <c:pt idx="91">
                  <c:v>219.60685411813864</c:v>
                </c:pt>
                <c:pt idx="92">
                  <c:v>218.98169671934971</c:v>
                </c:pt>
                <c:pt idx="93">
                  <c:v>218.68582227124188</c:v>
                </c:pt>
                <c:pt idx="94">
                  <c:v>218.41950727267007</c:v>
                </c:pt>
                <c:pt idx="95">
                  <c:v>218.32735669324541</c:v>
                </c:pt>
                <c:pt idx="96">
                  <c:v>218.76108364888964</c:v>
                </c:pt>
                <c:pt idx="97">
                  <c:v>218.77330906983386</c:v>
                </c:pt>
                <c:pt idx="98">
                  <c:v>218.61530473368765</c:v>
                </c:pt>
                <c:pt idx="99">
                  <c:v>219.14293164241161</c:v>
                </c:pt>
                <c:pt idx="100">
                  <c:v>220.19588592803296</c:v>
                </c:pt>
                <c:pt idx="101">
                  <c:v>221.26032523955774</c:v>
                </c:pt>
                <c:pt idx="102">
                  <c:v>222.03775716415103</c:v>
                </c:pt>
                <c:pt idx="103">
                  <c:v>223.50927645865195</c:v>
                </c:pt>
                <c:pt idx="104">
                  <c:v>224.45817330662186</c:v>
                </c:pt>
                <c:pt idx="105">
                  <c:v>226.18277737101485</c:v>
                </c:pt>
                <c:pt idx="106">
                  <c:v>227.97142659680799</c:v>
                </c:pt>
                <c:pt idx="107">
                  <c:v>229.88798250358772</c:v>
                </c:pt>
                <c:pt idx="108">
                  <c:v>231.87923076756084</c:v>
                </c:pt>
                <c:pt idx="109">
                  <c:v>233.19662970290437</c:v>
                </c:pt>
                <c:pt idx="110">
                  <c:v>234.33794330668658</c:v>
                </c:pt>
                <c:pt idx="111">
                  <c:v>236.31338431322561</c:v>
                </c:pt>
                <c:pt idx="112">
                  <c:v>238.16640675256116</c:v>
                </c:pt>
                <c:pt idx="113">
                  <c:v>239.68174246777309</c:v>
                </c:pt>
                <c:pt idx="114">
                  <c:v>239.90747003354079</c:v>
                </c:pt>
                <c:pt idx="115">
                  <c:v>239.97460032240321</c:v>
                </c:pt>
                <c:pt idx="116">
                  <c:v>240.32200820002853</c:v>
                </c:pt>
                <c:pt idx="117">
                  <c:v>240.18886504576471</c:v>
                </c:pt>
                <c:pt idx="118">
                  <c:v>239.54848039375617</c:v>
                </c:pt>
                <c:pt idx="119">
                  <c:v>237.49820215475327</c:v>
                </c:pt>
                <c:pt idx="120">
                  <c:v>235.18023492300381</c:v>
                </c:pt>
                <c:pt idx="121">
                  <c:v>232.79457381429407</c:v>
                </c:pt>
                <c:pt idx="122">
                  <c:v>231.63477998381006</c:v>
                </c:pt>
                <c:pt idx="123">
                  <c:v>228.45205413356888</c:v>
                </c:pt>
                <c:pt idx="124">
                  <c:v>226.22290432938038</c:v>
                </c:pt>
                <c:pt idx="125">
                  <c:v>222.53250519556141</c:v>
                </c:pt>
                <c:pt idx="126">
                  <c:v>219.6683612791945</c:v>
                </c:pt>
                <c:pt idx="127">
                  <c:v>217.3914703234822</c:v>
                </c:pt>
                <c:pt idx="128">
                  <c:v>215.4516811312842</c:v>
                </c:pt>
                <c:pt idx="129">
                  <c:v>215.43482945843903</c:v>
                </c:pt>
                <c:pt idx="130">
                  <c:v>216.70987926655118</c:v>
                </c:pt>
                <c:pt idx="131">
                  <c:v>217.86588871123271</c:v>
                </c:pt>
                <c:pt idx="132">
                  <c:v>218.76969664401039</c:v>
                </c:pt>
                <c:pt idx="133">
                  <c:v>219.6421327593014</c:v>
                </c:pt>
                <c:pt idx="134">
                  <c:v>219.24333885409425</c:v>
                </c:pt>
                <c:pt idx="135">
                  <c:v>219.42776044072704</c:v>
                </c:pt>
                <c:pt idx="136">
                  <c:v>219.95098095142257</c:v>
                </c:pt>
                <c:pt idx="137">
                  <c:v>220.31813859700466</c:v>
                </c:pt>
                <c:pt idx="138">
                  <c:v>220.4965929366702</c:v>
                </c:pt>
                <c:pt idx="139">
                  <c:v>220.22272749757354</c:v>
                </c:pt>
                <c:pt idx="140">
                  <c:v>220.22389790265302</c:v>
                </c:pt>
                <c:pt idx="141">
                  <c:v>220.11691334399325</c:v>
                </c:pt>
                <c:pt idx="142">
                  <c:v>219.71463753398118</c:v>
                </c:pt>
                <c:pt idx="143">
                  <c:v>219.18744492860003</c:v>
                </c:pt>
                <c:pt idx="144">
                  <c:v>218.82247061375205</c:v>
                </c:pt>
                <c:pt idx="145">
                  <c:v>219.79836633636646</c:v>
                </c:pt>
                <c:pt idx="146">
                  <c:v>220.77544250385679</c:v>
                </c:pt>
                <c:pt idx="147">
                  <c:v>222.17979274756638</c:v>
                </c:pt>
                <c:pt idx="148">
                  <c:v>224.06152103001193</c:v>
                </c:pt>
                <c:pt idx="149">
                  <c:v>224.72922863143643</c:v>
                </c:pt>
                <c:pt idx="150">
                  <c:v>224.79862919787041</c:v>
                </c:pt>
                <c:pt idx="151">
                  <c:v>224.69894339622556</c:v>
                </c:pt>
                <c:pt idx="152">
                  <c:v>224.8166205176986</c:v>
                </c:pt>
                <c:pt idx="153">
                  <c:v>224.96302930459373</c:v>
                </c:pt>
                <c:pt idx="154">
                  <c:v>226.21410249471899</c:v>
                </c:pt>
                <c:pt idx="155">
                  <c:v>226.59224974866709</c:v>
                </c:pt>
                <c:pt idx="156">
                  <c:v>226.98972490209005</c:v>
                </c:pt>
                <c:pt idx="157">
                  <c:v>227.60763415847819</c:v>
                </c:pt>
                <c:pt idx="158">
                  <c:v>227.56846732881078</c:v>
                </c:pt>
                <c:pt idx="159">
                  <c:v>225.5346874975408</c:v>
                </c:pt>
                <c:pt idx="160">
                  <c:v>221.71612145647217</c:v>
                </c:pt>
                <c:pt idx="161">
                  <c:v>215.97963459205351</c:v>
                </c:pt>
                <c:pt idx="162">
                  <c:v>212.24274286349794</c:v>
                </c:pt>
                <c:pt idx="163">
                  <c:v>209.23772033591629</c:v>
                </c:pt>
                <c:pt idx="164">
                  <c:v>206.41922382211544</c:v>
                </c:pt>
                <c:pt idx="165">
                  <c:v>204.54262205707175</c:v>
                </c:pt>
                <c:pt idx="166">
                  <c:v>202.90115143928969</c:v>
                </c:pt>
                <c:pt idx="167">
                  <c:v>202.24085954957116</c:v>
                </c:pt>
                <c:pt idx="168">
                  <c:v>202.37315776547536</c:v>
                </c:pt>
                <c:pt idx="169">
                  <c:v>203.15435851957849</c:v>
                </c:pt>
                <c:pt idx="170">
                  <c:v>203.27816529164096</c:v>
                </c:pt>
                <c:pt idx="171">
                  <c:v>203.4607854745642</c:v>
                </c:pt>
                <c:pt idx="172">
                  <c:v>203.94309565330957</c:v>
                </c:pt>
                <c:pt idx="173">
                  <c:v>204.58292093642385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02-A647-9098-7A8D55177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3140752"/>
        <c:axId val="1166990688"/>
      </c:lineChart>
      <c:dateAx>
        <c:axId val="1663140752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990688"/>
        <c:crosses val="autoZero"/>
        <c:auto val="1"/>
        <c:lblOffset val="100"/>
        <c:baseTimeUnit val="days"/>
      </c:dateAx>
      <c:valAx>
        <c:axId val="1166990688"/>
        <c:scaling>
          <c:orientation val="minMax"/>
          <c:min val="1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140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KD Oscillator</a:t>
            </a:r>
            <a:r>
              <a:rPr lang="en-GB" baseline="0"/>
              <a:t> of Apple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'SO (KD)'!$C$1</c:f>
              <c:strCache>
                <c:ptCount val="1"/>
                <c:pt idx="0">
                  <c:v>%K 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'SO (KD)'!$A$12:$A$189</c:f>
              <c:numCache>
                <c:formatCode>m/d/yy</c:formatCode>
                <c:ptCount val="178"/>
                <c:pt idx="0">
                  <c:v>45489</c:v>
                </c:pt>
                <c:pt idx="1">
                  <c:v>45490</c:v>
                </c:pt>
                <c:pt idx="2">
                  <c:v>45491</c:v>
                </c:pt>
                <c:pt idx="3">
                  <c:v>45492</c:v>
                </c:pt>
                <c:pt idx="4">
                  <c:v>45495</c:v>
                </c:pt>
                <c:pt idx="5">
                  <c:v>45496</c:v>
                </c:pt>
                <c:pt idx="6">
                  <c:v>45497</c:v>
                </c:pt>
                <c:pt idx="7">
                  <c:v>45498</c:v>
                </c:pt>
                <c:pt idx="8">
                  <c:v>45499</c:v>
                </c:pt>
                <c:pt idx="9">
                  <c:v>45502</c:v>
                </c:pt>
                <c:pt idx="10">
                  <c:v>45503</c:v>
                </c:pt>
                <c:pt idx="11">
                  <c:v>45504</c:v>
                </c:pt>
                <c:pt idx="12">
                  <c:v>45505</c:v>
                </c:pt>
                <c:pt idx="13">
                  <c:v>45506</c:v>
                </c:pt>
                <c:pt idx="14">
                  <c:v>45509</c:v>
                </c:pt>
                <c:pt idx="15">
                  <c:v>45510</c:v>
                </c:pt>
                <c:pt idx="16">
                  <c:v>45511</c:v>
                </c:pt>
                <c:pt idx="17">
                  <c:v>45512</c:v>
                </c:pt>
                <c:pt idx="18">
                  <c:v>45513</c:v>
                </c:pt>
                <c:pt idx="19">
                  <c:v>45516</c:v>
                </c:pt>
                <c:pt idx="20">
                  <c:v>45517</c:v>
                </c:pt>
                <c:pt idx="21">
                  <c:v>45518</c:v>
                </c:pt>
                <c:pt idx="22">
                  <c:v>45519</c:v>
                </c:pt>
                <c:pt idx="23">
                  <c:v>45520</c:v>
                </c:pt>
                <c:pt idx="24">
                  <c:v>45523</c:v>
                </c:pt>
                <c:pt idx="25">
                  <c:v>45524</c:v>
                </c:pt>
                <c:pt idx="26">
                  <c:v>45525</c:v>
                </c:pt>
                <c:pt idx="27">
                  <c:v>45526</c:v>
                </c:pt>
                <c:pt idx="28">
                  <c:v>45527</c:v>
                </c:pt>
                <c:pt idx="29">
                  <c:v>45530</c:v>
                </c:pt>
                <c:pt idx="30">
                  <c:v>45531</c:v>
                </c:pt>
                <c:pt idx="31">
                  <c:v>45532</c:v>
                </c:pt>
                <c:pt idx="32">
                  <c:v>45533</c:v>
                </c:pt>
                <c:pt idx="33">
                  <c:v>45534</c:v>
                </c:pt>
                <c:pt idx="34">
                  <c:v>45538</c:v>
                </c:pt>
                <c:pt idx="35">
                  <c:v>45539</c:v>
                </c:pt>
                <c:pt idx="36">
                  <c:v>45540</c:v>
                </c:pt>
                <c:pt idx="37">
                  <c:v>45541</c:v>
                </c:pt>
                <c:pt idx="38">
                  <c:v>45544</c:v>
                </c:pt>
                <c:pt idx="39">
                  <c:v>45545</c:v>
                </c:pt>
                <c:pt idx="40">
                  <c:v>45546</c:v>
                </c:pt>
                <c:pt idx="41">
                  <c:v>45547</c:v>
                </c:pt>
                <c:pt idx="42">
                  <c:v>45548</c:v>
                </c:pt>
                <c:pt idx="43">
                  <c:v>45551</c:v>
                </c:pt>
                <c:pt idx="44">
                  <c:v>45552</c:v>
                </c:pt>
                <c:pt idx="45">
                  <c:v>45553</c:v>
                </c:pt>
                <c:pt idx="46">
                  <c:v>45554</c:v>
                </c:pt>
                <c:pt idx="47">
                  <c:v>45555</c:v>
                </c:pt>
                <c:pt idx="48">
                  <c:v>45558</c:v>
                </c:pt>
                <c:pt idx="49">
                  <c:v>45559</c:v>
                </c:pt>
                <c:pt idx="50">
                  <c:v>45560</c:v>
                </c:pt>
                <c:pt idx="51">
                  <c:v>45561</c:v>
                </c:pt>
                <c:pt idx="52">
                  <c:v>45562</c:v>
                </c:pt>
                <c:pt idx="53">
                  <c:v>45565</c:v>
                </c:pt>
                <c:pt idx="54">
                  <c:v>45566</c:v>
                </c:pt>
                <c:pt idx="55">
                  <c:v>45567</c:v>
                </c:pt>
                <c:pt idx="56">
                  <c:v>45568</c:v>
                </c:pt>
                <c:pt idx="57">
                  <c:v>45569</c:v>
                </c:pt>
                <c:pt idx="58">
                  <c:v>45572</c:v>
                </c:pt>
                <c:pt idx="59">
                  <c:v>45573</c:v>
                </c:pt>
                <c:pt idx="60">
                  <c:v>45574</c:v>
                </c:pt>
                <c:pt idx="61">
                  <c:v>45575</c:v>
                </c:pt>
                <c:pt idx="62">
                  <c:v>45576</c:v>
                </c:pt>
                <c:pt idx="63">
                  <c:v>45579</c:v>
                </c:pt>
                <c:pt idx="64">
                  <c:v>45580</c:v>
                </c:pt>
                <c:pt idx="65">
                  <c:v>45581</c:v>
                </c:pt>
                <c:pt idx="66">
                  <c:v>45582</c:v>
                </c:pt>
                <c:pt idx="67">
                  <c:v>45583</c:v>
                </c:pt>
                <c:pt idx="68">
                  <c:v>45586</c:v>
                </c:pt>
                <c:pt idx="69">
                  <c:v>45587</c:v>
                </c:pt>
                <c:pt idx="70">
                  <c:v>45588</c:v>
                </c:pt>
                <c:pt idx="71">
                  <c:v>45589</c:v>
                </c:pt>
                <c:pt idx="72">
                  <c:v>45590</c:v>
                </c:pt>
                <c:pt idx="73">
                  <c:v>45593</c:v>
                </c:pt>
                <c:pt idx="74">
                  <c:v>45594</c:v>
                </c:pt>
                <c:pt idx="75">
                  <c:v>45595</c:v>
                </c:pt>
                <c:pt idx="76">
                  <c:v>45596</c:v>
                </c:pt>
                <c:pt idx="77">
                  <c:v>45597</c:v>
                </c:pt>
                <c:pt idx="78">
                  <c:v>45600</c:v>
                </c:pt>
                <c:pt idx="79">
                  <c:v>45601</c:v>
                </c:pt>
                <c:pt idx="80">
                  <c:v>45602</c:v>
                </c:pt>
                <c:pt idx="81">
                  <c:v>45603</c:v>
                </c:pt>
                <c:pt idx="82">
                  <c:v>45604</c:v>
                </c:pt>
                <c:pt idx="83">
                  <c:v>45607</c:v>
                </c:pt>
                <c:pt idx="84">
                  <c:v>45608</c:v>
                </c:pt>
                <c:pt idx="85">
                  <c:v>45609</c:v>
                </c:pt>
                <c:pt idx="86">
                  <c:v>45610</c:v>
                </c:pt>
                <c:pt idx="87">
                  <c:v>45611</c:v>
                </c:pt>
                <c:pt idx="88">
                  <c:v>45614</c:v>
                </c:pt>
                <c:pt idx="89">
                  <c:v>45615</c:v>
                </c:pt>
                <c:pt idx="90">
                  <c:v>45616</c:v>
                </c:pt>
                <c:pt idx="91">
                  <c:v>45617</c:v>
                </c:pt>
                <c:pt idx="92">
                  <c:v>45618</c:v>
                </c:pt>
                <c:pt idx="93">
                  <c:v>45621</c:v>
                </c:pt>
                <c:pt idx="94">
                  <c:v>45622</c:v>
                </c:pt>
                <c:pt idx="95">
                  <c:v>45623</c:v>
                </c:pt>
                <c:pt idx="96">
                  <c:v>45625</c:v>
                </c:pt>
                <c:pt idx="97">
                  <c:v>45628</c:v>
                </c:pt>
                <c:pt idx="98">
                  <c:v>45629</c:v>
                </c:pt>
                <c:pt idx="99">
                  <c:v>45630</c:v>
                </c:pt>
                <c:pt idx="100">
                  <c:v>45631</c:v>
                </c:pt>
                <c:pt idx="101">
                  <c:v>45632</c:v>
                </c:pt>
                <c:pt idx="102">
                  <c:v>45635</c:v>
                </c:pt>
                <c:pt idx="103">
                  <c:v>45636</c:v>
                </c:pt>
                <c:pt idx="104">
                  <c:v>45637</c:v>
                </c:pt>
                <c:pt idx="105">
                  <c:v>45638</c:v>
                </c:pt>
                <c:pt idx="106">
                  <c:v>45639</c:v>
                </c:pt>
                <c:pt idx="107">
                  <c:v>45642</c:v>
                </c:pt>
                <c:pt idx="108">
                  <c:v>45643</c:v>
                </c:pt>
                <c:pt idx="109">
                  <c:v>45644</c:v>
                </c:pt>
                <c:pt idx="110">
                  <c:v>45645</c:v>
                </c:pt>
                <c:pt idx="111">
                  <c:v>45646</c:v>
                </c:pt>
                <c:pt idx="112">
                  <c:v>45649</c:v>
                </c:pt>
                <c:pt idx="113">
                  <c:v>45650</c:v>
                </c:pt>
                <c:pt idx="114">
                  <c:v>45652</c:v>
                </c:pt>
                <c:pt idx="115">
                  <c:v>45653</c:v>
                </c:pt>
                <c:pt idx="116">
                  <c:v>45656</c:v>
                </c:pt>
                <c:pt idx="117">
                  <c:v>45657</c:v>
                </c:pt>
                <c:pt idx="118">
                  <c:v>45659</c:v>
                </c:pt>
                <c:pt idx="119">
                  <c:v>45660</c:v>
                </c:pt>
                <c:pt idx="120">
                  <c:v>45663</c:v>
                </c:pt>
                <c:pt idx="121">
                  <c:v>45664</c:v>
                </c:pt>
                <c:pt idx="122">
                  <c:v>45665</c:v>
                </c:pt>
                <c:pt idx="123">
                  <c:v>45667</c:v>
                </c:pt>
                <c:pt idx="124">
                  <c:v>45670</c:v>
                </c:pt>
                <c:pt idx="125">
                  <c:v>45671</c:v>
                </c:pt>
                <c:pt idx="126">
                  <c:v>45672</c:v>
                </c:pt>
                <c:pt idx="127">
                  <c:v>45673</c:v>
                </c:pt>
                <c:pt idx="128">
                  <c:v>45674</c:v>
                </c:pt>
                <c:pt idx="129">
                  <c:v>45678</c:v>
                </c:pt>
                <c:pt idx="130">
                  <c:v>45679</c:v>
                </c:pt>
                <c:pt idx="131">
                  <c:v>45680</c:v>
                </c:pt>
                <c:pt idx="132">
                  <c:v>45681</c:v>
                </c:pt>
                <c:pt idx="133">
                  <c:v>45684</c:v>
                </c:pt>
                <c:pt idx="134">
                  <c:v>45685</c:v>
                </c:pt>
                <c:pt idx="135">
                  <c:v>45686</c:v>
                </c:pt>
                <c:pt idx="136">
                  <c:v>45687</c:v>
                </c:pt>
                <c:pt idx="137">
                  <c:v>45688</c:v>
                </c:pt>
                <c:pt idx="138">
                  <c:v>45691</c:v>
                </c:pt>
                <c:pt idx="139">
                  <c:v>45692</c:v>
                </c:pt>
                <c:pt idx="140">
                  <c:v>45693</c:v>
                </c:pt>
                <c:pt idx="141">
                  <c:v>45694</c:v>
                </c:pt>
                <c:pt idx="142">
                  <c:v>45695</c:v>
                </c:pt>
                <c:pt idx="143">
                  <c:v>45698</c:v>
                </c:pt>
                <c:pt idx="144">
                  <c:v>45699</c:v>
                </c:pt>
                <c:pt idx="145">
                  <c:v>45700</c:v>
                </c:pt>
                <c:pt idx="146">
                  <c:v>45701</c:v>
                </c:pt>
                <c:pt idx="147">
                  <c:v>45702</c:v>
                </c:pt>
                <c:pt idx="148">
                  <c:v>45706</c:v>
                </c:pt>
                <c:pt idx="149">
                  <c:v>45707</c:v>
                </c:pt>
                <c:pt idx="150">
                  <c:v>45708</c:v>
                </c:pt>
                <c:pt idx="151">
                  <c:v>45709</c:v>
                </c:pt>
                <c:pt idx="152">
                  <c:v>45712</c:v>
                </c:pt>
                <c:pt idx="153">
                  <c:v>45713</c:v>
                </c:pt>
                <c:pt idx="154">
                  <c:v>45714</c:v>
                </c:pt>
                <c:pt idx="155">
                  <c:v>45715</c:v>
                </c:pt>
                <c:pt idx="156">
                  <c:v>45716</c:v>
                </c:pt>
                <c:pt idx="157">
                  <c:v>45719</c:v>
                </c:pt>
                <c:pt idx="158">
                  <c:v>45720</c:v>
                </c:pt>
                <c:pt idx="159">
                  <c:v>45721</c:v>
                </c:pt>
                <c:pt idx="160">
                  <c:v>45722</c:v>
                </c:pt>
                <c:pt idx="161">
                  <c:v>45723</c:v>
                </c:pt>
                <c:pt idx="162">
                  <c:v>45726</c:v>
                </c:pt>
                <c:pt idx="163">
                  <c:v>45727</c:v>
                </c:pt>
                <c:pt idx="164">
                  <c:v>45728</c:v>
                </c:pt>
                <c:pt idx="165">
                  <c:v>45729</c:v>
                </c:pt>
                <c:pt idx="166">
                  <c:v>45730</c:v>
                </c:pt>
                <c:pt idx="167">
                  <c:v>45733</c:v>
                </c:pt>
                <c:pt idx="168">
                  <c:v>45734</c:v>
                </c:pt>
                <c:pt idx="169">
                  <c:v>45735</c:v>
                </c:pt>
                <c:pt idx="170">
                  <c:v>45736</c:v>
                </c:pt>
                <c:pt idx="171">
                  <c:v>45737</c:v>
                </c:pt>
                <c:pt idx="172">
                  <c:v>45740</c:v>
                </c:pt>
                <c:pt idx="173">
                  <c:v>45741</c:v>
                </c:pt>
                <c:pt idx="174">
                  <c:v>45742</c:v>
                </c:pt>
                <c:pt idx="175">
                  <c:v>45743</c:v>
                </c:pt>
                <c:pt idx="176">
                  <c:v>45744</c:v>
                </c:pt>
                <c:pt idx="177">
                  <c:v>45747</c:v>
                </c:pt>
              </c:numCache>
            </c:numRef>
          </c:cat>
          <c:val>
            <c:numRef>
              <c:f>'SO (KD)'!$C$12:$C$189</c:f>
              <c:numCache>
                <c:formatCode>General</c:formatCode>
                <c:ptCount val="178"/>
                <c:pt idx="3">
                  <c:v>41.837299391256252</c:v>
                </c:pt>
                <c:pt idx="4">
                  <c:v>25.360824742268058</c:v>
                </c:pt>
                <c:pt idx="5">
                  <c:v>26.073850791258359</c:v>
                </c:pt>
                <c:pt idx="6">
                  <c:v>0</c:v>
                </c:pt>
                <c:pt idx="7">
                  <c:v>0</c:v>
                </c:pt>
                <c:pt idx="8">
                  <c:v>2.712060011540677</c:v>
                </c:pt>
                <c:pt idx="9">
                  <c:v>4.3277553375649198</c:v>
                </c:pt>
                <c:pt idx="10">
                  <c:v>7.5591459896134072</c:v>
                </c:pt>
                <c:pt idx="11">
                  <c:v>26.485862665897329</c:v>
                </c:pt>
                <c:pt idx="12">
                  <c:v>5.0201961915753337</c:v>
                </c:pt>
                <c:pt idx="13">
                  <c:v>13.675706866705175</c:v>
                </c:pt>
                <c:pt idx="14">
                  <c:v>0</c:v>
                </c:pt>
                <c:pt idx="15">
                  <c:v>0</c:v>
                </c:pt>
                <c:pt idx="16">
                  <c:v>14.566929133858286</c:v>
                </c:pt>
                <c:pt idx="17">
                  <c:v>34.195725534308281</c:v>
                </c:pt>
                <c:pt idx="18">
                  <c:v>50.674915635545659</c:v>
                </c:pt>
                <c:pt idx="19">
                  <c:v>69.360269360269328</c:v>
                </c:pt>
                <c:pt idx="20">
                  <c:v>94.545454545454547</c:v>
                </c:pt>
                <c:pt idx="21">
                  <c:v>97.575757575757478</c:v>
                </c:pt>
                <c:pt idx="22">
                  <c:v>100</c:v>
                </c:pt>
                <c:pt idx="23">
                  <c:v>100</c:v>
                </c:pt>
                <c:pt idx="24">
                  <c:v>99.149840595111442</c:v>
                </c:pt>
                <c:pt idx="25">
                  <c:v>100</c:v>
                </c:pt>
                <c:pt idx="26">
                  <c:v>99.429460580912945</c:v>
                </c:pt>
                <c:pt idx="27">
                  <c:v>89.73029045643159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86.938083121289296</c:v>
                </c:pt>
                <c:pt idx="32">
                  <c:v>100</c:v>
                </c:pt>
                <c:pt idx="33">
                  <c:v>90.727699530516503</c:v>
                </c:pt>
                <c:pt idx="34">
                  <c:v>13.01115241635703</c:v>
                </c:pt>
                <c:pt idx="35">
                  <c:v>0</c:v>
                </c:pt>
                <c:pt idx="36">
                  <c:v>17.114093959731562</c:v>
                </c:pt>
                <c:pt idx="37">
                  <c:v>0</c:v>
                </c:pt>
                <c:pt idx="38">
                  <c:v>1.0033444816053894</c:v>
                </c:pt>
                <c:pt idx="39">
                  <c:v>0</c:v>
                </c:pt>
                <c:pt idx="40">
                  <c:v>26.342975206611452</c:v>
                </c:pt>
                <c:pt idx="41">
                  <c:v>27.479338842975231</c:v>
                </c:pt>
                <c:pt idx="42">
                  <c:v>24.690082644628013</c:v>
                </c:pt>
                <c:pt idx="43">
                  <c:v>0</c:v>
                </c:pt>
                <c:pt idx="44">
                  <c:v>3.4892353377876684</c:v>
                </c:pt>
                <c:pt idx="45">
                  <c:v>32.442464736451413</c:v>
                </c:pt>
                <c:pt idx="46">
                  <c:v>98.974763406940099</c:v>
                </c:pt>
                <c:pt idx="47">
                  <c:v>94.66135458167318</c:v>
                </c:pt>
                <c:pt idx="48">
                  <c:v>80.876494023904357</c:v>
                </c:pt>
                <c:pt idx="49">
                  <c:v>88.047808764940243</c:v>
                </c:pt>
                <c:pt idx="50">
                  <c:v>80.079681274900423</c:v>
                </c:pt>
                <c:pt idx="51">
                  <c:v>89.243027888446264</c:v>
                </c:pt>
                <c:pt idx="52">
                  <c:v>91.39442231075688</c:v>
                </c:pt>
                <c:pt idx="53">
                  <c:v>100</c:v>
                </c:pt>
                <c:pt idx="54">
                  <c:v>59.292565947242274</c:v>
                </c:pt>
                <c:pt idx="55">
                  <c:v>62.70983213429259</c:v>
                </c:pt>
                <c:pt idx="56">
                  <c:v>56.055155875299704</c:v>
                </c:pt>
                <c:pt idx="57">
                  <c:v>61.752004935225258</c:v>
                </c:pt>
                <c:pt idx="58">
                  <c:v>8.1234768480909807</c:v>
                </c:pt>
                <c:pt idx="59">
                  <c:v>36.07427055702928</c:v>
                </c:pt>
                <c:pt idx="60">
                  <c:v>69.407603890362452</c:v>
                </c:pt>
                <c:pt idx="61">
                  <c:v>64.98673740053043</c:v>
                </c:pt>
                <c:pt idx="62">
                  <c:v>51.812555260831225</c:v>
                </c:pt>
                <c:pt idx="63">
                  <c:v>84.969053934571278</c:v>
                </c:pt>
                <c:pt idx="64">
                  <c:v>100</c:v>
                </c:pt>
                <c:pt idx="65">
                  <c:v>82.976973684210577</c:v>
                </c:pt>
                <c:pt idx="66">
                  <c:v>86.01973684210536</c:v>
                </c:pt>
                <c:pt idx="67">
                  <c:v>100</c:v>
                </c:pt>
                <c:pt idx="68">
                  <c:v>100</c:v>
                </c:pt>
                <c:pt idx="69">
                  <c:v>95.80797836375946</c:v>
                </c:pt>
                <c:pt idx="70">
                  <c:v>61.325219743069624</c:v>
                </c:pt>
                <c:pt idx="71">
                  <c:v>60.040567951318458</c:v>
                </c:pt>
                <c:pt idx="72">
                  <c:v>52.661064425770277</c:v>
                </c:pt>
                <c:pt idx="73">
                  <c:v>65.50951847704377</c:v>
                </c:pt>
                <c:pt idx="74">
                  <c:v>68.533034714445591</c:v>
                </c:pt>
                <c:pt idx="75">
                  <c:v>28.555431131018917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9.9516240497581059</c:v>
                </c:pt>
                <c:pt idx="80">
                  <c:v>4.9067035245335733</c:v>
                </c:pt>
                <c:pt idx="81">
                  <c:v>37.802349689011741</c:v>
                </c:pt>
                <c:pt idx="82">
                  <c:v>35.740072202166132</c:v>
                </c:pt>
                <c:pt idx="83">
                  <c:v>19.039451114922809</c:v>
                </c:pt>
                <c:pt idx="84">
                  <c:v>19.039451114922809</c:v>
                </c:pt>
                <c:pt idx="85">
                  <c:v>26.672384219554157</c:v>
                </c:pt>
                <c:pt idx="86">
                  <c:v>53.25900514579768</c:v>
                </c:pt>
                <c:pt idx="87">
                  <c:v>25.643224699828558</c:v>
                </c:pt>
                <c:pt idx="88">
                  <c:v>74.289245982694894</c:v>
                </c:pt>
                <c:pt idx="89">
                  <c:v>100</c:v>
                </c:pt>
                <c:pt idx="90">
                  <c:v>100</c:v>
                </c:pt>
                <c:pt idx="91">
                  <c:v>93.133047210300575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98.799630655586384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98.668442077230438</c:v>
                </c:pt>
                <c:pt idx="102">
                  <c:v>100</c:v>
                </c:pt>
                <c:pt idx="103">
                  <c:v>100</c:v>
                </c:pt>
                <c:pt idx="104">
                  <c:v>93.350649350649334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66.377708978328258</c:v>
                </c:pt>
                <c:pt idx="110">
                  <c:v>73.434125269978395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72.625698324022466</c:v>
                </c:pt>
                <c:pt idx="116">
                  <c:v>45.57063048683154</c:v>
                </c:pt>
                <c:pt idx="117">
                  <c:v>31.364724660813941</c:v>
                </c:pt>
                <c:pt idx="118">
                  <c:v>0</c:v>
                </c:pt>
                <c:pt idx="119">
                  <c:v>0</c:v>
                </c:pt>
                <c:pt idx="120">
                  <c:v>10.4725415070242</c:v>
                </c:pt>
                <c:pt idx="121">
                  <c:v>0</c:v>
                </c:pt>
                <c:pt idx="122">
                  <c:v>2.914931588340163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17.832167832167858</c:v>
                </c:pt>
                <c:pt idx="127">
                  <c:v>0</c:v>
                </c:pt>
                <c:pt idx="128">
                  <c:v>6.2934504207830155</c:v>
                </c:pt>
                <c:pt idx="129">
                  <c:v>0</c:v>
                </c:pt>
                <c:pt idx="130">
                  <c:v>4.2836573074155009</c:v>
                </c:pt>
                <c:pt idx="131">
                  <c:v>4.5617173524150703</c:v>
                </c:pt>
                <c:pt idx="132">
                  <c:v>0.62611806797859881</c:v>
                </c:pt>
                <c:pt idx="133">
                  <c:v>32.289803220035878</c:v>
                </c:pt>
                <c:pt idx="134">
                  <c:v>77.866400797607199</c:v>
                </c:pt>
                <c:pt idx="135">
                  <c:v>83.349950149551475</c:v>
                </c:pt>
                <c:pt idx="136">
                  <c:v>89.413875598086079</c:v>
                </c:pt>
                <c:pt idx="137">
                  <c:v>79.904306220095648</c:v>
                </c:pt>
                <c:pt idx="138">
                  <c:v>32.11722488038275</c:v>
                </c:pt>
                <c:pt idx="139">
                  <c:v>60.7655502392345</c:v>
                </c:pt>
                <c:pt idx="140">
                  <c:v>58.791866028708114</c:v>
                </c:pt>
                <c:pt idx="141">
                  <c:v>63.277511961722453</c:v>
                </c:pt>
                <c:pt idx="142">
                  <c:v>29.844497607655505</c:v>
                </c:pt>
                <c:pt idx="143">
                  <c:v>29.372738238841983</c:v>
                </c:pt>
                <c:pt idx="144">
                  <c:v>59.348612786489717</c:v>
                </c:pt>
                <c:pt idx="145">
                  <c:v>84.981905910735776</c:v>
                </c:pt>
                <c:pt idx="146">
                  <c:v>100</c:v>
                </c:pt>
                <c:pt idx="147">
                  <c:v>100</c:v>
                </c:pt>
                <c:pt idx="148">
                  <c:v>99.233942251031266</c:v>
                </c:pt>
                <c:pt idx="149">
                  <c:v>100</c:v>
                </c:pt>
                <c:pt idx="150">
                  <c:v>100</c:v>
                </c:pt>
                <c:pt idx="151">
                  <c:v>98.461538461538453</c:v>
                </c:pt>
                <c:pt idx="152">
                  <c:v>100</c:v>
                </c:pt>
                <c:pt idx="153">
                  <c:v>99.691833590138671</c:v>
                </c:pt>
                <c:pt idx="154">
                  <c:v>65.382639958911241</c:v>
                </c:pt>
                <c:pt idx="155">
                  <c:v>49.666153055983649</c:v>
                </c:pt>
                <c:pt idx="156">
                  <c:v>72.956298200514169</c:v>
                </c:pt>
                <c:pt idx="157">
                  <c:v>37.361878453038678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31.775700934579326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10.198072805139196</c:v>
                </c:pt>
                <c:pt idx="167">
                  <c:v>13.432835820895503</c:v>
                </c:pt>
                <c:pt idx="168">
                  <c:v>9.3594527363183815</c:v>
                </c:pt>
                <c:pt idx="169">
                  <c:v>17.288557213930357</c:v>
                </c:pt>
                <c:pt idx="170">
                  <c:v>15.03912895542698</c:v>
                </c:pt>
                <c:pt idx="171">
                  <c:v>29.227628445049366</c:v>
                </c:pt>
                <c:pt idx="172">
                  <c:v>37.597822388567501</c:v>
                </c:pt>
                <c:pt idx="173">
                  <c:v>47.873426335488261</c:v>
                </c:pt>
                <c:pt idx="174">
                  <c:v>40.319836679142561</c:v>
                </c:pt>
                <c:pt idx="175">
                  <c:v>79.606741573033716</c:v>
                </c:pt>
                <c:pt idx="176">
                  <c:v>58.0098800282287</c:v>
                </c:pt>
                <c:pt idx="177">
                  <c:v>87.861679604798866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0C-2042-B325-36971D7C0CA5}"/>
            </c:ext>
          </c:extLst>
        </c:ser>
        <c:ser>
          <c:idx val="1"/>
          <c:order val="1"/>
          <c:tx>
            <c:strRef>
              <c:f>'SO (KD)'!$D$1</c:f>
              <c:strCache>
                <c:ptCount val="1"/>
                <c:pt idx="0">
                  <c:v>%D Line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'SO (KD)'!$A$12:$A$189</c:f>
              <c:numCache>
                <c:formatCode>m/d/yy</c:formatCode>
                <c:ptCount val="178"/>
                <c:pt idx="0">
                  <c:v>45489</c:v>
                </c:pt>
                <c:pt idx="1">
                  <c:v>45490</c:v>
                </c:pt>
                <c:pt idx="2">
                  <c:v>45491</c:v>
                </c:pt>
                <c:pt idx="3">
                  <c:v>45492</c:v>
                </c:pt>
                <c:pt idx="4">
                  <c:v>45495</c:v>
                </c:pt>
                <c:pt idx="5">
                  <c:v>45496</c:v>
                </c:pt>
                <c:pt idx="6">
                  <c:v>45497</c:v>
                </c:pt>
                <c:pt idx="7">
                  <c:v>45498</c:v>
                </c:pt>
                <c:pt idx="8">
                  <c:v>45499</c:v>
                </c:pt>
                <c:pt idx="9">
                  <c:v>45502</c:v>
                </c:pt>
                <c:pt idx="10">
                  <c:v>45503</c:v>
                </c:pt>
                <c:pt idx="11">
                  <c:v>45504</c:v>
                </c:pt>
                <c:pt idx="12">
                  <c:v>45505</c:v>
                </c:pt>
                <c:pt idx="13">
                  <c:v>45506</c:v>
                </c:pt>
                <c:pt idx="14">
                  <c:v>45509</c:v>
                </c:pt>
                <c:pt idx="15">
                  <c:v>45510</c:v>
                </c:pt>
                <c:pt idx="16">
                  <c:v>45511</c:v>
                </c:pt>
                <c:pt idx="17">
                  <c:v>45512</c:v>
                </c:pt>
                <c:pt idx="18">
                  <c:v>45513</c:v>
                </c:pt>
                <c:pt idx="19">
                  <c:v>45516</c:v>
                </c:pt>
                <c:pt idx="20">
                  <c:v>45517</c:v>
                </c:pt>
                <c:pt idx="21">
                  <c:v>45518</c:v>
                </c:pt>
                <c:pt idx="22">
                  <c:v>45519</c:v>
                </c:pt>
                <c:pt idx="23">
                  <c:v>45520</c:v>
                </c:pt>
                <c:pt idx="24">
                  <c:v>45523</c:v>
                </c:pt>
                <c:pt idx="25">
                  <c:v>45524</c:v>
                </c:pt>
                <c:pt idx="26">
                  <c:v>45525</c:v>
                </c:pt>
                <c:pt idx="27">
                  <c:v>45526</c:v>
                </c:pt>
                <c:pt idx="28">
                  <c:v>45527</c:v>
                </c:pt>
                <c:pt idx="29">
                  <c:v>45530</c:v>
                </c:pt>
                <c:pt idx="30">
                  <c:v>45531</c:v>
                </c:pt>
                <c:pt idx="31">
                  <c:v>45532</c:v>
                </c:pt>
                <c:pt idx="32">
                  <c:v>45533</c:v>
                </c:pt>
                <c:pt idx="33">
                  <c:v>45534</c:v>
                </c:pt>
                <c:pt idx="34">
                  <c:v>45538</c:v>
                </c:pt>
                <c:pt idx="35">
                  <c:v>45539</c:v>
                </c:pt>
                <c:pt idx="36">
                  <c:v>45540</c:v>
                </c:pt>
                <c:pt idx="37">
                  <c:v>45541</c:v>
                </c:pt>
                <c:pt idx="38">
                  <c:v>45544</c:v>
                </c:pt>
                <c:pt idx="39">
                  <c:v>45545</c:v>
                </c:pt>
                <c:pt idx="40">
                  <c:v>45546</c:v>
                </c:pt>
                <c:pt idx="41">
                  <c:v>45547</c:v>
                </c:pt>
                <c:pt idx="42">
                  <c:v>45548</c:v>
                </c:pt>
                <c:pt idx="43">
                  <c:v>45551</c:v>
                </c:pt>
                <c:pt idx="44">
                  <c:v>45552</c:v>
                </c:pt>
                <c:pt idx="45">
                  <c:v>45553</c:v>
                </c:pt>
                <c:pt idx="46">
                  <c:v>45554</c:v>
                </c:pt>
                <c:pt idx="47">
                  <c:v>45555</c:v>
                </c:pt>
                <c:pt idx="48">
                  <c:v>45558</c:v>
                </c:pt>
                <c:pt idx="49">
                  <c:v>45559</c:v>
                </c:pt>
                <c:pt idx="50">
                  <c:v>45560</c:v>
                </c:pt>
                <c:pt idx="51">
                  <c:v>45561</c:v>
                </c:pt>
                <c:pt idx="52">
                  <c:v>45562</c:v>
                </c:pt>
                <c:pt idx="53">
                  <c:v>45565</c:v>
                </c:pt>
                <c:pt idx="54">
                  <c:v>45566</c:v>
                </c:pt>
                <c:pt idx="55">
                  <c:v>45567</c:v>
                </c:pt>
                <c:pt idx="56">
                  <c:v>45568</c:v>
                </c:pt>
                <c:pt idx="57">
                  <c:v>45569</c:v>
                </c:pt>
                <c:pt idx="58">
                  <c:v>45572</c:v>
                </c:pt>
                <c:pt idx="59">
                  <c:v>45573</c:v>
                </c:pt>
                <c:pt idx="60">
                  <c:v>45574</c:v>
                </c:pt>
                <c:pt idx="61">
                  <c:v>45575</c:v>
                </c:pt>
                <c:pt idx="62">
                  <c:v>45576</c:v>
                </c:pt>
                <c:pt idx="63">
                  <c:v>45579</c:v>
                </c:pt>
                <c:pt idx="64">
                  <c:v>45580</c:v>
                </c:pt>
                <c:pt idx="65">
                  <c:v>45581</c:v>
                </c:pt>
                <c:pt idx="66">
                  <c:v>45582</c:v>
                </c:pt>
                <c:pt idx="67">
                  <c:v>45583</c:v>
                </c:pt>
                <c:pt idx="68">
                  <c:v>45586</c:v>
                </c:pt>
                <c:pt idx="69">
                  <c:v>45587</c:v>
                </c:pt>
                <c:pt idx="70">
                  <c:v>45588</c:v>
                </c:pt>
                <c:pt idx="71">
                  <c:v>45589</c:v>
                </c:pt>
                <c:pt idx="72">
                  <c:v>45590</c:v>
                </c:pt>
                <c:pt idx="73">
                  <c:v>45593</c:v>
                </c:pt>
                <c:pt idx="74">
                  <c:v>45594</c:v>
                </c:pt>
                <c:pt idx="75">
                  <c:v>45595</c:v>
                </c:pt>
                <c:pt idx="76">
                  <c:v>45596</c:v>
                </c:pt>
                <c:pt idx="77">
                  <c:v>45597</c:v>
                </c:pt>
                <c:pt idx="78">
                  <c:v>45600</c:v>
                </c:pt>
                <c:pt idx="79">
                  <c:v>45601</c:v>
                </c:pt>
                <c:pt idx="80">
                  <c:v>45602</c:v>
                </c:pt>
                <c:pt idx="81">
                  <c:v>45603</c:v>
                </c:pt>
                <c:pt idx="82">
                  <c:v>45604</c:v>
                </c:pt>
                <c:pt idx="83">
                  <c:v>45607</c:v>
                </c:pt>
                <c:pt idx="84">
                  <c:v>45608</c:v>
                </c:pt>
                <c:pt idx="85">
                  <c:v>45609</c:v>
                </c:pt>
                <c:pt idx="86">
                  <c:v>45610</c:v>
                </c:pt>
                <c:pt idx="87">
                  <c:v>45611</c:v>
                </c:pt>
                <c:pt idx="88">
                  <c:v>45614</c:v>
                </c:pt>
                <c:pt idx="89">
                  <c:v>45615</c:v>
                </c:pt>
                <c:pt idx="90">
                  <c:v>45616</c:v>
                </c:pt>
                <c:pt idx="91">
                  <c:v>45617</c:v>
                </c:pt>
                <c:pt idx="92">
                  <c:v>45618</c:v>
                </c:pt>
                <c:pt idx="93">
                  <c:v>45621</c:v>
                </c:pt>
                <c:pt idx="94">
                  <c:v>45622</c:v>
                </c:pt>
                <c:pt idx="95">
                  <c:v>45623</c:v>
                </c:pt>
                <c:pt idx="96">
                  <c:v>45625</c:v>
                </c:pt>
                <c:pt idx="97">
                  <c:v>45628</c:v>
                </c:pt>
                <c:pt idx="98">
                  <c:v>45629</c:v>
                </c:pt>
                <c:pt idx="99">
                  <c:v>45630</c:v>
                </c:pt>
                <c:pt idx="100">
                  <c:v>45631</c:v>
                </c:pt>
                <c:pt idx="101">
                  <c:v>45632</c:v>
                </c:pt>
                <c:pt idx="102">
                  <c:v>45635</c:v>
                </c:pt>
                <c:pt idx="103">
                  <c:v>45636</c:v>
                </c:pt>
                <c:pt idx="104">
                  <c:v>45637</c:v>
                </c:pt>
                <c:pt idx="105">
                  <c:v>45638</c:v>
                </c:pt>
                <c:pt idx="106">
                  <c:v>45639</c:v>
                </c:pt>
                <c:pt idx="107">
                  <c:v>45642</c:v>
                </c:pt>
                <c:pt idx="108">
                  <c:v>45643</c:v>
                </c:pt>
                <c:pt idx="109">
                  <c:v>45644</c:v>
                </c:pt>
                <c:pt idx="110">
                  <c:v>45645</c:v>
                </c:pt>
                <c:pt idx="111">
                  <c:v>45646</c:v>
                </c:pt>
                <c:pt idx="112">
                  <c:v>45649</c:v>
                </c:pt>
                <c:pt idx="113">
                  <c:v>45650</c:v>
                </c:pt>
                <c:pt idx="114">
                  <c:v>45652</c:v>
                </c:pt>
                <c:pt idx="115">
                  <c:v>45653</c:v>
                </c:pt>
                <c:pt idx="116">
                  <c:v>45656</c:v>
                </c:pt>
                <c:pt idx="117">
                  <c:v>45657</c:v>
                </c:pt>
                <c:pt idx="118">
                  <c:v>45659</c:v>
                </c:pt>
                <c:pt idx="119">
                  <c:v>45660</c:v>
                </c:pt>
                <c:pt idx="120">
                  <c:v>45663</c:v>
                </c:pt>
                <c:pt idx="121">
                  <c:v>45664</c:v>
                </c:pt>
                <c:pt idx="122">
                  <c:v>45665</c:v>
                </c:pt>
                <c:pt idx="123">
                  <c:v>45667</c:v>
                </c:pt>
                <c:pt idx="124">
                  <c:v>45670</c:v>
                </c:pt>
                <c:pt idx="125">
                  <c:v>45671</c:v>
                </c:pt>
                <c:pt idx="126">
                  <c:v>45672</c:v>
                </c:pt>
                <c:pt idx="127">
                  <c:v>45673</c:v>
                </c:pt>
                <c:pt idx="128">
                  <c:v>45674</c:v>
                </c:pt>
                <c:pt idx="129">
                  <c:v>45678</c:v>
                </c:pt>
                <c:pt idx="130">
                  <c:v>45679</c:v>
                </c:pt>
                <c:pt idx="131">
                  <c:v>45680</c:v>
                </c:pt>
                <c:pt idx="132">
                  <c:v>45681</c:v>
                </c:pt>
                <c:pt idx="133">
                  <c:v>45684</c:v>
                </c:pt>
                <c:pt idx="134">
                  <c:v>45685</c:v>
                </c:pt>
                <c:pt idx="135">
                  <c:v>45686</c:v>
                </c:pt>
                <c:pt idx="136">
                  <c:v>45687</c:v>
                </c:pt>
                <c:pt idx="137">
                  <c:v>45688</c:v>
                </c:pt>
                <c:pt idx="138">
                  <c:v>45691</c:v>
                </c:pt>
                <c:pt idx="139">
                  <c:v>45692</c:v>
                </c:pt>
                <c:pt idx="140">
                  <c:v>45693</c:v>
                </c:pt>
                <c:pt idx="141">
                  <c:v>45694</c:v>
                </c:pt>
                <c:pt idx="142">
                  <c:v>45695</c:v>
                </c:pt>
                <c:pt idx="143">
                  <c:v>45698</c:v>
                </c:pt>
                <c:pt idx="144">
                  <c:v>45699</c:v>
                </c:pt>
                <c:pt idx="145">
                  <c:v>45700</c:v>
                </c:pt>
                <c:pt idx="146">
                  <c:v>45701</c:v>
                </c:pt>
                <c:pt idx="147">
                  <c:v>45702</c:v>
                </c:pt>
                <c:pt idx="148">
                  <c:v>45706</c:v>
                </c:pt>
                <c:pt idx="149">
                  <c:v>45707</c:v>
                </c:pt>
                <c:pt idx="150">
                  <c:v>45708</c:v>
                </c:pt>
                <c:pt idx="151">
                  <c:v>45709</c:v>
                </c:pt>
                <c:pt idx="152">
                  <c:v>45712</c:v>
                </c:pt>
                <c:pt idx="153">
                  <c:v>45713</c:v>
                </c:pt>
                <c:pt idx="154">
                  <c:v>45714</c:v>
                </c:pt>
                <c:pt idx="155">
                  <c:v>45715</c:v>
                </c:pt>
                <c:pt idx="156">
                  <c:v>45716</c:v>
                </c:pt>
                <c:pt idx="157">
                  <c:v>45719</c:v>
                </c:pt>
                <c:pt idx="158">
                  <c:v>45720</c:v>
                </c:pt>
                <c:pt idx="159">
                  <c:v>45721</c:v>
                </c:pt>
                <c:pt idx="160">
                  <c:v>45722</c:v>
                </c:pt>
                <c:pt idx="161">
                  <c:v>45723</c:v>
                </c:pt>
                <c:pt idx="162">
                  <c:v>45726</c:v>
                </c:pt>
                <c:pt idx="163">
                  <c:v>45727</c:v>
                </c:pt>
                <c:pt idx="164">
                  <c:v>45728</c:v>
                </c:pt>
                <c:pt idx="165">
                  <c:v>45729</c:v>
                </c:pt>
                <c:pt idx="166">
                  <c:v>45730</c:v>
                </c:pt>
                <c:pt idx="167">
                  <c:v>45733</c:v>
                </c:pt>
                <c:pt idx="168">
                  <c:v>45734</c:v>
                </c:pt>
                <c:pt idx="169">
                  <c:v>45735</c:v>
                </c:pt>
                <c:pt idx="170">
                  <c:v>45736</c:v>
                </c:pt>
                <c:pt idx="171">
                  <c:v>45737</c:v>
                </c:pt>
                <c:pt idx="172">
                  <c:v>45740</c:v>
                </c:pt>
                <c:pt idx="173">
                  <c:v>45741</c:v>
                </c:pt>
                <c:pt idx="174">
                  <c:v>45742</c:v>
                </c:pt>
                <c:pt idx="175">
                  <c:v>45743</c:v>
                </c:pt>
                <c:pt idx="176">
                  <c:v>45744</c:v>
                </c:pt>
                <c:pt idx="177">
                  <c:v>45747</c:v>
                </c:pt>
              </c:numCache>
            </c:numRef>
          </c:cat>
          <c:val>
            <c:numRef>
              <c:f>'SO (KD)'!$D$12:$D$189</c:f>
              <c:numCache>
                <c:formatCode>General</c:formatCode>
                <c:ptCount val="178"/>
                <c:pt idx="5">
                  <c:v>31.090658308260895</c:v>
                </c:pt>
                <c:pt idx="6">
                  <c:v>17.144891844508805</c:v>
                </c:pt>
                <c:pt idx="7">
                  <c:v>8.6912835970861195</c:v>
                </c:pt>
                <c:pt idx="8">
                  <c:v>0.90402000384689229</c:v>
                </c:pt>
                <c:pt idx="9">
                  <c:v>2.3466051163685324</c:v>
                </c:pt>
                <c:pt idx="10">
                  <c:v>4.8663204462396683</c:v>
                </c:pt>
                <c:pt idx="11">
                  <c:v>12.790921331025219</c:v>
                </c:pt>
                <c:pt idx="12">
                  <c:v>13.021734949028689</c:v>
                </c:pt>
                <c:pt idx="13">
                  <c:v>15.060588574725946</c:v>
                </c:pt>
                <c:pt idx="14">
                  <c:v>6.231967686093502</c:v>
                </c:pt>
                <c:pt idx="15">
                  <c:v>4.5585689555683917</c:v>
                </c:pt>
                <c:pt idx="16">
                  <c:v>4.8556430446194287</c:v>
                </c:pt>
                <c:pt idx="17">
                  <c:v>16.254218222722191</c:v>
                </c:pt>
                <c:pt idx="18">
                  <c:v>33.145856767904071</c:v>
                </c:pt>
                <c:pt idx="19">
                  <c:v>51.410303510041082</c:v>
                </c:pt>
                <c:pt idx="20">
                  <c:v>71.526879847089845</c:v>
                </c:pt>
                <c:pt idx="21">
                  <c:v>87.160493827160451</c:v>
                </c:pt>
                <c:pt idx="22">
                  <c:v>97.373737373737342</c:v>
                </c:pt>
                <c:pt idx="23">
                  <c:v>99.191919191919169</c:v>
                </c:pt>
                <c:pt idx="24">
                  <c:v>99.7166135317038</c:v>
                </c:pt>
                <c:pt idx="25">
                  <c:v>99.7166135317038</c:v>
                </c:pt>
                <c:pt idx="26">
                  <c:v>99.526433725341462</c:v>
                </c:pt>
                <c:pt idx="27">
                  <c:v>96.38658367911485</c:v>
                </c:pt>
                <c:pt idx="28">
                  <c:v>96.38658367911485</c:v>
                </c:pt>
                <c:pt idx="29">
                  <c:v>96.576763485477201</c:v>
                </c:pt>
                <c:pt idx="30">
                  <c:v>100</c:v>
                </c:pt>
                <c:pt idx="31">
                  <c:v>95.646027707096437</c:v>
                </c:pt>
                <c:pt idx="32">
                  <c:v>95.646027707096437</c:v>
                </c:pt>
                <c:pt idx="33">
                  <c:v>92.555260883935262</c:v>
                </c:pt>
                <c:pt idx="34">
                  <c:v>67.912950648957846</c:v>
                </c:pt>
                <c:pt idx="35">
                  <c:v>34.57961731562451</c:v>
                </c:pt>
                <c:pt idx="36">
                  <c:v>10.04174879202953</c:v>
                </c:pt>
                <c:pt idx="37">
                  <c:v>5.7046979865771874</c:v>
                </c:pt>
                <c:pt idx="38">
                  <c:v>6.0391461471123167</c:v>
                </c:pt>
                <c:pt idx="39">
                  <c:v>0.33444816053512977</c:v>
                </c:pt>
                <c:pt idx="40">
                  <c:v>9.1154398960722798</c:v>
                </c:pt>
                <c:pt idx="41">
                  <c:v>17.940771349862228</c:v>
                </c:pt>
                <c:pt idx="42">
                  <c:v>26.170798898071563</c:v>
                </c:pt>
                <c:pt idx="43">
                  <c:v>17.389807162534414</c:v>
                </c:pt>
                <c:pt idx="44">
                  <c:v>9.3931059941385602</c:v>
                </c:pt>
                <c:pt idx="45">
                  <c:v>11.977233358079694</c:v>
                </c:pt>
                <c:pt idx="46">
                  <c:v>44.968821160393055</c:v>
                </c:pt>
                <c:pt idx="47">
                  <c:v>75.359527575021573</c:v>
                </c:pt>
                <c:pt idx="48">
                  <c:v>91.50420400417255</c:v>
                </c:pt>
                <c:pt idx="49">
                  <c:v>87.861885790172593</c:v>
                </c:pt>
                <c:pt idx="50">
                  <c:v>83.001328021248341</c:v>
                </c:pt>
                <c:pt idx="51">
                  <c:v>85.7901726427623</c:v>
                </c:pt>
                <c:pt idx="52">
                  <c:v>86.905710491367856</c:v>
                </c:pt>
                <c:pt idx="53">
                  <c:v>93.545816733067724</c:v>
                </c:pt>
                <c:pt idx="54">
                  <c:v>83.562329419333054</c:v>
                </c:pt>
                <c:pt idx="55">
                  <c:v>74.000799360511621</c:v>
                </c:pt>
                <c:pt idx="56">
                  <c:v>59.35251798561152</c:v>
                </c:pt>
                <c:pt idx="57">
                  <c:v>60.172330981605853</c:v>
                </c:pt>
                <c:pt idx="58">
                  <c:v>41.976879219538652</c:v>
                </c:pt>
                <c:pt idx="59">
                  <c:v>35.316584113448506</c:v>
                </c:pt>
                <c:pt idx="60">
                  <c:v>37.868450431827569</c:v>
                </c:pt>
                <c:pt idx="61">
                  <c:v>56.822870615974047</c:v>
                </c:pt>
                <c:pt idx="62">
                  <c:v>62.068965517241374</c:v>
                </c:pt>
                <c:pt idx="63">
                  <c:v>67.256115531977642</c:v>
                </c:pt>
                <c:pt idx="64">
                  <c:v>78.927203065134165</c:v>
                </c:pt>
                <c:pt idx="65">
                  <c:v>89.315342539593942</c:v>
                </c:pt>
                <c:pt idx="66">
                  <c:v>89.665570175438646</c:v>
                </c:pt>
                <c:pt idx="67">
                  <c:v>89.665570175438646</c:v>
                </c:pt>
                <c:pt idx="68">
                  <c:v>95.339912280701796</c:v>
                </c:pt>
                <c:pt idx="69">
                  <c:v>98.602659454586487</c:v>
                </c:pt>
                <c:pt idx="70">
                  <c:v>85.71106603560969</c:v>
                </c:pt>
                <c:pt idx="71">
                  <c:v>72.391255352715845</c:v>
                </c:pt>
                <c:pt idx="72">
                  <c:v>58.008950706719453</c:v>
                </c:pt>
                <c:pt idx="73">
                  <c:v>59.403716951377504</c:v>
                </c:pt>
                <c:pt idx="74">
                  <c:v>62.234539205753208</c:v>
                </c:pt>
                <c:pt idx="75">
                  <c:v>54.199328107502758</c:v>
                </c:pt>
                <c:pt idx="76">
                  <c:v>32.362821948488168</c:v>
                </c:pt>
                <c:pt idx="77">
                  <c:v>9.5184770436729718</c:v>
                </c:pt>
                <c:pt idx="78">
                  <c:v>0</c:v>
                </c:pt>
                <c:pt idx="79">
                  <c:v>3.3172080165860351</c:v>
                </c:pt>
                <c:pt idx="80">
                  <c:v>4.9527758580972261</c:v>
                </c:pt>
                <c:pt idx="81">
                  <c:v>17.553559087767805</c:v>
                </c:pt>
                <c:pt idx="82">
                  <c:v>26.149708471903818</c:v>
                </c:pt>
                <c:pt idx="83">
                  <c:v>30.860624335366893</c:v>
                </c:pt>
                <c:pt idx="84">
                  <c:v>24.606324810670586</c:v>
                </c:pt>
                <c:pt idx="85">
                  <c:v>21.583762149799924</c:v>
                </c:pt>
                <c:pt idx="86">
                  <c:v>32.990280160091551</c:v>
                </c:pt>
                <c:pt idx="87">
                  <c:v>35.191538021726792</c:v>
                </c:pt>
                <c:pt idx="88">
                  <c:v>51.063825276107046</c:v>
                </c:pt>
                <c:pt idx="89">
                  <c:v>66.644156894174486</c:v>
                </c:pt>
                <c:pt idx="90">
                  <c:v>91.429748660898284</c:v>
                </c:pt>
                <c:pt idx="91">
                  <c:v>97.711015736766853</c:v>
                </c:pt>
                <c:pt idx="92">
                  <c:v>97.711015736766853</c:v>
                </c:pt>
                <c:pt idx="93">
                  <c:v>97.711015736766853</c:v>
                </c:pt>
                <c:pt idx="94">
                  <c:v>100</c:v>
                </c:pt>
                <c:pt idx="95">
                  <c:v>99.599876885195457</c:v>
                </c:pt>
                <c:pt idx="96">
                  <c:v>99.599876885195457</c:v>
                </c:pt>
                <c:pt idx="97">
                  <c:v>99.599876885195457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99.556147359076817</c:v>
                </c:pt>
                <c:pt idx="102">
                  <c:v>99.556147359076817</c:v>
                </c:pt>
                <c:pt idx="103">
                  <c:v>99.556147359076817</c:v>
                </c:pt>
                <c:pt idx="104">
                  <c:v>97.783549783549788</c:v>
                </c:pt>
                <c:pt idx="105">
                  <c:v>97.783549783549788</c:v>
                </c:pt>
                <c:pt idx="106">
                  <c:v>97.783549783549788</c:v>
                </c:pt>
                <c:pt idx="107">
                  <c:v>100</c:v>
                </c:pt>
                <c:pt idx="108">
                  <c:v>100</c:v>
                </c:pt>
                <c:pt idx="109">
                  <c:v>88.792569659442748</c:v>
                </c:pt>
                <c:pt idx="110">
                  <c:v>79.937278082768884</c:v>
                </c:pt>
                <c:pt idx="111">
                  <c:v>79.937278082768884</c:v>
                </c:pt>
                <c:pt idx="112">
                  <c:v>91.144708423326122</c:v>
                </c:pt>
                <c:pt idx="113">
                  <c:v>100</c:v>
                </c:pt>
                <c:pt idx="114">
                  <c:v>100</c:v>
                </c:pt>
                <c:pt idx="115">
                  <c:v>90.875232774674146</c:v>
                </c:pt>
                <c:pt idx="116">
                  <c:v>72.732109603617999</c:v>
                </c:pt>
                <c:pt idx="117">
                  <c:v>49.853684490555985</c:v>
                </c:pt>
                <c:pt idx="118">
                  <c:v>25.645118382548493</c:v>
                </c:pt>
                <c:pt idx="119">
                  <c:v>10.454908220271314</c:v>
                </c:pt>
                <c:pt idx="120">
                  <c:v>3.4908471690080667</c:v>
                </c:pt>
                <c:pt idx="121">
                  <c:v>3.4908471690080667</c:v>
                </c:pt>
                <c:pt idx="122">
                  <c:v>4.4624910317881215</c:v>
                </c:pt>
                <c:pt idx="123">
                  <c:v>0.97164386278005432</c:v>
                </c:pt>
                <c:pt idx="124">
                  <c:v>0.97164386278005432</c:v>
                </c:pt>
                <c:pt idx="125">
                  <c:v>0</c:v>
                </c:pt>
                <c:pt idx="126">
                  <c:v>5.9440559440559531</c:v>
                </c:pt>
                <c:pt idx="127">
                  <c:v>5.9440559440559531</c:v>
                </c:pt>
                <c:pt idx="128">
                  <c:v>8.0418727509836234</c:v>
                </c:pt>
                <c:pt idx="129">
                  <c:v>2.0978168069276717</c:v>
                </c:pt>
                <c:pt idx="130">
                  <c:v>3.525702576066172</c:v>
                </c:pt>
                <c:pt idx="131">
                  <c:v>2.9484582199435239</c:v>
                </c:pt>
                <c:pt idx="132">
                  <c:v>3.1571642426030571</c:v>
                </c:pt>
                <c:pt idx="133">
                  <c:v>12.492546213476516</c:v>
                </c:pt>
                <c:pt idx="134">
                  <c:v>36.927440695207224</c:v>
                </c:pt>
                <c:pt idx="135">
                  <c:v>64.502051389064846</c:v>
                </c:pt>
                <c:pt idx="136">
                  <c:v>83.543408848414913</c:v>
                </c:pt>
                <c:pt idx="137">
                  <c:v>84.222710655911058</c:v>
                </c:pt>
                <c:pt idx="138">
                  <c:v>67.145135566188159</c:v>
                </c:pt>
                <c:pt idx="139">
                  <c:v>57.595693779904302</c:v>
                </c:pt>
                <c:pt idx="140">
                  <c:v>50.558213716108447</c:v>
                </c:pt>
                <c:pt idx="141">
                  <c:v>60.944976076555029</c:v>
                </c:pt>
                <c:pt idx="142">
                  <c:v>50.637958532695357</c:v>
                </c:pt>
                <c:pt idx="143">
                  <c:v>40.831582602739978</c:v>
                </c:pt>
                <c:pt idx="144">
                  <c:v>39.521949544329068</c:v>
                </c:pt>
                <c:pt idx="145">
                  <c:v>57.901085645355828</c:v>
                </c:pt>
                <c:pt idx="146">
                  <c:v>81.443506232408495</c:v>
                </c:pt>
                <c:pt idx="147">
                  <c:v>94.99396863691193</c:v>
                </c:pt>
                <c:pt idx="148">
                  <c:v>99.744647417010427</c:v>
                </c:pt>
                <c:pt idx="149">
                  <c:v>99.744647417010427</c:v>
                </c:pt>
                <c:pt idx="150">
                  <c:v>99.744647417010427</c:v>
                </c:pt>
                <c:pt idx="151">
                  <c:v>99.487179487179489</c:v>
                </c:pt>
                <c:pt idx="152">
                  <c:v>99.487179487179489</c:v>
                </c:pt>
                <c:pt idx="153">
                  <c:v>99.384457350559046</c:v>
                </c:pt>
                <c:pt idx="154">
                  <c:v>88.358157849683309</c:v>
                </c:pt>
                <c:pt idx="155">
                  <c:v>71.580208868344513</c:v>
                </c:pt>
                <c:pt idx="156">
                  <c:v>62.668363738469687</c:v>
                </c:pt>
                <c:pt idx="157">
                  <c:v>53.328109903178834</c:v>
                </c:pt>
                <c:pt idx="158">
                  <c:v>36.772725551184287</c:v>
                </c:pt>
                <c:pt idx="159">
                  <c:v>12.453959484346226</c:v>
                </c:pt>
                <c:pt idx="160">
                  <c:v>0</c:v>
                </c:pt>
                <c:pt idx="161">
                  <c:v>10.591900311526443</c:v>
                </c:pt>
                <c:pt idx="162">
                  <c:v>10.591900311526443</c:v>
                </c:pt>
                <c:pt idx="163">
                  <c:v>10.591900311526443</c:v>
                </c:pt>
                <c:pt idx="164">
                  <c:v>0</c:v>
                </c:pt>
                <c:pt idx="165">
                  <c:v>0</c:v>
                </c:pt>
                <c:pt idx="166">
                  <c:v>3.3993576017130653</c:v>
                </c:pt>
                <c:pt idx="167">
                  <c:v>7.8769695420115662</c:v>
                </c:pt>
                <c:pt idx="168">
                  <c:v>10.996787120784361</c:v>
                </c:pt>
                <c:pt idx="169">
                  <c:v>13.360281923714746</c:v>
                </c:pt>
                <c:pt idx="170">
                  <c:v>13.895712968558572</c:v>
                </c:pt>
                <c:pt idx="171">
                  <c:v>20.518438204802234</c:v>
                </c:pt>
                <c:pt idx="172">
                  <c:v>27.288193263014616</c:v>
                </c:pt>
                <c:pt idx="173">
                  <c:v>38.232959056368379</c:v>
                </c:pt>
                <c:pt idx="174">
                  <c:v>41.930361801066105</c:v>
                </c:pt>
                <c:pt idx="175">
                  <c:v>55.933334862554851</c:v>
                </c:pt>
                <c:pt idx="176">
                  <c:v>59.312152760135</c:v>
                </c:pt>
                <c:pt idx="177">
                  <c:v>75.159433735353758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0C-2042-B325-36971D7C0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7707856"/>
        <c:axId val="1703766848"/>
      </c:lineChart>
      <c:dateAx>
        <c:axId val="1557707856"/>
        <c:scaling>
          <c:orientation val="minMax"/>
        </c:scaling>
        <c:delete val="0"/>
        <c:axPos val="b"/>
        <c:numFmt formatCode="m/d/yy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766848"/>
        <c:crosses val="autoZero"/>
        <c:auto val="1"/>
        <c:lblOffset val="100"/>
        <c:baseTimeUnit val="days"/>
      </c:dateAx>
      <c:valAx>
        <c:axId val="170376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70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'Q6'!$D$2</c:f>
              <c:strCache>
                <c:ptCount val="1"/>
                <c:pt idx="0">
                  <c:v>Apple 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'Q6'!$E$2:$CU$2</c:f>
              <c:numCache>
                <c:formatCode>General</c:formatCode>
                <c:ptCount val="95"/>
                <c:pt idx="0">
                  <c:v>222.13</c:v>
                </c:pt>
                <c:pt idx="1">
                  <c:v>217.5867839293511</c:v>
                </c:pt>
                <c:pt idx="2">
                  <c:v>213.55295855629228</c:v>
                </c:pt>
                <c:pt idx="3">
                  <c:v>212.02465794480176</c:v>
                </c:pt>
                <c:pt idx="4">
                  <c:v>212.40832236474031</c:v>
                </c:pt>
                <c:pt idx="5">
                  <c:v>222.03448815155241</c:v>
                </c:pt>
                <c:pt idx="6">
                  <c:v>218.48631494667941</c:v>
                </c:pt>
                <c:pt idx="7">
                  <c:v>219.46785245663037</c:v>
                </c:pt>
                <c:pt idx="8">
                  <c:v>219.47202374728084</c:v>
                </c:pt>
                <c:pt idx="9">
                  <c:v>220.49667908280574</c:v>
                </c:pt>
                <c:pt idx="10">
                  <c:v>223.88536428417714</c:v>
                </c:pt>
                <c:pt idx="11">
                  <c:v>224.41026008620389</c:v>
                </c:pt>
                <c:pt idx="12">
                  <c:v>217.16437784856021</c:v>
                </c:pt>
                <c:pt idx="13">
                  <c:v>214.18535351627918</c:v>
                </c:pt>
                <c:pt idx="14">
                  <c:v>207.46289568781583</c:v>
                </c:pt>
                <c:pt idx="15">
                  <c:v>200.62836822643996</c:v>
                </c:pt>
                <c:pt idx="16">
                  <c:v>199.97727816434946</c:v>
                </c:pt>
                <c:pt idx="17">
                  <c:v>203.26053919244185</c:v>
                </c:pt>
                <c:pt idx="18">
                  <c:v>214.55811567108506</c:v>
                </c:pt>
                <c:pt idx="19">
                  <c:v>221.59029217326662</c:v>
                </c:pt>
                <c:pt idx="20">
                  <c:v>213.94194674099907</c:v>
                </c:pt>
                <c:pt idx="21">
                  <c:v>208.95993896711488</c:v>
                </c:pt>
                <c:pt idx="22">
                  <c:v>210.52965029359308</c:v>
                </c:pt>
                <c:pt idx="23">
                  <c:v>215.47426890774463</c:v>
                </c:pt>
                <c:pt idx="24">
                  <c:v>216.30513955819359</c:v>
                </c:pt>
                <c:pt idx="25">
                  <c:v>215.85629717399689</c:v>
                </c:pt>
                <c:pt idx="26">
                  <c:v>217.49297908921861</c:v>
                </c:pt>
                <c:pt idx="27">
                  <c:v>214.75890537892988</c:v>
                </c:pt>
                <c:pt idx="28">
                  <c:v>218.62088655609057</c:v>
                </c:pt>
                <c:pt idx="29">
                  <c:v>216.11780237782909</c:v>
                </c:pt>
                <c:pt idx="30">
                  <c:v>218.86417946172705</c:v>
                </c:pt>
                <c:pt idx="31">
                  <c:v>218.70450326121889</c:v>
                </c:pt>
                <c:pt idx="32">
                  <c:v>223.21556092756532</c:v>
                </c:pt>
                <c:pt idx="33">
                  <c:v>224.16053956042819</c:v>
                </c:pt>
                <c:pt idx="34">
                  <c:v>220.60385629805597</c:v>
                </c:pt>
                <c:pt idx="35">
                  <c:v>219.71865398391625</c:v>
                </c:pt>
                <c:pt idx="36">
                  <c:v>221.87890005891126</c:v>
                </c:pt>
                <c:pt idx="37">
                  <c:v>214.8248027448812</c:v>
                </c:pt>
                <c:pt idx="38">
                  <c:v>214.42588588558291</c:v>
                </c:pt>
                <c:pt idx="39">
                  <c:v>208.41917687420758</c:v>
                </c:pt>
                <c:pt idx="40">
                  <c:v>206.7992359501844</c:v>
                </c:pt>
                <c:pt idx="41">
                  <c:v>202.52781946121237</c:v>
                </c:pt>
                <c:pt idx="42">
                  <c:v>204.87663760364481</c:v>
                </c:pt>
                <c:pt idx="43">
                  <c:v>208.65343631008824</c:v>
                </c:pt>
                <c:pt idx="44">
                  <c:v>196.59673519152378</c:v>
                </c:pt>
                <c:pt idx="45">
                  <c:v>207.55308018398665</c:v>
                </c:pt>
                <c:pt idx="46">
                  <c:v>211.50521107386214</c:v>
                </c:pt>
                <c:pt idx="47">
                  <c:v>211.29928140621985</c:v>
                </c:pt>
                <c:pt idx="48">
                  <c:v>209.09467374882146</c:v>
                </c:pt>
                <c:pt idx="49">
                  <c:v>207.76775386295387</c:v>
                </c:pt>
                <c:pt idx="50">
                  <c:v>204.25576814570138</c:v>
                </c:pt>
                <c:pt idx="51">
                  <c:v>203.02560862592125</c:v>
                </c:pt>
                <c:pt idx="52">
                  <c:v>205.1206306555811</c:v>
                </c:pt>
                <c:pt idx="53">
                  <c:v>211.91978695104089</c:v>
                </c:pt>
                <c:pt idx="54">
                  <c:v>214.36832242363354</c:v>
                </c:pt>
                <c:pt idx="55">
                  <c:v>217.18549371556728</c:v>
                </c:pt>
                <c:pt idx="56">
                  <c:v>221.4736864741829</c:v>
                </c:pt>
                <c:pt idx="57">
                  <c:v>225.99992860671449</c:v>
                </c:pt>
                <c:pt idx="58">
                  <c:v>234.59549638346402</c:v>
                </c:pt>
                <c:pt idx="59">
                  <c:v>233.68350576598198</c:v>
                </c:pt>
                <c:pt idx="60">
                  <c:v>236.68999071757924</c:v>
                </c:pt>
                <c:pt idx="61">
                  <c:v>248.752320264362</c:v>
                </c:pt>
                <c:pt idx="62">
                  <c:v>249.60275756338265</c:v>
                </c:pt>
                <c:pt idx="63">
                  <c:v>252.25197237474302</c:v>
                </c:pt>
                <c:pt idx="64">
                  <c:v>248.17583265614238</c:v>
                </c:pt>
                <c:pt idx="65">
                  <c:v>250.12416687466191</c:v>
                </c:pt>
                <c:pt idx="66">
                  <c:v>233.51101437247942</c:v>
                </c:pt>
                <c:pt idx="67">
                  <c:v>243.67080495404474</c:v>
                </c:pt>
                <c:pt idx="68">
                  <c:v>241.88105368740887</c:v>
                </c:pt>
                <c:pt idx="69">
                  <c:v>243.26829576121412</c:v>
                </c:pt>
                <c:pt idx="70">
                  <c:v>240.68924488632322</c:v>
                </c:pt>
                <c:pt idx="71">
                  <c:v>240.61906735371954</c:v>
                </c:pt>
                <c:pt idx="72">
                  <c:v>240.20752313691438</c:v>
                </c:pt>
                <c:pt idx="73">
                  <c:v>244.01857124065216</c:v>
                </c:pt>
                <c:pt idx="74">
                  <c:v>240.78501974093066</c:v>
                </c:pt>
                <c:pt idx="75">
                  <c:v>248.75178364728006</c:v>
                </c:pt>
                <c:pt idx="76">
                  <c:v>249.04887943291138</c:v>
                </c:pt>
                <c:pt idx="77">
                  <c:v>256.04242932816499</c:v>
                </c:pt>
                <c:pt idx="78">
                  <c:v>257.72920249898931</c:v>
                </c:pt>
                <c:pt idx="79">
                  <c:v>252.97770496225382</c:v>
                </c:pt>
                <c:pt idx="80">
                  <c:v>263.18984903984489</c:v>
                </c:pt>
                <c:pt idx="81">
                  <c:v>261.28690069370526</c:v>
                </c:pt>
                <c:pt idx="82">
                  <c:v>267.35661596768381</c:v>
                </c:pt>
                <c:pt idx="83">
                  <c:v>265.98254696808294</c:v>
                </c:pt>
                <c:pt idx="84">
                  <c:v>263.03552737894063</c:v>
                </c:pt>
                <c:pt idx="85">
                  <c:v>261.0991090398536</c:v>
                </c:pt>
                <c:pt idx="86">
                  <c:v>262.23407778566661</c:v>
                </c:pt>
                <c:pt idx="87">
                  <c:v>274.41353182608026</c:v>
                </c:pt>
                <c:pt idx="88">
                  <c:v>275.04941394835072</c:v>
                </c:pt>
                <c:pt idx="89">
                  <c:v>279.85519936816848</c:v>
                </c:pt>
                <c:pt idx="90">
                  <c:v>265.66416612959182</c:v>
                </c:pt>
                <c:pt idx="91">
                  <c:v>255.44522126857581</c:v>
                </c:pt>
                <c:pt idx="92">
                  <c:v>260.20524370914194</c:v>
                </c:pt>
                <c:pt idx="93">
                  <c:v>259.96071831287998</c:v>
                </c:pt>
                <c:pt idx="94">
                  <c:v>250.679912771614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7F-DF44-934A-256531744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7587456"/>
        <c:axId val="1718169520"/>
      </c:lineChart>
      <c:catAx>
        <c:axId val="171758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169520"/>
        <c:crosses val="autoZero"/>
        <c:auto val="1"/>
        <c:lblAlgn val="ctr"/>
        <c:lblOffset val="100"/>
        <c:noMultiLvlLbl val="0"/>
      </c:catAx>
      <c:valAx>
        <c:axId val="171816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587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Monte Carlo Simulation of Apple Stock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'Q6'!$E$2:$CU$2</c:f>
              <c:numCache>
                <c:formatCode>General</c:formatCode>
                <c:ptCount val="95"/>
                <c:pt idx="0">
                  <c:v>222.13</c:v>
                </c:pt>
                <c:pt idx="1">
                  <c:v>217.5867839293511</c:v>
                </c:pt>
                <c:pt idx="2">
                  <c:v>213.55295855629228</c:v>
                </c:pt>
                <c:pt idx="3">
                  <c:v>212.02465794480176</c:v>
                </c:pt>
                <c:pt idx="4">
                  <c:v>212.40832236474031</c:v>
                </c:pt>
                <c:pt idx="5">
                  <c:v>222.03448815155241</c:v>
                </c:pt>
                <c:pt idx="6">
                  <c:v>218.48631494667941</c:v>
                </c:pt>
                <c:pt idx="7">
                  <c:v>219.46785245663037</c:v>
                </c:pt>
                <c:pt idx="8">
                  <c:v>219.47202374728084</c:v>
                </c:pt>
                <c:pt idx="9">
                  <c:v>220.49667908280574</c:v>
                </c:pt>
                <c:pt idx="10">
                  <c:v>223.88536428417714</c:v>
                </c:pt>
                <c:pt idx="11">
                  <c:v>224.41026008620389</c:v>
                </c:pt>
                <c:pt idx="12">
                  <c:v>217.16437784856021</c:v>
                </c:pt>
                <c:pt idx="13">
                  <c:v>214.18535351627918</c:v>
                </c:pt>
                <c:pt idx="14">
                  <c:v>207.46289568781583</c:v>
                </c:pt>
                <c:pt idx="15">
                  <c:v>200.62836822643996</c:v>
                </c:pt>
                <c:pt idx="16">
                  <c:v>199.97727816434946</c:v>
                </c:pt>
                <c:pt idx="17">
                  <c:v>203.26053919244185</c:v>
                </c:pt>
                <c:pt idx="18">
                  <c:v>214.55811567108506</c:v>
                </c:pt>
                <c:pt idx="19">
                  <c:v>221.59029217326662</c:v>
                </c:pt>
                <c:pt idx="20">
                  <c:v>213.94194674099907</c:v>
                </c:pt>
                <c:pt idx="21">
                  <c:v>208.95993896711488</c:v>
                </c:pt>
                <c:pt idx="22">
                  <c:v>210.52965029359308</c:v>
                </c:pt>
                <c:pt idx="23">
                  <c:v>215.47426890774463</c:v>
                </c:pt>
                <c:pt idx="24">
                  <c:v>216.30513955819359</c:v>
                </c:pt>
                <c:pt idx="25">
                  <c:v>215.85629717399689</c:v>
                </c:pt>
                <c:pt idx="26">
                  <c:v>217.49297908921861</c:v>
                </c:pt>
                <c:pt idx="27">
                  <c:v>214.75890537892988</c:v>
                </c:pt>
                <c:pt idx="28">
                  <c:v>218.62088655609057</c:v>
                </c:pt>
                <c:pt idx="29">
                  <c:v>216.11780237782909</c:v>
                </c:pt>
                <c:pt idx="30">
                  <c:v>218.86417946172705</c:v>
                </c:pt>
                <c:pt idx="31">
                  <c:v>218.70450326121889</c:v>
                </c:pt>
                <c:pt idx="32">
                  <c:v>223.21556092756532</c:v>
                </c:pt>
                <c:pt idx="33">
                  <c:v>224.16053956042819</c:v>
                </c:pt>
                <c:pt idx="34">
                  <c:v>220.60385629805597</c:v>
                </c:pt>
                <c:pt idx="35">
                  <c:v>219.71865398391625</c:v>
                </c:pt>
                <c:pt idx="36">
                  <c:v>221.87890005891126</c:v>
                </c:pt>
                <c:pt idx="37">
                  <c:v>214.8248027448812</c:v>
                </c:pt>
                <c:pt idx="38">
                  <c:v>214.42588588558291</c:v>
                </c:pt>
                <c:pt idx="39">
                  <c:v>208.41917687420758</c:v>
                </c:pt>
                <c:pt idx="40">
                  <c:v>206.7992359501844</c:v>
                </c:pt>
                <c:pt idx="41">
                  <c:v>202.52781946121237</c:v>
                </c:pt>
                <c:pt idx="42">
                  <c:v>204.87663760364481</c:v>
                </c:pt>
                <c:pt idx="43">
                  <c:v>208.65343631008824</c:v>
                </c:pt>
                <c:pt idx="44">
                  <c:v>196.59673519152378</c:v>
                </c:pt>
                <c:pt idx="45">
                  <c:v>207.55308018398665</c:v>
                </c:pt>
                <c:pt idx="46">
                  <c:v>211.50521107386214</c:v>
                </c:pt>
                <c:pt idx="47">
                  <c:v>211.29928140621985</c:v>
                </c:pt>
                <c:pt idx="48">
                  <c:v>209.09467374882146</c:v>
                </c:pt>
                <c:pt idx="49">
                  <c:v>207.76775386295387</c:v>
                </c:pt>
                <c:pt idx="50">
                  <c:v>204.25576814570138</c:v>
                </c:pt>
                <c:pt idx="51">
                  <c:v>203.02560862592125</c:v>
                </c:pt>
                <c:pt idx="52">
                  <c:v>205.1206306555811</c:v>
                </c:pt>
                <c:pt idx="53">
                  <c:v>211.91978695104089</c:v>
                </c:pt>
                <c:pt idx="54">
                  <c:v>214.36832242363354</c:v>
                </c:pt>
                <c:pt idx="55">
                  <c:v>217.18549371556728</c:v>
                </c:pt>
                <c:pt idx="56">
                  <c:v>221.4736864741829</c:v>
                </c:pt>
                <c:pt idx="57">
                  <c:v>225.99992860671449</c:v>
                </c:pt>
                <c:pt idx="58">
                  <c:v>234.59549638346402</c:v>
                </c:pt>
                <c:pt idx="59">
                  <c:v>233.68350576598198</c:v>
                </c:pt>
                <c:pt idx="60">
                  <c:v>236.68999071757924</c:v>
                </c:pt>
                <c:pt idx="61">
                  <c:v>248.752320264362</c:v>
                </c:pt>
                <c:pt idx="62">
                  <c:v>249.60275756338265</c:v>
                </c:pt>
                <c:pt idx="63">
                  <c:v>252.25197237474302</c:v>
                </c:pt>
                <c:pt idx="64">
                  <c:v>248.17583265614238</c:v>
                </c:pt>
                <c:pt idx="65">
                  <c:v>250.12416687466191</c:v>
                </c:pt>
                <c:pt idx="66">
                  <c:v>233.51101437247942</c:v>
                </c:pt>
                <c:pt idx="67">
                  <c:v>243.67080495404474</c:v>
                </c:pt>
                <c:pt idx="68">
                  <c:v>241.88105368740887</c:v>
                </c:pt>
                <c:pt idx="69">
                  <c:v>243.26829576121412</c:v>
                </c:pt>
                <c:pt idx="70">
                  <c:v>240.68924488632322</c:v>
                </c:pt>
                <c:pt idx="71">
                  <c:v>240.61906735371954</c:v>
                </c:pt>
                <c:pt idx="72">
                  <c:v>240.20752313691438</c:v>
                </c:pt>
                <c:pt idx="73">
                  <c:v>244.01857124065216</c:v>
                </c:pt>
                <c:pt idx="74">
                  <c:v>240.78501974093066</c:v>
                </c:pt>
                <c:pt idx="75">
                  <c:v>248.75178364728006</c:v>
                </c:pt>
                <c:pt idx="76">
                  <c:v>249.04887943291138</c:v>
                </c:pt>
                <c:pt idx="77">
                  <c:v>256.04242932816499</c:v>
                </c:pt>
                <c:pt idx="78">
                  <c:v>257.72920249898931</c:v>
                </c:pt>
                <c:pt idx="79">
                  <c:v>252.97770496225382</c:v>
                </c:pt>
                <c:pt idx="80">
                  <c:v>263.18984903984489</c:v>
                </c:pt>
                <c:pt idx="81">
                  <c:v>261.28690069370526</c:v>
                </c:pt>
                <c:pt idx="82">
                  <c:v>267.35661596768381</c:v>
                </c:pt>
                <c:pt idx="83">
                  <c:v>265.98254696808294</c:v>
                </c:pt>
                <c:pt idx="84">
                  <c:v>263.03552737894063</c:v>
                </c:pt>
                <c:pt idx="85">
                  <c:v>261.0991090398536</c:v>
                </c:pt>
                <c:pt idx="86">
                  <c:v>262.23407778566661</c:v>
                </c:pt>
                <c:pt idx="87">
                  <c:v>274.41353182608026</c:v>
                </c:pt>
                <c:pt idx="88">
                  <c:v>275.04941394835072</c:v>
                </c:pt>
                <c:pt idx="89">
                  <c:v>279.85519936816848</c:v>
                </c:pt>
                <c:pt idx="90">
                  <c:v>265.66416612959182</c:v>
                </c:pt>
                <c:pt idx="91">
                  <c:v>255.44522126857581</c:v>
                </c:pt>
                <c:pt idx="92">
                  <c:v>260.20524370914194</c:v>
                </c:pt>
                <c:pt idx="93">
                  <c:v>259.96071831287998</c:v>
                </c:pt>
                <c:pt idx="94">
                  <c:v>250.679912771614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74-FA46-A0A9-E06E8EA2867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'Q6'!$E$3:$CU$3</c:f>
              <c:numCache>
                <c:formatCode>General</c:formatCode>
                <c:ptCount val="95"/>
                <c:pt idx="0">
                  <c:v>222.13</c:v>
                </c:pt>
                <c:pt idx="1">
                  <c:v>221.89272845682325</c:v>
                </c:pt>
                <c:pt idx="2">
                  <c:v>223.57784358669528</c:v>
                </c:pt>
                <c:pt idx="3">
                  <c:v>228.72931906360472</c:v>
                </c:pt>
                <c:pt idx="4">
                  <c:v>228.42389523599067</c:v>
                </c:pt>
                <c:pt idx="5">
                  <c:v>229.26919758033068</c:v>
                </c:pt>
                <c:pt idx="6">
                  <c:v>233.03695982486417</c:v>
                </c:pt>
                <c:pt idx="7">
                  <c:v>230.53107865004236</c:v>
                </c:pt>
                <c:pt idx="8">
                  <c:v>230.8038534231932</c:v>
                </c:pt>
                <c:pt idx="9">
                  <c:v>235.41663204243642</c:v>
                </c:pt>
                <c:pt idx="10">
                  <c:v>233.95908886482226</c:v>
                </c:pt>
                <c:pt idx="11">
                  <c:v>232.14358487753205</c:v>
                </c:pt>
                <c:pt idx="12">
                  <c:v>241.79796353665873</c:v>
                </c:pt>
                <c:pt idx="13">
                  <c:v>249.73437030273075</c:v>
                </c:pt>
                <c:pt idx="14">
                  <c:v>253.70358195746527</c:v>
                </c:pt>
                <c:pt idx="15">
                  <c:v>245.27730966823236</c:v>
                </c:pt>
                <c:pt idx="16">
                  <c:v>250.23602785311974</c:v>
                </c:pt>
                <c:pt idx="17">
                  <c:v>240.33471063355316</c:v>
                </c:pt>
                <c:pt idx="18">
                  <c:v>239.95885287900927</c:v>
                </c:pt>
                <c:pt idx="19">
                  <c:v>246.24502476720542</c:v>
                </c:pt>
                <c:pt idx="20">
                  <c:v>242.60253366938389</c:v>
                </c:pt>
                <c:pt idx="21">
                  <c:v>243.57933362573451</c:v>
                </c:pt>
                <c:pt idx="22">
                  <c:v>242.6167039953381</c:v>
                </c:pt>
                <c:pt idx="23">
                  <c:v>243.85500678314452</c:v>
                </c:pt>
                <c:pt idx="24">
                  <c:v>246.44489211241282</c:v>
                </c:pt>
                <c:pt idx="25">
                  <c:v>248.97827295251773</c:v>
                </c:pt>
                <c:pt idx="26">
                  <c:v>246.21171795533863</c:v>
                </c:pt>
                <c:pt idx="27">
                  <c:v>244.35628152600589</c:v>
                </c:pt>
                <c:pt idx="28">
                  <c:v>238.36339639827145</c:v>
                </c:pt>
                <c:pt idx="29">
                  <c:v>231.78060385672083</c:v>
                </c:pt>
                <c:pt idx="30">
                  <c:v>223.68518827439215</c:v>
                </c:pt>
                <c:pt idx="31">
                  <c:v>227.29619644090855</c:v>
                </c:pt>
                <c:pt idx="32">
                  <c:v>225.76101950591112</c:v>
                </c:pt>
                <c:pt idx="33">
                  <c:v>227.76809026156798</c:v>
                </c:pt>
                <c:pt idx="34">
                  <c:v>233.86646800772428</c:v>
                </c:pt>
                <c:pt idx="35">
                  <c:v>230.70140682381893</c:v>
                </c:pt>
                <c:pt idx="36">
                  <c:v>244.02115430599133</c:v>
                </c:pt>
                <c:pt idx="37">
                  <c:v>253.20904222290426</c:v>
                </c:pt>
                <c:pt idx="38">
                  <c:v>249.22291872038633</c:v>
                </c:pt>
                <c:pt idx="39">
                  <c:v>251.79836735348266</c:v>
                </c:pt>
                <c:pt idx="40">
                  <c:v>246.14237290303407</c:v>
                </c:pt>
                <c:pt idx="41">
                  <c:v>243.38090702432757</c:v>
                </c:pt>
                <c:pt idx="42">
                  <c:v>253.13506826699199</c:v>
                </c:pt>
                <c:pt idx="43">
                  <c:v>255.8407652201879</c:v>
                </c:pt>
                <c:pt idx="44">
                  <c:v>249.79781928009569</c:v>
                </c:pt>
                <c:pt idx="45">
                  <c:v>252.55831722959113</c:v>
                </c:pt>
                <c:pt idx="46">
                  <c:v>257.77418173663648</c:v>
                </c:pt>
                <c:pt idx="47">
                  <c:v>249.44953383289871</c:v>
                </c:pt>
                <c:pt idx="48">
                  <c:v>250.86892528560776</c:v>
                </c:pt>
                <c:pt idx="49">
                  <c:v>243.75572107480414</c:v>
                </c:pt>
                <c:pt idx="50">
                  <c:v>247.35254239329103</c:v>
                </c:pt>
                <c:pt idx="51">
                  <c:v>251.55430751517312</c:v>
                </c:pt>
                <c:pt idx="52">
                  <c:v>265.92115606221921</c:v>
                </c:pt>
                <c:pt idx="53">
                  <c:v>260.57424755287457</c:v>
                </c:pt>
                <c:pt idx="54">
                  <c:v>264.22399590318759</c:v>
                </c:pt>
                <c:pt idx="55">
                  <c:v>269.19139731816398</c:v>
                </c:pt>
                <c:pt idx="56">
                  <c:v>275.84841095772475</c:v>
                </c:pt>
                <c:pt idx="57">
                  <c:v>262.66848665478932</c:v>
                </c:pt>
                <c:pt idx="58">
                  <c:v>268.33151437383412</c:v>
                </c:pt>
                <c:pt idx="59">
                  <c:v>274.29280098954774</c:v>
                </c:pt>
                <c:pt idx="60">
                  <c:v>277.80895657612325</c:v>
                </c:pt>
                <c:pt idx="61">
                  <c:v>272.37231863051409</c:v>
                </c:pt>
                <c:pt idx="62">
                  <c:v>275.24279859477957</c:v>
                </c:pt>
                <c:pt idx="63">
                  <c:v>280.15889510527887</c:v>
                </c:pt>
                <c:pt idx="64">
                  <c:v>275.13091837721043</c:v>
                </c:pt>
                <c:pt idx="65">
                  <c:v>283.42828638992495</c:v>
                </c:pt>
                <c:pt idx="66">
                  <c:v>275.01846315386655</c:v>
                </c:pt>
                <c:pt idx="67">
                  <c:v>278.74624849310868</c:v>
                </c:pt>
                <c:pt idx="68">
                  <c:v>274.59828528197733</c:v>
                </c:pt>
                <c:pt idx="69">
                  <c:v>287.63562650506395</c:v>
                </c:pt>
                <c:pt idx="70">
                  <c:v>277.19729274694174</c:v>
                </c:pt>
                <c:pt idx="71">
                  <c:v>284.07716217027001</c:v>
                </c:pt>
                <c:pt idx="72">
                  <c:v>272.48992998689636</c:v>
                </c:pt>
                <c:pt idx="73">
                  <c:v>269.0355387417107</c:v>
                </c:pt>
                <c:pt idx="74">
                  <c:v>268.19915832727804</c:v>
                </c:pt>
                <c:pt idx="75">
                  <c:v>272.09518881266564</c:v>
                </c:pt>
                <c:pt idx="76">
                  <c:v>267.26883609475124</c:v>
                </c:pt>
                <c:pt idx="77">
                  <c:v>277.44290482734687</c:v>
                </c:pt>
                <c:pt idx="78">
                  <c:v>279.3180447806061</c:v>
                </c:pt>
                <c:pt idx="79">
                  <c:v>286.39277715559365</c:v>
                </c:pt>
                <c:pt idx="80">
                  <c:v>293.04458331549847</c:v>
                </c:pt>
                <c:pt idx="81">
                  <c:v>288.46156971207779</c:v>
                </c:pt>
                <c:pt idx="82">
                  <c:v>283.90986128267241</c:v>
                </c:pt>
                <c:pt idx="83">
                  <c:v>282.60182172469484</c:v>
                </c:pt>
                <c:pt idx="84">
                  <c:v>284.27534777061317</c:v>
                </c:pt>
                <c:pt idx="85">
                  <c:v>287.81193449945658</c:v>
                </c:pt>
                <c:pt idx="86">
                  <c:v>292.42853503710859</c:v>
                </c:pt>
                <c:pt idx="87">
                  <c:v>302.37842860783957</c:v>
                </c:pt>
                <c:pt idx="88">
                  <c:v>311.86621846851585</c:v>
                </c:pt>
                <c:pt idx="89">
                  <c:v>312.58628904658957</c:v>
                </c:pt>
                <c:pt idx="90">
                  <c:v>305.16736470184361</c:v>
                </c:pt>
                <c:pt idx="91">
                  <c:v>316.74526524868247</c:v>
                </c:pt>
                <c:pt idx="92">
                  <c:v>320.66191543050803</c:v>
                </c:pt>
                <c:pt idx="93">
                  <c:v>328.92034027016706</c:v>
                </c:pt>
                <c:pt idx="94">
                  <c:v>328.52868586672543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74-FA46-A0A9-E06E8EA2867F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'Q6'!$E$4:$CU$4</c:f>
              <c:numCache>
                <c:formatCode>General</c:formatCode>
                <c:ptCount val="95"/>
                <c:pt idx="0">
                  <c:v>222.13</c:v>
                </c:pt>
                <c:pt idx="1">
                  <c:v>224.57431653003405</c:v>
                </c:pt>
                <c:pt idx="2">
                  <c:v>212.65358783142955</c:v>
                </c:pt>
                <c:pt idx="3">
                  <c:v>210.76505078037815</c:v>
                </c:pt>
                <c:pt idx="4">
                  <c:v>217.77259109212193</c:v>
                </c:pt>
                <c:pt idx="5">
                  <c:v>207.87210197517365</c:v>
                </c:pt>
                <c:pt idx="6">
                  <c:v>210.92816098602256</c:v>
                </c:pt>
                <c:pt idx="7">
                  <c:v>215.07842808457232</c:v>
                </c:pt>
                <c:pt idx="8">
                  <c:v>207.45742997424887</c:v>
                </c:pt>
                <c:pt idx="9">
                  <c:v>209.37602471006028</c:v>
                </c:pt>
                <c:pt idx="10">
                  <c:v>208.262936659015</c:v>
                </c:pt>
                <c:pt idx="11">
                  <c:v>215.83102619259543</c:v>
                </c:pt>
                <c:pt idx="12">
                  <c:v>210.6154104169751</c:v>
                </c:pt>
                <c:pt idx="13">
                  <c:v>220.56494536527913</c:v>
                </c:pt>
                <c:pt idx="14">
                  <c:v>221.4501153367888</c:v>
                </c:pt>
                <c:pt idx="15">
                  <c:v>224.92089941409785</c:v>
                </c:pt>
                <c:pt idx="16">
                  <c:v>226.7122755547243</c:v>
                </c:pt>
                <c:pt idx="17">
                  <c:v>225.15747055467168</c:v>
                </c:pt>
                <c:pt idx="18">
                  <c:v>225.39292506695426</c:v>
                </c:pt>
                <c:pt idx="19">
                  <c:v>217.77982135099953</c:v>
                </c:pt>
                <c:pt idx="20">
                  <c:v>223.39817619298685</c:v>
                </c:pt>
                <c:pt idx="21">
                  <c:v>220.25356442028476</c:v>
                </c:pt>
                <c:pt idx="22">
                  <c:v>221.42189275760973</c:v>
                </c:pt>
                <c:pt idx="23">
                  <c:v>220.0498159532136</c:v>
                </c:pt>
                <c:pt idx="24">
                  <c:v>216.52342212307079</c:v>
                </c:pt>
                <c:pt idx="25">
                  <c:v>214.04608659041844</c:v>
                </c:pt>
                <c:pt idx="26">
                  <c:v>214.02338039870753</c:v>
                </c:pt>
                <c:pt idx="27">
                  <c:v>208.34386152648818</c:v>
                </c:pt>
                <c:pt idx="28">
                  <c:v>214.68816113747079</c:v>
                </c:pt>
                <c:pt idx="29">
                  <c:v>214.11989060480948</c:v>
                </c:pt>
                <c:pt idx="30">
                  <c:v>208.55486300607532</c:v>
                </c:pt>
                <c:pt idx="31">
                  <c:v>203.7989442532959</c:v>
                </c:pt>
                <c:pt idx="32">
                  <c:v>216.11083172198812</c:v>
                </c:pt>
                <c:pt idx="33">
                  <c:v>217.25096234591126</c:v>
                </c:pt>
                <c:pt idx="34">
                  <c:v>220.62590309629346</c:v>
                </c:pt>
                <c:pt idx="35">
                  <c:v>221.70894545549362</c:v>
                </c:pt>
                <c:pt idx="36">
                  <c:v>222.59876235064877</c:v>
                </c:pt>
                <c:pt idx="37">
                  <c:v>230.27905375942416</c:v>
                </c:pt>
                <c:pt idx="38">
                  <c:v>238.30479799690212</c:v>
                </c:pt>
                <c:pt idx="39">
                  <c:v>237.45670187416445</c:v>
                </c:pt>
                <c:pt idx="40">
                  <c:v>239.20776689963697</c:v>
                </c:pt>
                <c:pt idx="41">
                  <c:v>238.8805150581444</c:v>
                </c:pt>
                <c:pt idx="42">
                  <c:v>224.84262965339516</c:v>
                </c:pt>
                <c:pt idx="43">
                  <c:v>230.56280331650117</c:v>
                </c:pt>
                <c:pt idx="44">
                  <c:v>235.87069928407448</c:v>
                </c:pt>
                <c:pt idx="45">
                  <c:v>238.66039271103767</c:v>
                </c:pt>
                <c:pt idx="46">
                  <c:v>242.00762967385461</c:v>
                </c:pt>
                <c:pt idx="47">
                  <c:v>242.31050936986614</c:v>
                </c:pt>
                <c:pt idx="48">
                  <c:v>242.72043849829291</c:v>
                </c:pt>
                <c:pt idx="49">
                  <c:v>238.7619403271535</c:v>
                </c:pt>
                <c:pt idx="50">
                  <c:v>234.30315980161319</c:v>
                </c:pt>
                <c:pt idx="51">
                  <c:v>231.99627322232749</c:v>
                </c:pt>
                <c:pt idx="52">
                  <c:v>231.6304477755603</c:v>
                </c:pt>
                <c:pt idx="53">
                  <c:v>232.80353668456132</c:v>
                </c:pt>
                <c:pt idx="54">
                  <c:v>226.65233928641683</c:v>
                </c:pt>
                <c:pt idx="55">
                  <c:v>225.69896732372317</c:v>
                </c:pt>
                <c:pt idx="56">
                  <c:v>225.68650934226704</c:v>
                </c:pt>
                <c:pt idx="57">
                  <c:v>230.89079452555438</c:v>
                </c:pt>
                <c:pt idx="58">
                  <c:v>230.55225619813365</c:v>
                </c:pt>
                <c:pt idx="59">
                  <c:v>230.23933103128769</c:v>
                </c:pt>
                <c:pt idx="60">
                  <c:v>237.32507780769865</c:v>
                </c:pt>
                <c:pt idx="61">
                  <c:v>237.63691925241849</c:v>
                </c:pt>
                <c:pt idx="62">
                  <c:v>245.9057308304462</c:v>
                </c:pt>
                <c:pt idx="63">
                  <c:v>246.66232116813603</c:v>
                </c:pt>
                <c:pt idx="64">
                  <c:v>237.0431948340127</c:v>
                </c:pt>
                <c:pt idx="65">
                  <c:v>243.09363946351345</c:v>
                </c:pt>
                <c:pt idx="66">
                  <c:v>235.29036218793127</c:v>
                </c:pt>
                <c:pt idx="67">
                  <c:v>246.22406719822101</c:v>
                </c:pt>
                <c:pt idx="68">
                  <c:v>247.24938468106808</c:v>
                </c:pt>
                <c:pt idx="69">
                  <c:v>241.0665633181525</c:v>
                </c:pt>
                <c:pt idx="70">
                  <c:v>244.16687110640666</c:v>
                </c:pt>
                <c:pt idx="71">
                  <c:v>240.87917465592906</c:v>
                </c:pt>
                <c:pt idx="72">
                  <c:v>239.81433697841732</c:v>
                </c:pt>
                <c:pt idx="73">
                  <c:v>242.44342132953341</c:v>
                </c:pt>
                <c:pt idx="74">
                  <c:v>245.83788559528469</c:v>
                </c:pt>
                <c:pt idx="75">
                  <c:v>244.07444530670006</c:v>
                </c:pt>
                <c:pt idx="76">
                  <c:v>235.99068524541772</c:v>
                </c:pt>
                <c:pt idx="77">
                  <c:v>241.41094277022131</c:v>
                </c:pt>
                <c:pt idx="78">
                  <c:v>249.21448189252064</c:v>
                </c:pt>
                <c:pt idx="79">
                  <c:v>249.56210739218278</c:v>
                </c:pt>
                <c:pt idx="80">
                  <c:v>251.40217658601929</c:v>
                </c:pt>
                <c:pt idx="81">
                  <c:v>256.58477528532183</c:v>
                </c:pt>
                <c:pt idx="82">
                  <c:v>254.11525404794443</c:v>
                </c:pt>
                <c:pt idx="83">
                  <c:v>256.61134825609929</c:v>
                </c:pt>
                <c:pt idx="84">
                  <c:v>251.15280188279175</c:v>
                </c:pt>
                <c:pt idx="85">
                  <c:v>254.73023444950911</c:v>
                </c:pt>
                <c:pt idx="86">
                  <c:v>247.2107414111</c:v>
                </c:pt>
                <c:pt idx="87">
                  <c:v>253.86651766166355</c:v>
                </c:pt>
                <c:pt idx="88">
                  <c:v>248.5496363438815</c:v>
                </c:pt>
                <c:pt idx="89">
                  <c:v>245.30552567081389</c:v>
                </c:pt>
                <c:pt idx="90">
                  <c:v>244.30836996327969</c:v>
                </c:pt>
                <c:pt idx="91">
                  <c:v>241.04293171789431</c:v>
                </c:pt>
                <c:pt idx="92">
                  <c:v>236.44035034995457</c:v>
                </c:pt>
                <c:pt idx="93">
                  <c:v>237.55155321410061</c:v>
                </c:pt>
                <c:pt idx="94">
                  <c:v>242.00967228874947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74-FA46-A0A9-E06E8EA2867F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'Q6'!$E$5:$CU$5</c:f>
              <c:numCache>
                <c:formatCode>General</c:formatCode>
                <c:ptCount val="95"/>
                <c:pt idx="0">
                  <c:v>222.13</c:v>
                </c:pt>
                <c:pt idx="1">
                  <c:v>213.72830330109014</c:v>
                </c:pt>
                <c:pt idx="2">
                  <c:v>208.95634889315642</c:v>
                </c:pt>
                <c:pt idx="3">
                  <c:v>214.07479463847457</c:v>
                </c:pt>
                <c:pt idx="4">
                  <c:v>217.91542921364587</c:v>
                </c:pt>
                <c:pt idx="5">
                  <c:v>211.29454680135638</c:v>
                </c:pt>
                <c:pt idx="6">
                  <c:v>213.63301944697906</c:v>
                </c:pt>
                <c:pt idx="7">
                  <c:v>217.78014273910398</c:v>
                </c:pt>
                <c:pt idx="8">
                  <c:v>230.46683823001717</c:v>
                </c:pt>
                <c:pt idx="9">
                  <c:v>224.18764976147727</c:v>
                </c:pt>
                <c:pt idx="10">
                  <c:v>229.36435513389125</c:v>
                </c:pt>
                <c:pt idx="11">
                  <c:v>230.65548814864371</c:v>
                </c:pt>
                <c:pt idx="12">
                  <c:v>233.85512336108147</c:v>
                </c:pt>
                <c:pt idx="13">
                  <c:v>226.82019559158533</c:v>
                </c:pt>
                <c:pt idx="14">
                  <c:v>219.03707549975604</c:v>
                </c:pt>
                <c:pt idx="15">
                  <c:v>209.42781982482671</c:v>
                </c:pt>
                <c:pt idx="16">
                  <c:v>204.57091363109009</c:v>
                </c:pt>
                <c:pt idx="17">
                  <c:v>201.90798666114077</c:v>
                </c:pt>
                <c:pt idx="18">
                  <c:v>204.7217963990808</c:v>
                </c:pt>
                <c:pt idx="19">
                  <c:v>211.28700628972481</c:v>
                </c:pt>
                <c:pt idx="20">
                  <c:v>218.58845323749676</c:v>
                </c:pt>
                <c:pt idx="21">
                  <c:v>213.21823954977424</c:v>
                </c:pt>
                <c:pt idx="22">
                  <c:v>221.55743483391521</c:v>
                </c:pt>
                <c:pt idx="23">
                  <c:v>225.3476764287478</c:v>
                </c:pt>
                <c:pt idx="24">
                  <c:v>220.31352009984954</c:v>
                </c:pt>
                <c:pt idx="25">
                  <c:v>214.69281133929849</c:v>
                </c:pt>
                <c:pt idx="26">
                  <c:v>213.83321097842784</c:v>
                </c:pt>
                <c:pt idx="27">
                  <c:v>208.90676895481349</c:v>
                </c:pt>
                <c:pt idx="28">
                  <c:v>207.35186309861442</c:v>
                </c:pt>
                <c:pt idx="29">
                  <c:v>212.39551902079484</c:v>
                </c:pt>
                <c:pt idx="30">
                  <c:v>224.16233333379648</c:v>
                </c:pt>
                <c:pt idx="31">
                  <c:v>219.8497240660929</c:v>
                </c:pt>
                <c:pt idx="32">
                  <c:v>220.68746093073582</c:v>
                </c:pt>
                <c:pt idx="33">
                  <c:v>222.19413120103329</c:v>
                </c:pt>
                <c:pt idx="34">
                  <c:v>229.92037209400942</c:v>
                </c:pt>
                <c:pt idx="35">
                  <c:v>241.4029656867387</c:v>
                </c:pt>
                <c:pt idx="36">
                  <c:v>247.17234569577533</c:v>
                </c:pt>
                <c:pt idx="37">
                  <c:v>240.25622633609905</c:v>
                </c:pt>
                <c:pt idx="38">
                  <c:v>245.30104261899177</c:v>
                </c:pt>
                <c:pt idx="39">
                  <c:v>242.9436306065715</c:v>
                </c:pt>
                <c:pt idx="40">
                  <c:v>249.73126156059013</c:v>
                </c:pt>
                <c:pt idx="41">
                  <c:v>252.10567552798088</c:v>
                </c:pt>
                <c:pt idx="42">
                  <c:v>260.0979238613026</c:v>
                </c:pt>
                <c:pt idx="43">
                  <c:v>267.98301914583072</c:v>
                </c:pt>
                <c:pt idx="44">
                  <c:v>262.00159466251228</c:v>
                </c:pt>
                <c:pt idx="45">
                  <c:v>252.21644107208687</c:v>
                </c:pt>
                <c:pt idx="46">
                  <c:v>252.40918882337263</c:v>
                </c:pt>
                <c:pt idx="47">
                  <c:v>258.59920005392667</c:v>
                </c:pt>
                <c:pt idx="48">
                  <c:v>251.01039639105457</c:v>
                </c:pt>
                <c:pt idx="49">
                  <c:v>243.4809397099643</c:v>
                </c:pt>
                <c:pt idx="50">
                  <c:v>244.53218138315123</c:v>
                </c:pt>
                <c:pt idx="51">
                  <c:v>238.68470278419341</c:v>
                </c:pt>
                <c:pt idx="52">
                  <c:v>242.38367269377579</c:v>
                </c:pt>
                <c:pt idx="53">
                  <c:v>239.00294260542415</c:v>
                </c:pt>
                <c:pt idx="54">
                  <c:v>235.39968892085702</c:v>
                </c:pt>
                <c:pt idx="55">
                  <c:v>230.66762699338935</c:v>
                </c:pt>
                <c:pt idx="56">
                  <c:v>235.78464492688093</c:v>
                </c:pt>
                <c:pt idx="57">
                  <c:v>242.03543455933513</c:v>
                </c:pt>
                <c:pt idx="58">
                  <c:v>241.36541141902796</c:v>
                </c:pt>
                <c:pt idx="59">
                  <c:v>232.83008599428197</c:v>
                </c:pt>
                <c:pt idx="60">
                  <c:v>228.52092185458045</c:v>
                </c:pt>
                <c:pt idx="61">
                  <c:v>229.8524434891811</c:v>
                </c:pt>
                <c:pt idx="62">
                  <c:v>241.15224877690883</c:v>
                </c:pt>
                <c:pt idx="63">
                  <c:v>235.4647856061076</c:v>
                </c:pt>
                <c:pt idx="64">
                  <c:v>239.87833377577783</c:v>
                </c:pt>
                <c:pt idx="65">
                  <c:v>226.93203426289685</c:v>
                </c:pt>
                <c:pt idx="66">
                  <c:v>219.20839641585266</c:v>
                </c:pt>
                <c:pt idx="67">
                  <c:v>221.78159584654557</c:v>
                </c:pt>
                <c:pt idx="68">
                  <c:v>211.85797962538027</c:v>
                </c:pt>
                <c:pt idx="69">
                  <c:v>214.6876104774413</c:v>
                </c:pt>
                <c:pt idx="70">
                  <c:v>213.91555272791544</c:v>
                </c:pt>
                <c:pt idx="71">
                  <c:v>214.92441206119895</c:v>
                </c:pt>
                <c:pt idx="72">
                  <c:v>204.93124235178661</c:v>
                </c:pt>
                <c:pt idx="73">
                  <c:v>205.37997895821607</c:v>
                </c:pt>
                <c:pt idx="74">
                  <c:v>208.22039439148082</c:v>
                </c:pt>
                <c:pt idx="75">
                  <c:v>201.22282674991365</c:v>
                </c:pt>
                <c:pt idx="76">
                  <c:v>206.08526413713335</c:v>
                </c:pt>
                <c:pt idx="77">
                  <c:v>204.79954859409446</c:v>
                </c:pt>
                <c:pt idx="78">
                  <c:v>206.8696851834149</c:v>
                </c:pt>
                <c:pt idx="79">
                  <c:v>210.65822998764762</c:v>
                </c:pt>
                <c:pt idx="80">
                  <c:v>213.49740601318121</c:v>
                </c:pt>
                <c:pt idx="81">
                  <c:v>215.82447529105491</c:v>
                </c:pt>
                <c:pt idx="82">
                  <c:v>220.25947101316765</c:v>
                </c:pt>
                <c:pt idx="83">
                  <c:v>222.85982202897901</c:v>
                </c:pt>
                <c:pt idx="84">
                  <c:v>224.60147579991627</c:v>
                </c:pt>
                <c:pt idx="85">
                  <c:v>222.92598870183522</c:v>
                </c:pt>
                <c:pt idx="86">
                  <c:v>220.64510456799906</c:v>
                </c:pt>
                <c:pt idx="87">
                  <c:v>216.55325365503066</c:v>
                </c:pt>
                <c:pt idx="88">
                  <c:v>217.77314589614099</c:v>
                </c:pt>
                <c:pt idx="89">
                  <c:v>217.94055933591869</c:v>
                </c:pt>
                <c:pt idx="90">
                  <c:v>225.88643747981553</c:v>
                </c:pt>
                <c:pt idx="91">
                  <c:v>237.35811137165445</c:v>
                </c:pt>
                <c:pt idx="92">
                  <c:v>239.44856154742189</c:v>
                </c:pt>
                <c:pt idx="93">
                  <c:v>234.19823407132395</c:v>
                </c:pt>
                <c:pt idx="94">
                  <c:v>239.60962444314217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474-FA46-A0A9-E06E8EA2867F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'Q6'!$E$6:$CU$6</c:f>
              <c:numCache>
                <c:formatCode>General</c:formatCode>
                <c:ptCount val="95"/>
                <c:pt idx="0">
                  <c:v>222.13</c:v>
                </c:pt>
                <c:pt idx="1">
                  <c:v>225.7176415675568</c:v>
                </c:pt>
                <c:pt idx="2">
                  <c:v>228.02300838105293</c:v>
                </c:pt>
                <c:pt idx="3">
                  <c:v>231.84640944015985</c:v>
                </c:pt>
                <c:pt idx="4">
                  <c:v>230.2293569399497</c:v>
                </c:pt>
                <c:pt idx="5">
                  <c:v>230.70411397447313</c:v>
                </c:pt>
                <c:pt idx="6">
                  <c:v>231.50331988959203</c:v>
                </c:pt>
                <c:pt idx="7">
                  <c:v>229.99707017679506</c:v>
                </c:pt>
                <c:pt idx="8">
                  <c:v>229.95282099789861</c:v>
                </c:pt>
                <c:pt idx="9">
                  <c:v>222.14183419507845</c:v>
                </c:pt>
                <c:pt idx="10">
                  <c:v>214.33194485781314</c:v>
                </c:pt>
                <c:pt idx="11">
                  <c:v>215.33365265107423</c:v>
                </c:pt>
                <c:pt idx="12">
                  <c:v>215.67210757847104</c:v>
                </c:pt>
                <c:pt idx="13">
                  <c:v>226.77794375063283</c:v>
                </c:pt>
                <c:pt idx="14">
                  <c:v>231.30018409482111</c:v>
                </c:pt>
                <c:pt idx="15">
                  <c:v>229.00792183603917</c:v>
                </c:pt>
                <c:pt idx="16">
                  <c:v>221.78232254744557</c:v>
                </c:pt>
                <c:pt idx="17">
                  <c:v>225.17503578391722</c:v>
                </c:pt>
                <c:pt idx="18">
                  <c:v>222.86408780935218</c:v>
                </c:pt>
                <c:pt idx="19">
                  <c:v>217.94881565008592</c:v>
                </c:pt>
                <c:pt idx="20">
                  <c:v>208.52319658414012</c:v>
                </c:pt>
                <c:pt idx="21">
                  <c:v>209.04545435992702</c:v>
                </c:pt>
                <c:pt idx="22">
                  <c:v>209.41626103092011</c:v>
                </c:pt>
                <c:pt idx="23">
                  <c:v>209.88153344108142</c:v>
                </c:pt>
                <c:pt idx="24">
                  <c:v>206.24704893683611</c:v>
                </c:pt>
                <c:pt idx="25">
                  <c:v>207.50582624664585</c:v>
                </c:pt>
                <c:pt idx="26">
                  <c:v>208.49623533770296</c:v>
                </c:pt>
                <c:pt idx="27">
                  <c:v>205.45382134366835</c:v>
                </c:pt>
                <c:pt idx="28">
                  <c:v>207.28149948102563</c:v>
                </c:pt>
                <c:pt idx="29">
                  <c:v>201.01465361113989</c:v>
                </c:pt>
                <c:pt idx="30">
                  <c:v>202.79474355419489</c:v>
                </c:pt>
                <c:pt idx="31">
                  <c:v>192.2112024463836</c:v>
                </c:pt>
                <c:pt idx="32">
                  <c:v>201.70638477495675</c:v>
                </c:pt>
                <c:pt idx="33">
                  <c:v>191.80376089065663</c:v>
                </c:pt>
                <c:pt idx="34">
                  <c:v>193.99089714324563</c:v>
                </c:pt>
                <c:pt idx="35">
                  <c:v>191.2305479465968</c:v>
                </c:pt>
                <c:pt idx="36">
                  <c:v>189.41799574543919</c:v>
                </c:pt>
                <c:pt idx="37">
                  <c:v>194.02231274357175</c:v>
                </c:pt>
                <c:pt idx="38">
                  <c:v>193.65182015363419</c:v>
                </c:pt>
                <c:pt idx="39">
                  <c:v>202.18542197656657</c:v>
                </c:pt>
                <c:pt idx="40">
                  <c:v>200.51380513766441</c:v>
                </c:pt>
                <c:pt idx="41">
                  <c:v>202.96677661365547</c:v>
                </c:pt>
                <c:pt idx="42">
                  <c:v>203.6626137258076</c:v>
                </c:pt>
                <c:pt idx="43">
                  <c:v>210.3686872674175</c:v>
                </c:pt>
                <c:pt idx="44">
                  <c:v>215.59664183708597</c:v>
                </c:pt>
                <c:pt idx="45">
                  <c:v>212.9989927252571</c:v>
                </c:pt>
                <c:pt idx="46">
                  <c:v>208.22193163463106</c:v>
                </c:pt>
                <c:pt idx="47">
                  <c:v>205.2028859101149</c:v>
                </c:pt>
                <c:pt idx="48">
                  <c:v>204.7655012189133</c:v>
                </c:pt>
                <c:pt idx="49">
                  <c:v>206.1834763522379</c:v>
                </c:pt>
                <c:pt idx="50">
                  <c:v>205.72715647262245</c:v>
                </c:pt>
                <c:pt idx="51">
                  <c:v>202.92489818892375</c:v>
                </c:pt>
                <c:pt idx="52">
                  <c:v>213.31004577920751</c:v>
                </c:pt>
                <c:pt idx="53">
                  <c:v>220.54100654301607</c:v>
                </c:pt>
                <c:pt idx="54">
                  <c:v>217.99042172322902</c:v>
                </c:pt>
                <c:pt idx="55">
                  <c:v>219.04804850687384</c:v>
                </c:pt>
                <c:pt idx="56">
                  <c:v>222.44689909625075</c:v>
                </c:pt>
                <c:pt idx="57">
                  <c:v>224.76669869504289</c:v>
                </c:pt>
                <c:pt idx="58">
                  <c:v>212.66599158243125</c:v>
                </c:pt>
                <c:pt idx="59">
                  <c:v>220.78765986226051</c:v>
                </c:pt>
                <c:pt idx="60">
                  <c:v>215.16378244086397</c:v>
                </c:pt>
                <c:pt idx="61">
                  <c:v>218.40310622929749</c:v>
                </c:pt>
                <c:pt idx="62">
                  <c:v>218.99012493757937</c:v>
                </c:pt>
                <c:pt idx="63">
                  <c:v>217.66373169220549</c:v>
                </c:pt>
                <c:pt idx="64">
                  <c:v>216.43719047512832</c:v>
                </c:pt>
                <c:pt idx="65">
                  <c:v>215.77463787373256</c:v>
                </c:pt>
                <c:pt idx="66">
                  <c:v>209.88679644275234</c:v>
                </c:pt>
                <c:pt idx="67">
                  <c:v>213.84338540629147</c:v>
                </c:pt>
                <c:pt idx="68">
                  <c:v>216.653667124132</c:v>
                </c:pt>
                <c:pt idx="69">
                  <c:v>230.2885648135576</c:v>
                </c:pt>
                <c:pt idx="70">
                  <c:v>227.8063122680413</c:v>
                </c:pt>
                <c:pt idx="71">
                  <c:v>225.11750529368473</c:v>
                </c:pt>
                <c:pt idx="72">
                  <c:v>222.25447442107202</c:v>
                </c:pt>
                <c:pt idx="73">
                  <c:v>215.30005022746644</c:v>
                </c:pt>
                <c:pt idx="74">
                  <c:v>211.57666991559333</c:v>
                </c:pt>
                <c:pt idx="75">
                  <c:v>209.23175474473743</c:v>
                </c:pt>
                <c:pt idx="76">
                  <c:v>214.21124089739425</c:v>
                </c:pt>
                <c:pt idx="77">
                  <c:v>202.39093985147574</c:v>
                </c:pt>
                <c:pt idx="78">
                  <c:v>196.55435076991031</c:v>
                </c:pt>
                <c:pt idx="79">
                  <c:v>195.03721912413977</c:v>
                </c:pt>
                <c:pt idx="80">
                  <c:v>192.17834555425188</c:v>
                </c:pt>
                <c:pt idx="81">
                  <c:v>189.11834304399605</c:v>
                </c:pt>
                <c:pt idx="82">
                  <c:v>192.1101974341222</c:v>
                </c:pt>
                <c:pt idx="83">
                  <c:v>184.49169171839333</c:v>
                </c:pt>
                <c:pt idx="84">
                  <c:v>184.15268110791834</c:v>
                </c:pt>
                <c:pt idx="85">
                  <c:v>183.07273270893339</c:v>
                </c:pt>
                <c:pt idx="86">
                  <c:v>184.94606630864502</c:v>
                </c:pt>
                <c:pt idx="87">
                  <c:v>184.31899692767382</c:v>
                </c:pt>
                <c:pt idx="88">
                  <c:v>174.1573657671199</c:v>
                </c:pt>
                <c:pt idx="89">
                  <c:v>175.28472395213259</c:v>
                </c:pt>
                <c:pt idx="90">
                  <c:v>176.65878714792791</c:v>
                </c:pt>
                <c:pt idx="91">
                  <c:v>179.06009202230669</c:v>
                </c:pt>
                <c:pt idx="92">
                  <c:v>175.46357006985804</c:v>
                </c:pt>
                <c:pt idx="93">
                  <c:v>177.11280312020588</c:v>
                </c:pt>
                <c:pt idx="94">
                  <c:v>181.51303332635754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474-FA46-A0A9-E06E8EA2867F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'Q6'!$E$7:$CU$7</c:f>
              <c:numCache>
                <c:formatCode>General</c:formatCode>
                <c:ptCount val="95"/>
                <c:pt idx="0">
                  <c:v>222.13</c:v>
                </c:pt>
                <c:pt idx="1">
                  <c:v>224.23379588694394</c:v>
                </c:pt>
                <c:pt idx="2">
                  <c:v>232.6954389851995</c:v>
                </c:pt>
                <c:pt idx="3">
                  <c:v>241.78549917680675</c:v>
                </c:pt>
                <c:pt idx="4">
                  <c:v>237.84421772362992</c:v>
                </c:pt>
                <c:pt idx="5">
                  <c:v>239.7862688919073</c:v>
                </c:pt>
                <c:pt idx="6">
                  <c:v>245.61652977361339</c:v>
                </c:pt>
                <c:pt idx="7">
                  <c:v>251.09091362461015</c:v>
                </c:pt>
                <c:pt idx="8">
                  <c:v>250.28450895159133</c:v>
                </c:pt>
                <c:pt idx="9">
                  <c:v>250.76620239201051</c:v>
                </c:pt>
                <c:pt idx="10">
                  <c:v>250.25440856198998</c:v>
                </c:pt>
                <c:pt idx="11">
                  <c:v>257.63427521412279</c:v>
                </c:pt>
                <c:pt idx="12">
                  <c:v>259.23814473971561</c:v>
                </c:pt>
                <c:pt idx="13">
                  <c:v>263.76044807482089</c:v>
                </c:pt>
                <c:pt idx="14">
                  <c:v>267.10609211421877</c:v>
                </c:pt>
                <c:pt idx="15">
                  <c:v>270.79087004947962</c:v>
                </c:pt>
                <c:pt idx="16">
                  <c:v>260.25500027149587</c:v>
                </c:pt>
                <c:pt idx="17">
                  <c:v>254.28374601481457</c:v>
                </c:pt>
                <c:pt idx="18">
                  <c:v>256.16227044674861</c:v>
                </c:pt>
                <c:pt idx="19">
                  <c:v>261.42521884231093</c:v>
                </c:pt>
                <c:pt idx="20">
                  <c:v>260.8980296148813</c:v>
                </c:pt>
                <c:pt idx="21">
                  <c:v>265.3478890444124</c:v>
                </c:pt>
                <c:pt idx="22">
                  <c:v>266.95476680773527</c:v>
                </c:pt>
                <c:pt idx="23">
                  <c:v>265.0611918667592</c:v>
                </c:pt>
                <c:pt idx="24">
                  <c:v>260.43995244358564</c:v>
                </c:pt>
                <c:pt idx="25">
                  <c:v>259.76890170549956</c:v>
                </c:pt>
                <c:pt idx="26">
                  <c:v>264.3118816575859</c:v>
                </c:pt>
                <c:pt idx="27">
                  <c:v>266.03216200400811</c:v>
                </c:pt>
                <c:pt idx="28">
                  <c:v>263.50136917642578</c:v>
                </c:pt>
                <c:pt idx="29">
                  <c:v>269.61556101743849</c:v>
                </c:pt>
                <c:pt idx="30">
                  <c:v>257.51157477163963</c:v>
                </c:pt>
                <c:pt idx="31">
                  <c:v>258.43142736735666</c:v>
                </c:pt>
                <c:pt idx="32">
                  <c:v>257.52199263743427</c:v>
                </c:pt>
                <c:pt idx="33">
                  <c:v>254.37027080871519</c:v>
                </c:pt>
                <c:pt idx="34">
                  <c:v>251.02181837087127</c:v>
                </c:pt>
                <c:pt idx="35">
                  <c:v>250.78420159733761</c:v>
                </c:pt>
                <c:pt idx="36">
                  <c:v>251.02052594871736</c:v>
                </c:pt>
                <c:pt idx="37">
                  <c:v>241.79155364747982</c:v>
                </c:pt>
                <c:pt idx="38">
                  <c:v>238.98690664421687</c:v>
                </c:pt>
                <c:pt idx="39">
                  <c:v>250.22118634804286</c:v>
                </c:pt>
                <c:pt idx="40">
                  <c:v>252.65774687104755</c:v>
                </c:pt>
                <c:pt idx="41">
                  <c:v>249.87692542614104</c:v>
                </c:pt>
                <c:pt idx="42">
                  <c:v>248.0827302266967</c:v>
                </c:pt>
                <c:pt idx="43">
                  <c:v>241.84490574510403</c:v>
                </c:pt>
                <c:pt idx="44">
                  <c:v>236.13858303664958</c:v>
                </c:pt>
                <c:pt idx="45">
                  <c:v>235.38258139406426</c:v>
                </c:pt>
                <c:pt idx="46">
                  <c:v>237.97799684309282</c:v>
                </c:pt>
                <c:pt idx="47">
                  <c:v>234.73487119146867</c:v>
                </c:pt>
                <c:pt idx="48">
                  <c:v>231.21049410730305</c:v>
                </c:pt>
                <c:pt idx="49">
                  <c:v>229.6797927886827</c:v>
                </c:pt>
                <c:pt idx="50">
                  <c:v>242.4072502255982</c:v>
                </c:pt>
                <c:pt idx="51">
                  <c:v>229.74014765404851</c:v>
                </c:pt>
                <c:pt idx="52">
                  <c:v>227.99791126414348</c:v>
                </c:pt>
                <c:pt idx="53">
                  <c:v>221.10615155155651</c:v>
                </c:pt>
                <c:pt idx="54">
                  <c:v>223.83537518779536</c:v>
                </c:pt>
                <c:pt idx="55">
                  <c:v>220.39369313234721</c:v>
                </c:pt>
                <c:pt idx="56">
                  <c:v>222.8545803899772</c:v>
                </c:pt>
                <c:pt idx="57">
                  <c:v>229.09597487680279</c:v>
                </c:pt>
                <c:pt idx="58">
                  <c:v>227.35650814017822</c:v>
                </c:pt>
                <c:pt idx="59">
                  <c:v>231.48055013352581</c:v>
                </c:pt>
                <c:pt idx="60">
                  <c:v>224.84550716926671</c:v>
                </c:pt>
                <c:pt idx="61">
                  <c:v>222.21035397569264</c:v>
                </c:pt>
                <c:pt idx="62">
                  <c:v>222.26422239867802</c:v>
                </c:pt>
                <c:pt idx="63">
                  <c:v>221.06240445596575</c:v>
                </c:pt>
                <c:pt idx="64">
                  <c:v>211.67515324748197</c:v>
                </c:pt>
                <c:pt idx="65">
                  <c:v>210.67217680910454</c:v>
                </c:pt>
                <c:pt idx="66">
                  <c:v>211.79071137026907</c:v>
                </c:pt>
                <c:pt idx="67">
                  <c:v>218.93694918064276</c:v>
                </c:pt>
                <c:pt idx="68">
                  <c:v>215.16310368610291</c:v>
                </c:pt>
                <c:pt idx="69">
                  <c:v>215.94196896464911</c:v>
                </c:pt>
                <c:pt idx="70">
                  <c:v>211.20052962045915</c:v>
                </c:pt>
                <c:pt idx="71">
                  <c:v>206.90308423491416</c:v>
                </c:pt>
                <c:pt idx="72">
                  <c:v>204.47371776969041</c:v>
                </c:pt>
                <c:pt idx="73">
                  <c:v>205.78029787466193</c:v>
                </c:pt>
                <c:pt idx="74">
                  <c:v>207.58982098056438</c:v>
                </c:pt>
                <c:pt idx="75">
                  <c:v>207.62299299256722</c:v>
                </c:pt>
                <c:pt idx="76">
                  <c:v>209.90451647483613</c:v>
                </c:pt>
                <c:pt idx="77">
                  <c:v>210.87528703765895</c:v>
                </c:pt>
                <c:pt idx="78">
                  <c:v>217.71490693637728</c:v>
                </c:pt>
                <c:pt idx="79">
                  <c:v>220.0551257545188</c:v>
                </c:pt>
                <c:pt idx="80">
                  <c:v>218.61003603144735</c:v>
                </c:pt>
                <c:pt idx="81">
                  <c:v>216.88174930518892</c:v>
                </c:pt>
                <c:pt idx="82">
                  <c:v>214.28340708200059</c:v>
                </c:pt>
                <c:pt idx="83">
                  <c:v>221.81582204474986</c:v>
                </c:pt>
                <c:pt idx="84">
                  <c:v>227.39902990751796</c:v>
                </c:pt>
                <c:pt idx="85">
                  <c:v>226.57270914045293</c:v>
                </c:pt>
                <c:pt idx="86">
                  <c:v>236.860368573632</c:v>
                </c:pt>
                <c:pt idx="87">
                  <c:v>240.51410065263133</c:v>
                </c:pt>
                <c:pt idx="88">
                  <c:v>237.04778790295524</c:v>
                </c:pt>
                <c:pt idx="89">
                  <c:v>234.03524534187702</c:v>
                </c:pt>
                <c:pt idx="90">
                  <c:v>236.79329570033181</c:v>
                </c:pt>
                <c:pt idx="91">
                  <c:v>226.41433161145474</c:v>
                </c:pt>
                <c:pt idx="92">
                  <c:v>229.53990670915803</c:v>
                </c:pt>
                <c:pt idx="93">
                  <c:v>227.82027332468155</c:v>
                </c:pt>
                <c:pt idx="94">
                  <c:v>231.56596010373428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474-FA46-A0A9-E06E8EA2867F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'Q6'!$E$8:$CU$8</c:f>
              <c:numCache>
                <c:formatCode>General</c:formatCode>
                <c:ptCount val="95"/>
                <c:pt idx="0">
                  <c:v>222.13</c:v>
                </c:pt>
                <c:pt idx="1">
                  <c:v>230.80102621967512</c:v>
                </c:pt>
                <c:pt idx="2">
                  <c:v>230.99029155060677</c:v>
                </c:pt>
                <c:pt idx="3">
                  <c:v>237.04773782007209</c:v>
                </c:pt>
                <c:pt idx="4">
                  <c:v>236.95048708686326</c:v>
                </c:pt>
                <c:pt idx="5">
                  <c:v>240.36582863700679</c:v>
                </c:pt>
                <c:pt idx="6">
                  <c:v>238.96421459480777</c:v>
                </c:pt>
                <c:pt idx="7">
                  <c:v>232.39567947078172</c:v>
                </c:pt>
                <c:pt idx="8">
                  <c:v>230.28757026242093</c:v>
                </c:pt>
                <c:pt idx="9">
                  <c:v>228.88202722984471</c:v>
                </c:pt>
                <c:pt idx="10">
                  <c:v>231.92951995616792</c:v>
                </c:pt>
                <c:pt idx="11">
                  <c:v>231.02839633936654</c:v>
                </c:pt>
                <c:pt idx="12">
                  <c:v>214.86017114198324</c:v>
                </c:pt>
                <c:pt idx="13">
                  <c:v>220.2519928948991</c:v>
                </c:pt>
                <c:pt idx="14">
                  <c:v>229.23540851314135</c:v>
                </c:pt>
                <c:pt idx="15">
                  <c:v>238.02229121685784</c:v>
                </c:pt>
                <c:pt idx="16">
                  <c:v>240.41767305266387</c:v>
                </c:pt>
                <c:pt idx="17">
                  <c:v>244.40608288742999</c:v>
                </c:pt>
                <c:pt idx="18">
                  <c:v>245.72845572034245</c:v>
                </c:pt>
                <c:pt idx="19">
                  <c:v>246.83474412264076</c:v>
                </c:pt>
                <c:pt idx="20">
                  <c:v>246.14124859355877</c:v>
                </c:pt>
                <c:pt idx="21">
                  <c:v>250.57966584260353</c:v>
                </c:pt>
                <c:pt idx="22">
                  <c:v>244.75168918473213</c:v>
                </c:pt>
                <c:pt idx="23">
                  <c:v>241.34130726766512</c:v>
                </c:pt>
                <c:pt idx="24">
                  <c:v>241.44683051423954</c:v>
                </c:pt>
                <c:pt idx="25">
                  <c:v>243.25367939411083</c:v>
                </c:pt>
                <c:pt idx="26">
                  <c:v>246.6045778202959</c:v>
                </c:pt>
                <c:pt idx="27">
                  <c:v>244.93563341997233</c:v>
                </c:pt>
                <c:pt idx="28">
                  <c:v>245.1969581638713</c:v>
                </c:pt>
                <c:pt idx="29">
                  <c:v>243.53832048490079</c:v>
                </c:pt>
                <c:pt idx="30">
                  <c:v>243.72160991166504</c:v>
                </c:pt>
                <c:pt idx="31">
                  <c:v>242.15623086890375</c:v>
                </c:pt>
                <c:pt idx="32">
                  <c:v>239.32832884938591</c:v>
                </c:pt>
                <c:pt idx="33">
                  <c:v>234.24950113116776</c:v>
                </c:pt>
                <c:pt idx="34">
                  <c:v>233.57859662372678</c:v>
                </c:pt>
                <c:pt idx="35">
                  <c:v>236.46605802268843</c:v>
                </c:pt>
                <c:pt idx="36">
                  <c:v>229.05517670910805</c:v>
                </c:pt>
                <c:pt idx="37">
                  <c:v>239.12890056092965</c:v>
                </c:pt>
                <c:pt idx="38">
                  <c:v>245.03905170025493</c:v>
                </c:pt>
                <c:pt idx="39">
                  <c:v>238.49905496592376</c:v>
                </c:pt>
                <c:pt idx="40">
                  <c:v>241.70749663283055</c:v>
                </c:pt>
                <c:pt idx="41">
                  <c:v>237.16509115327202</c:v>
                </c:pt>
                <c:pt idx="42">
                  <c:v>245.50023182537319</c:v>
                </c:pt>
                <c:pt idx="43">
                  <c:v>258.3305448444633</c:v>
                </c:pt>
                <c:pt idx="44">
                  <c:v>260.19071253474374</c:v>
                </c:pt>
                <c:pt idx="45">
                  <c:v>261.92265436478851</c:v>
                </c:pt>
                <c:pt idx="46">
                  <c:v>267.89153214174695</c:v>
                </c:pt>
                <c:pt idx="47">
                  <c:v>274.22117341633913</c:v>
                </c:pt>
                <c:pt idx="48">
                  <c:v>282.50593841644974</c:v>
                </c:pt>
                <c:pt idx="49">
                  <c:v>279.50042856286478</c:v>
                </c:pt>
                <c:pt idx="50">
                  <c:v>276.54094202337473</c:v>
                </c:pt>
                <c:pt idx="51">
                  <c:v>274.2095015119362</c:v>
                </c:pt>
                <c:pt idx="52">
                  <c:v>277.76744580276477</c:v>
                </c:pt>
                <c:pt idx="53">
                  <c:v>275.24343294702362</c:v>
                </c:pt>
                <c:pt idx="54">
                  <c:v>276.40418362789876</c:v>
                </c:pt>
                <c:pt idx="55">
                  <c:v>286.55700582946179</c:v>
                </c:pt>
                <c:pt idx="56">
                  <c:v>293.72286292873457</c:v>
                </c:pt>
                <c:pt idx="57">
                  <c:v>281.55008772323237</c:v>
                </c:pt>
                <c:pt idx="58">
                  <c:v>294.64020529808033</c:v>
                </c:pt>
                <c:pt idx="59">
                  <c:v>292.57020040186035</c:v>
                </c:pt>
                <c:pt idx="60">
                  <c:v>284.13753898806652</c:v>
                </c:pt>
                <c:pt idx="61">
                  <c:v>289.08153107461283</c:v>
                </c:pt>
                <c:pt idx="62">
                  <c:v>285.91039830620934</c:v>
                </c:pt>
                <c:pt idx="63">
                  <c:v>281.41414181100259</c:v>
                </c:pt>
                <c:pt idx="64">
                  <c:v>272.50955499503027</c:v>
                </c:pt>
                <c:pt idx="65">
                  <c:v>268.92290463241318</c:v>
                </c:pt>
                <c:pt idx="66">
                  <c:v>267.85436439025233</c:v>
                </c:pt>
                <c:pt idx="67">
                  <c:v>284.91480186788442</c:v>
                </c:pt>
                <c:pt idx="68">
                  <c:v>287.50163583069394</c:v>
                </c:pt>
                <c:pt idx="69">
                  <c:v>286.87905985475055</c:v>
                </c:pt>
                <c:pt idx="70">
                  <c:v>284.00953098223107</c:v>
                </c:pt>
                <c:pt idx="71">
                  <c:v>294.71685501661079</c:v>
                </c:pt>
                <c:pt idx="72">
                  <c:v>287.07906320905744</c:v>
                </c:pt>
                <c:pt idx="73">
                  <c:v>293.14225951510872</c:v>
                </c:pt>
                <c:pt idx="74">
                  <c:v>291.52988589929214</c:v>
                </c:pt>
                <c:pt idx="75">
                  <c:v>296.76550483792829</c:v>
                </c:pt>
                <c:pt idx="76">
                  <c:v>292.98772337494768</c:v>
                </c:pt>
                <c:pt idx="77">
                  <c:v>290.82196775913866</c:v>
                </c:pt>
                <c:pt idx="78">
                  <c:v>287.1009006765612</c:v>
                </c:pt>
                <c:pt idx="79">
                  <c:v>288.86304165379869</c:v>
                </c:pt>
                <c:pt idx="80">
                  <c:v>293.78788290114051</c:v>
                </c:pt>
                <c:pt idx="81">
                  <c:v>293.3694538815825</c:v>
                </c:pt>
                <c:pt idx="82">
                  <c:v>284.94482962201721</c:v>
                </c:pt>
                <c:pt idx="83">
                  <c:v>291.88333830314792</c:v>
                </c:pt>
                <c:pt idx="84">
                  <c:v>293.15420673989723</c:v>
                </c:pt>
                <c:pt idx="85">
                  <c:v>289.81152185775284</c:v>
                </c:pt>
                <c:pt idx="86">
                  <c:v>289.0076946371928</c:v>
                </c:pt>
                <c:pt idx="87">
                  <c:v>288.28145579468207</c:v>
                </c:pt>
                <c:pt idx="88">
                  <c:v>290.30418160326082</c:v>
                </c:pt>
                <c:pt idx="89">
                  <c:v>293.39623061796226</c:v>
                </c:pt>
                <c:pt idx="90">
                  <c:v>302.40946061347853</c:v>
                </c:pt>
                <c:pt idx="91">
                  <c:v>290.95283178830999</c:v>
                </c:pt>
                <c:pt idx="92">
                  <c:v>289.7606370648283</c:v>
                </c:pt>
                <c:pt idx="93">
                  <c:v>279.62857862016375</c:v>
                </c:pt>
                <c:pt idx="94">
                  <c:v>275.54042120476606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474-FA46-A0A9-E06E8EA2867F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'Q6'!$E$9:$CU$9</c:f>
              <c:numCache>
                <c:formatCode>General</c:formatCode>
                <c:ptCount val="95"/>
                <c:pt idx="0">
                  <c:v>222.13</c:v>
                </c:pt>
                <c:pt idx="1">
                  <c:v>229.1993181280574</c:v>
                </c:pt>
                <c:pt idx="2">
                  <c:v>227.83000203143595</c:v>
                </c:pt>
                <c:pt idx="3">
                  <c:v>225.71528444560172</c:v>
                </c:pt>
                <c:pt idx="4">
                  <c:v>216.60440998842878</c:v>
                </c:pt>
                <c:pt idx="5">
                  <c:v>215.54887589496926</c:v>
                </c:pt>
                <c:pt idx="6">
                  <c:v>221.1040004678984</c:v>
                </c:pt>
                <c:pt idx="7">
                  <c:v>217.46904409958287</c:v>
                </c:pt>
                <c:pt idx="8">
                  <c:v>215.89532929471594</c:v>
                </c:pt>
                <c:pt idx="9">
                  <c:v>211.98286982410647</c:v>
                </c:pt>
                <c:pt idx="10">
                  <c:v>219.76258979741857</c:v>
                </c:pt>
                <c:pt idx="11">
                  <c:v>218.04455139829034</c:v>
                </c:pt>
                <c:pt idx="12">
                  <c:v>217.84827555880523</c:v>
                </c:pt>
                <c:pt idx="13">
                  <c:v>214.86708090894058</c:v>
                </c:pt>
                <c:pt idx="14">
                  <c:v>210.19477384753461</c:v>
                </c:pt>
                <c:pt idx="15">
                  <c:v>203.24217733198827</c:v>
                </c:pt>
                <c:pt idx="16">
                  <c:v>205.91905371710416</c:v>
                </c:pt>
                <c:pt idx="17">
                  <c:v>202.02280484551332</c:v>
                </c:pt>
                <c:pt idx="18">
                  <c:v>207.21201637420202</c:v>
                </c:pt>
                <c:pt idx="19">
                  <c:v>212.53416106786892</c:v>
                </c:pt>
                <c:pt idx="20">
                  <c:v>213.98610511253713</c:v>
                </c:pt>
                <c:pt idx="21">
                  <c:v>203.40667434643078</c:v>
                </c:pt>
                <c:pt idx="22">
                  <c:v>201.59532007500002</c:v>
                </c:pt>
                <c:pt idx="23">
                  <c:v>204.4971473977611</c:v>
                </c:pt>
                <c:pt idx="24">
                  <c:v>188.26019530789438</c:v>
                </c:pt>
                <c:pt idx="25">
                  <c:v>183.57804311650278</c:v>
                </c:pt>
                <c:pt idx="26">
                  <c:v>183.90787147105473</c:v>
                </c:pt>
                <c:pt idx="27">
                  <c:v>181.16204306248221</c:v>
                </c:pt>
                <c:pt idx="28">
                  <c:v>181.90762282488879</c:v>
                </c:pt>
                <c:pt idx="29">
                  <c:v>182.20790904580522</c:v>
                </c:pt>
                <c:pt idx="30">
                  <c:v>186.64136999700651</c:v>
                </c:pt>
                <c:pt idx="31">
                  <c:v>187.68605449578277</c:v>
                </c:pt>
                <c:pt idx="32">
                  <c:v>183.97199905756338</c:v>
                </c:pt>
                <c:pt idx="33">
                  <c:v>185.54530182909744</c:v>
                </c:pt>
                <c:pt idx="34">
                  <c:v>188.77390348784729</c:v>
                </c:pt>
                <c:pt idx="35">
                  <c:v>184.21481087629164</c:v>
                </c:pt>
                <c:pt idx="36">
                  <c:v>187.08275019284059</c:v>
                </c:pt>
                <c:pt idx="37">
                  <c:v>186.26091118609784</c:v>
                </c:pt>
                <c:pt idx="38">
                  <c:v>185.25613279967681</c:v>
                </c:pt>
                <c:pt idx="39">
                  <c:v>182.61312070940164</c:v>
                </c:pt>
                <c:pt idx="40">
                  <c:v>180.40861679789123</c:v>
                </c:pt>
                <c:pt idx="41">
                  <c:v>183.57155602714784</c:v>
                </c:pt>
                <c:pt idx="42">
                  <c:v>182.88450009729979</c:v>
                </c:pt>
                <c:pt idx="43">
                  <c:v>185.35730404963368</c:v>
                </c:pt>
                <c:pt idx="44">
                  <c:v>187.51183725932484</c:v>
                </c:pt>
                <c:pt idx="45">
                  <c:v>178.17074908381539</c:v>
                </c:pt>
                <c:pt idx="46">
                  <c:v>180.23910402905713</c:v>
                </c:pt>
                <c:pt idx="47">
                  <c:v>177.72760109787842</c:v>
                </c:pt>
                <c:pt idx="48">
                  <c:v>170.94835328631694</c:v>
                </c:pt>
                <c:pt idx="49">
                  <c:v>171.95353919017163</c:v>
                </c:pt>
                <c:pt idx="50">
                  <c:v>173.18094657164758</c:v>
                </c:pt>
                <c:pt idx="51">
                  <c:v>169.07572512952126</c:v>
                </c:pt>
                <c:pt idx="52">
                  <c:v>164.9415120399596</c:v>
                </c:pt>
                <c:pt idx="53">
                  <c:v>155.0041583576911</c:v>
                </c:pt>
                <c:pt idx="54">
                  <c:v>156.74349690871773</c:v>
                </c:pt>
                <c:pt idx="55">
                  <c:v>158.82408068152716</c:v>
                </c:pt>
                <c:pt idx="56">
                  <c:v>150.90395431605128</c:v>
                </c:pt>
                <c:pt idx="57">
                  <c:v>155.87127305325956</c:v>
                </c:pt>
                <c:pt idx="58">
                  <c:v>157.74415270498446</c:v>
                </c:pt>
                <c:pt idx="59">
                  <c:v>161.46315690661885</c:v>
                </c:pt>
                <c:pt idx="60">
                  <c:v>160.86667115433249</c:v>
                </c:pt>
                <c:pt idx="61">
                  <c:v>160.72812616141135</c:v>
                </c:pt>
                <c:pt idx="62">
                  <c:v>159.44888843176975</c:v>
                </c:pt>
                <c:pt idx="63">
                  <c:v>156.17184682237192</c:v>
                </c:pt>
                <c:pt idx="64">
                  <c:v>161.97302655568456</c:v>
                </c:pt>
                <c:pt idx="65">
                  <c:v>161.09042640153012</c:v>
                </c:pt>
                <c:pt idx="66">
                  <c:v>157.40216821007715</c:v>
                </c:pt>
                <c:pt idx="67">
                  <c:v>152.55447121855255</c:v>
                </c:pt>
                <c:pt idx="68">
                  <c:v>150.44397795258209</c:v>
                </c:pt>
                <c:pt idx="69">
                  <c:v>147.85757066756906</c:v>
                </c:pt>
                <c:pt idx="70">
                  <c:v>154.26895700196042</c:v>
                </c:pt>
                <c:pt idx="71">
                  <c:v>154.41618997720894</c:v>
                </c:pt>
                <c:pt idx="72">
                  <c:v>152.59062940573858</c:v>
                </c:pt>
                <c:pt idx="73">
                  <c:v>153.72239935846176</c:v>
                </c:pt>
                <c:pt idx="74">
                  <c:v>155.03429211570707</c:v>
                </c:pt>
                <c:pt idx="75">
                  <c:v>154.1589011525864</c:v>
                </c:pt>
                <c:pt idx="76">
                  <c:v>151.22684258112247</c:v>
                </c:pt>
                <c:pt idx="77">
                  <c:v>146.46243794093442</c:v>
                </c:pt>
                <c:pt idx="78">
                  <c:v>142.77910193628358</c:v>
                </c:pt>
                <c:pt idx="79">
                  <c:v>149.35680901315493</c:v>
                </c:pt>
                <c:pt idx="80">
                  <c:v>149.37037020090193</c:v>
                </c:pt>
                <c:pt idx="81">
                  <c:v>156.64283299182659</c:v>
                </c:pt>
                <c:pt idx="82">
                  <c:v>159.395264745969</c:v>
                </c:pt>
                <c:pt idx="83">
                  <c:v>161.31917500613289</c:v>
                </c:pt>
                <c:pt idx="84">
                  <c:v>166.40442585447178</c:v>
                </c:pt>
                <c:pt idx="85">
                  <c:v>176.36744304340382</c:v>
                </c:pt>
                <c:pt idx="86">
                  <c:v>176.6750965313625</c:v>
                </c:pt>
                <c:pt idx="87">
                  <c:v>172.519876515303</c:v>
                </c:pt>
                <c:pt idx="88">
                  <c:v>172.91259221191098</c:v>
                </c:pt>
                <c:pt idx="89">
                  <c:v>171.337440195775</c:v>
                </c:pt>
                <c:pt idx="90">
                  <c:v>174.25141603157593</c:v>
                </c:pt>
                <c:pt idx="91">
                  <c:v>176.91192844163083</c:v>
                </c:pt>
                <c:pt idx="92">
                  <c:v>177.08697021582509</c:v>
                </c:pt>
                <c:pt idx="93">
                  <c:v>181.91503074293936</c:v>
                </c:pt>
                <c:pt idx="94">
                  <c:v>182.67724319843489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474-FA46-A0A9-E06E8EA2867F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'Q6'!$E$10:$CU$10</c:f>
              <c:numCache>
                <c:formatCode>General</c:formatCode>
                <c:ptCount val="95"/>
                <c:pt idx="0">
                  <c:v>222.13</c:v>
                </c:pt>
                <c:pt idx="1">
                  <c:v>226.67092983938937</c:v>
                </c:pt>
                <c:pt idx="2">
                  <c:v>224.09791431135469</c:v>
                </c:pt>
                <c:pt idx="3">
                  <c:v>237.34966763186497</c:v>
                </c:pt>
                <c:pt idx="4">
                  <c:v>242.67909468374225</c:v>
                </c:pt>
                <c:pt idx="5">
                  <c:v>234.27493104727998</c:v>
                </c:pt>
                <c:pt idx="6">
                  <c:v>237.12980101784254</c:v>
                </c:pt>
                <c:pt idx="7">
                  <c:v>229.53917925529461</c:v>
                </c:pt>
                <c:pt idx="8">
                  <c:v>241.30124616704572</c:v>
                </c:pt>
                <c:pt idx="9">
                  <c:v>234.46119857338979</c:v>
                </c:pt>
                <c:pt idx="10">
                  <c:v>244.15435320396506</c:v>
                </c:pt>
                <c:pt idx="11">
                  <c:v>240.74167230457752</c:v>
                </c:pt>
                <c:pt idx="12">
                  <c:v>231.26970247750185</c:v>
                </c:pt>
                <c:pt idx="13">
                  <c:v>235.4469014085476</c:v>
                </c:pt>
                <c:pt idx="14">
                  <c:v>244.39455194226184</c:v>
                </c:pt>
                <c:pt idx="15">
                  <c:v>249.07580872058281</c:v>
                </c:pt>
                <c:pt idx="16">
                  <c:v>242.303469068748</c:v>
                </c:pt>
                <c:pt idx="17">
                  <c:v>236.62926893599203</c:v>
                </c:pt>
                <c:pt idx="18">
                  <c:v>237.27268764770338</c:v>
                </c:pt>
                <c:pt idx="19">
                  <c:v>233.5159062715862</c:v>
                </c:pt>
                <c:pt idx="20">
                  <c:v>230.10133506285155</c:v>
                </c:pt>
                <c:pt idx="21">
                  <c:v>227.05509789254182</c:v>
                </c:pt>
                <c:pt idx="22">
                  <c:v>230.65610011419352</c:v>
                </c:pt>
                <c:pt idx="23">
                  <c:v>225.41002824609325</c:v>
                </c:pt>
                <c:pt idx="24">
                  <c:v>228.54166944617134</c:v>
                </c:pt>
                <c:pt idx="25">
                  <c:v>229.69232470185639</c:v>
                </c:pt>
                <c:pt idx="26">
                  <c:v>228.79312585605362</c:v>
                </c:pt>
                <c:pt idx="27">
                  <c:v>226.14325236113305</c:v>
                </c:pt>
                <c:pt idx="28">
                  <c:v>222.70821759781327</c:v>
                </c:pt>
                <c:pt idx="29">
                  <c:v>224.78152921116003</c:v>
                </c:pt>
                <c:pt idx="30">
                  <c:v>221.92130163134783</c:v>
                </c:pt>
                <c:pt idx="31">
                  <c:v>222.99524581130834</c:v>
                </c:pt>
                <c:pt idx="32">
                  <c:v>231.76195427779817</c:v>
                </c:pt>
                <c:pt idx="33">
                  <c:v>240.39180694272451</c:v>
                </c:pt>
                <c:pt idx="34">
                  <c:v>239.84057630550214</c:v>
                </c:pt>
                <c:pt idx="35">
                  <c:v>233.5082057781367</c:v>
                </c:pt>
                <c:pt idx="36">
                  <c:v>234.03962779704992</c:v>
                </c:pt>
                <c:pt idx="37">
                  <c:v>242.0988058417885</c:v>
                </c:pt>
                <c:pt idx="38">
                  <c:v>236.07857807252176</c:v>
                </c:pt>
                <c:pt idx="39">
                  <c:v>225.95302912642086</c:v>
                </c:pt>
                <c:pt idx="40">
                  <c:v>221.3567693141068</c:v>
                </c:pt>
                <c:pt idx="41">
                  <c:v>214.03032879921304</c:v>
                </c:pt>
                <c:pt idx="42">
                  <c:v>215.78824170749706</c:v>
                </c:pt>
                <c:pt idx="43">
                  <c:v>210.34462150948755</c:v>
                </c:pt>
                <c:pt idx="44">
                  <c:v>216.39509971994016</c:v>
                </c:pt>
                <c:pt idx="45">
                  <c:v>211.34552543156289</c:v>
                </c:pt>
                <c:pt idx="46">
                  <c:v>206.48756348470292</c:v>
                </c:pt>
                <c:pt idx="47">
                  <c:v>202.27354289336117</c:v>
                </c:pt>
                <c:pt idx="48">
                  <c:v>197.74669960706095</c:v>
                </c:pt>
                <c:pt idx="49">
                  <c:v>195.6937128749835</c:v>
                </c:pt>
                <c:pt idx="50">
                  <c:v>190.79503097362243</c:v>
                </c:pt>
                <c:pt idx="51">
                  <c:v>193.31623363682331</c:v>
                </c:pt>
                <c:pt idx="52">
                  <c:v>191.0215734275157</c:v>
                </c:pt>
                <c:pt idx="53">
                  <c:v>189.6046503867482</c:v>
                </c:pt>
                <c:pt idx="54">
                  <c:v>193.60788991648084</c:v>
                </c:pt>
                <c:pt idx="55">
                  <c:v>195.51418198856112</c:v>
                </c:pt>
                <c:pt idx="56">
                  <c:v>194.50737809138934</c:v>
                </c:pt>
                <c:pt idx="57">
                  <c:v>198.0742007914404</c:v>
                </c:pt>
                <c:pt idx="58">
                  <c:v>200.56711242477368</c:v>
                </c:pt>
                <c:pt idx="59">
                  <c:v>201.49540784629352</c:v>
                </c:pt>
                <c:pt idx="60">
                  <c:v>201.61055900565844</c:v>
                </c:pt>
                <c:pt idx="61">
                  <c:v>195.55133163647722</c:v>
                </c:pt>
                <c:pt idx="62">
                  <c:v>186.65322769729698</c:v>
                </c:pt>
                <c:pt idx="63">
                  <c:v>181.45522270490022</c:v>
                </c:pt>
                <c:pt idx="64">
                  <c:v>176.97802889073358</c:v>
                </c:pt>
                <c:pt idx="65">
                  <c:v>173.28707507753765</c:v>
                </c:pt>
                <c:pt idx="66">
                  <c:v>176.52795077822859</c:v>
                </c:pt>
                <c:pt idx="67">
                  <c:v>172.89501734739173</c:v>
                </c:pt>
                <c:pt idx="68">
                  <c:v>174.3689191717383</c:v>
                </c:pt>
                <c:pt idx="69">
                  <c:v>182.01844915906918</c:v>
                </c:pt>
                <c:pt idx="70">
                  <c:v>190.86950301741604</c:v>
                </c:pt>
                <c:pt idx="71">
                  <c:v>194.78266036303907</c:v>
                </c:pt>
                <c:pt idx="72">
                  <c:v>189.76281223779051</c:v>
                </c:pt>
                <c:pt idx="73">
                  <c:v>194.99606743689318</c:v>
                </c:pt>
                <c:pt idx="74">
                  <c:v>198.67136327351713</c:v>
                </c:pt>
                <c:pt idx="75">
                  <c:v>198.18722528419011</c:v>
                </c:pt>
                <c:pt idx="76">
                  <c:v>194.75778047686333</c:v>
                </c:pt>
                <c:pt idx="77">
                  <c:v>198.94522928090683</c:v>
                </c:pt>
                <c:pt idx="78">
                  <c:v>192.96269285901602</c:v>
                </c:pt>
                <c:pt idx="79">
                  <c:v>188.77600527016642</c:v>
                </c:pt>
                <c:pt idx="80">
                  <c:v>188.65494842770943</c:v>
                </c:pt>
                <c:pt idx="81">
                  <c:v>187.66442725371755</c:v>
                </c:pt>
                <c:pt idx="82">
                  <c:v>181.64529141313298</c:v>
                </c:pt>
                <c:pt idx="83">
                  <c:v>185.83667251551938</c:v>
                </c:pt>
                <c:pt idx="84">
                  <c:v>192.36935220731573</c:v>
                </c:pt>
                <c:pt idx="85">
                  <c:v>192.21270333345356</c:v>
                </c:pt>
                <c:pt idx="86">
                  <c:v>190.41960780322856</c:v>
                </c:pt>
                <c:pt idx="87">
                  <c:v>197.81610216812535</c:v>
                </c:pt>
                <c:pt idx="88">
                  <c:v>200.45866403849212</c:v>
                </c:pt>
                <c:pt idx="89">
                  <c:v>199.47437683583794</c:v>
                </c:pt>
                <c:pt idx="90">
                  <c:v>202.97522611133203</c:v>
                </c:pt>
                <c:pt idx="91">
                  <c:v>198.22308915189177</c:v>
                </c:pt>
                <c:pt idx="92">
                  <c:v>196.21555837089349</c:v>
                </c:pt>
                <c:pt idx="93">
                  <c:v>198.05595032935059</c:v>
                </c:pt>
                <c:pt idx="94">
                  <c:v>198.26781319999026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474-FA46-A0A9-E06E8EA2867F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'Q6'!$E$11:$CU$11</c:f>
              <c:numCache>
                <c:formatCode>General</c:formatCode>
                <c:ptCount val="95"/>
                <c:pt idx="0">
                  <c:v>222.13</c:v>
                </c:pt>
                <c:pt idx="1">
                  <c:v>226.82970080542836</c:v>
                </c:pt>
                <c:pt idx="2">
                  <c:v>223.29873228567453</c:v>
                </c:pt>
                <c:pt idx="3">
                  <c:v>214.11184762924793</c:v>
                </c:pt>
                <c:pt idx="4">
                  <c:v>218.97112888001649</c:v>
                </c:pt>
                <c:pt idx="5">
                  <c:v>216.87023650669565</c:v>
                </c:pt>
                <c:pt idx="6">
                  <c:v>227.2651625630524</c:v>
                </c:pt>
                <c:pt idx="7">
                  <c:v>220.37834158157352</c:v>
                </c:pt>
                <c:pt idx="8">
                  <c:v>228.90840271679136</c:v>
                </c:pt>
                <c:pt idx="9">
                  <c:v>228.17535889920853</c:v>
                </c:pt>
                <c:pt idx="10">
                  <c:v>232.95664853558861</c:v>
                </c:pt>
                <c:pt idx="11">
                  <c:v>224.66825012247389</c:v>
                </c:pt>
                <c:pt idx="12">
                  <c:v>233.78890317079114</c:v>
                </c:pt>
                <c:pt idx="13">
                  <c:v>236.29429158918873</c:v>
                </c:pt>
                <c:pt idx="14">
                  <c:v>244.48768383206306</c:v>
                </c:pt>
                <c:pt idx="15">
                  <c:v>239.60938801880141</c:v>
                </c:pt>
                <c:pt idx="16">
                  <c:v>243.37824432714729</c:v>
                </c:pt>
                <c:pt idx="17">
                  <c:v>245.27974171806653</c:v>
                </c:pt>
                <c:pt idx="18">
                  <c:v>238.9033922956325</c:v>
                </c:pt>
                <c:pt idx="19">
                  <c:v>237.8550387787617</c:v>
                </c:pt>
                <c:pt idx="20">
                  <c:v>232.84227273075354</c:v>
                </c:pt>
                <c:pt idx="21">
                  <c:v>229.26686430321558</c:v>
                </c:pt>
                <c:pt idx="22">
                  <c:v>228.83447354930584</c:v>
                </c:pt>
                <c:pt idx="23">
                  <c:v>228.04130748884393</c:v>
                </c:pt>
                <c:pt idx="24">
                  <c:v>234.45802808959837</c:v>
                </c:pt>
                <c:pt idx="25">
                  <c:v>250.19652832404751</c:v>
                </c:pt>
                <c:pt idx="26">
                  <c:v>245.66706781771589</c:v>
                </c:pt>
                <c:pt idx="27">
                  <c:v>239.50428670812821</c:v>
                </c:pt>
                <c:pt idx="28">
                  <c:v>239.18572849064211</c:v>
                </c:pt>
                <c:pt idx="29">
                  <c:v>239.65572507619856</c:v>
                </c:pt>
                <c:pt idx="30">
                  <c:v>233.81637217163751</c:v>
                </c:pt>
                <c:pt idx="31">
                  <c:v>233.11741561028757</c:v>
                </c:pt>
                <c:pt idx="32">
                  <c:v>234.93070152055091</c:v>
                </c:pt>
                <c:pt idx="33">
                  <c:v>230.55683186826514</c:v>
                </c:pt>
                <c:pt idx="34">
                  <c:v>239.72587438415675</c:v>
                </c:pt>
                <c:pt idx="35">
                  <c:v>238.42193252894972</c:v>
                </c:pt>
                <c:pt idx="36">
                  <c:v>235.20508363507105</c:v>
                </c:pt>
                <c:pt idx="37">
                  <c:v>238.07186872092817</c:v>
                </c:pt>
                <c:pt idx="38">
                  <c:v>239.02792749244028</c:v>
                </c:pt>
                <c:pt idx="39">
                  <c:v>238.66021689221333</c:v>
                </c:pt>
                <c:pt idx="40">
                  <c:v>236.07598164620325</c:v>
                </c:pt>
                <c:pt idx="41">
                  <c:v>232.48650574594663</c:v>
                </c:pt>
                <c:pt idx="42">
                  <c:v>242.87615768192134</c:v>
                </c:pt>
                <c:pt idx="43">
                  <c:v>235.95796111779998</c:v>
                </c:pt>
                <c:pt idx="44">
                  <c:v>231.02204086929592</c:v>
                </c:pt>
                <c:pt idx="45">
                  <c:v>235.61994644744192</c:v>
                </c:pt>
                <c:pt idx="46">
                  <c:v>238.19093788264192</c:v>
                </c:pt>
                <c:pt idx="47">
                  <c:v>241.27673405197362</c:v>
                </c:pt>
                <c:pt idx="48">
                  <c:v>242.53662323636416</c:v>
                </c:pt>
                <c:pt idx="49">
                  <c:v>235.02140605169507</c:v>
                </c:pt>
                <c:pt idx="50">
                  <c:v>230.55596966722908</c:v>
                </c:pt>
                <c:pt idx="51">
                  <c:v>230.27399603936419</c:v>
                </c:pt>
                <c:pt idx="52">
                  <c:v>232.19075200437641</c:v>
                </c:pt>
                <c:pt idx="53">
                  <c:v>223.20412350290076</c:v>
                </c:pt>
                <c:pt idx="54">
                  <c:v>224.09333623928626</c:v>
                </c:pt>
                <c:pt idx="55">
                  <c:v>218.99445409779096</c:v>
                </c:pt>
                <c:pt idx="56">
                  <c:v>223.47825456544999</c:v>
                </c:pt>
                <c:pt idx="57">
                  <c:v>223.15790109157234</c:v>
                </c:pt>
                <c:pt idx="58">
                  <c:v>230.40115856563801</c:v>
                </c:pt>
                <c:pt idx="59">
                  <c:v>230.52264688679787</c:v>
                </c:pt>
                <c:pt idx="60">
                  <c:v>229.13383559620198</c:v>
                </c:pt>
                <c:pt idx="61">
                  <c:v>233.02807816624912</c:v>
                </c:pt>
                <c:pt idx="62">
                  <c:v>229.85777653928091</c:v>
                </c:pt>
                <c:pt idx="63">
                  <c:v>232.40643828355462</c:v>
                </c:pt>
                <c:pt idx="64">
                  <c:v>236.98745831337786</c:v>
                </c:pt>
                <c:pt idx="65">
                  <c:v>247.75753347519836</c:v>
                </c:pt>
                <c:pt idx="66">
                  <c:v>233.89405147775892</c:v>
                </c:pt>
                <c:pt idx="67">
                  <c:v>233.22276441760729</c:v>
                </c:pt>
                <c:pt idx="68">
                  <c:v>230.40607056081572</c:v>
                </c:pt>
                <c:pt idx="69">
                  <c:v>237.06394238009383</c:v>
                </c:pt>
                <c:pt idx="70">
                  <c:v>229.99532211975483</c:v>
                </c:pt>
                <c:pt idx="71">
                  <c:v>228.59230702447877</c:v>
                </c:pt>
                <c:pt idx="72">
                  <c:v>230.32997246501574</c:v>
                </c:pt>
                <c:pt idx="73">
                  <c:v>222.40951781295922</c:v>
                </c:pt>
                <c:pt idx="74">
                  <c:v>213.18739434647017</c:v>
                </c:pt>
                <c:pt idx="75">
                  <c:v>207.02655085423982</c:v>
                </c:pt>
                <c:pt idx="76">
                  <c:v>206.36683516006264</c:v>
                </c:pt>
                <c:pt idx="77">
                  <c:v>203.72766584013954</c:v>
                </c:pt>
                <c:pt idx="78">
                  <c:v>203.55041232728146</c:v>
                </c:pt>
                <c:pt idx="79">
                  <c:v>197.61438484157108</c:v>
                </c:pt>
                <c:pt idx="80">
                  <c:v>190.5897412275562</c:v>
                </c:pt>
                <c:pt idx="81">
                  <c:v>200.90509837734339</c:v>
                </c:pt>
                <c:pt idx="82">
                  <c:v>197.4511158570819</c:v>
                </c:pt>
                <c:pt idx="83">
                  <c:v>196.27956310432</c:v>
                </c:pt>
                <c:pt idx="84">
                  <c:v>194.17546614120283</c:v>
                </c:pt>
                <c:pt idx="85">
                  <c:v>186.51701313997557</c:v>
                </c:pt>
                <c:pt idx="86">
                  <c:v>194.47989812362354</c:v>
                </c:pt>
                <c:pt idx="87">
                  <c:v>193.12231103310762</c:v>
                </c:pt>
                <c:pt idx="88">
                  <c:v>195.28372147447672</c:v>
                </c:pt>
                <c:pt idx="89">
                  <c:v>193.80771604848098</c:v>
                </c:pt>
                <c:pt idx="90">
                  <c:v>197.22132998450627</c:v>
                </c:pt>
                <c:pt idx="91">
                  <c:v>201.39015033510555</c:v>
                </c:pt>
                <c:pt idx="92">
                  <c:v>196.51564236029367</c:v>
                </c:pt>
                <c:pt idx="93">
                  <c:v>189.78991330199082</c:v>
                </c:pt>
                <c:pt idx="94">
                  <c:v>198.80800281681664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474-FA46-A0A9-E06E8EA2867F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'Q6'!$E$12:$CU$12</c:f>
              <c:numCache>
                <c:formatCode>General</c:formatCode>
                <c:ptCount val="95"/>
                <c:pt idx="0">
                  <c:v>222.13</c:v>
                </c:pt>
                <c:pt idx="1">
                  <c:v>223.81965109234642</c:v>
                </c:pt>
                <c:pt idx="2">
                  <c:v>225.97595425703372</c:v>
                </c:pt>
                <c:pt idx="3">
                  <c:v>224.0814054940715</c:v>
                </c:pt>
                <c:pt idx="4">
                  <c:v>225.9879127627367</c:v>
                </c:pt>
                <c:pt idx="5">
                  <c:v>224.78293515486314</c:v>
                </c:pt>
                <c:pt idx="6">
                  <c:v>230.14783184771304</c:v>
                </c:pt>
                <c:pt idx="7">
                  <c:v>230.85903953906055</c:v>
                </c:pt>
                <c:pt idx="8">
                  <c:v>233.54556544408194</c:v>
                </c:pt>
                <c:pt idx="9">
                  <c:v>226.96290196425051</c:v>
                </c:pt>
                <c:pt idx="10">
                  <c:v>226.19805601965933</c:v>
                </c:pt>
                <c:pt idx="11">
                  <c:v>229.75470359106183</c:v>
                </c:pt>
                <c:pt idx="12">
                  <c:v>224.8223806587628</c:v>
                </c:pt>
                <c:pt idx="13">
                  <c:v>229.33282008162894</c:v>
                </c:pt>
                <c:pt idx="14">
                  <c:v>229.43334923160728</c:v>
                </c:pt>
                <c:pt idx="15">
                  <c:v>222.95492544689799</c:v>
                </c:pt>
                <c:pt idx="16">
                  <c:v>222.8855697484808</c:v>
                </c:pt>
                <c:pt idx="17">
                  <c:v>233.53611545996546</c:v>
                </c:pt>
                <c:pt idx="18">
                  <c:v>232.43715221806261</c:v>
                </c:pt>
                <c:pt idx="19">
                  <c:v>236.72595138990889</c:v>
                </c:pt>
                <c:pt idx="20">
                  <c:v>236.89908068158772</c:v>
                </c:pt>
                <c:pt idx="21">
                  <c:v>233.80041380644644</c:v>
                </c:pt>
                <c:pt idx="22">
                  <c:v>233.19791801624027</c:v>
                </c:pt>
                <c:pt idx="23">
                  <c:v>241.70301904655778</c:v>
                </c:pt>
                <c:pt idx="24">
                  <c:v>245.4315196820296</c:v>
                </c:pt>
                <c:pt idx="25">
                  <c:v>239.87511149933505</c:v>
                </c:pt>
                <c:pt idx="26">
                  <c:v>241.34497455741567</c:v>
                </c:pt>
                <c:pt idx="27">
                  <c:v>240.91501111659153</c:v>
                </c:pt>
                <c:pt idx="28">
                  <c:v>238.7483167163428</c:v>
                </c:pt>
                <c:pt idx="29">
                  <c:v>240.31487305175659</c:v>
                </c:pt>
                <c:pt idx="30">
                  <c:v>231.60237963552788</c:v>
                </c:pt>
                <c:pt idx="31">
                  <c:v>235.02079796699149</c:v>
                </c:pt>
                <c:pt idx="32">
                  <c:v>238.17964829626135</c:v>
                </c:pt>
                <c:pt idx="33">
                  <c:v>231.90621906606137</c:v>
                </c:pt>
                <c:pt idx="34">
                  <c:v>226.26565035239614</c:v>
                </c:pt>
                <c:pt idx="35">
                  <c:v>230.31996247525535</c:v>
                </c:pt>
                <c:pt idx="36">
                  <c:v>225.54704162382899</c:v>
                </c:pt>
                <c:pt idx="37">
                  <c:v>227.42625735633553</c:v>
                </c:pt>
                <c:pt idx="38">
                  <c:v>232.9660817223843</c:v>
                </c:pt>
                <c:pt idx="39">
                  <c:v>225.8683428378651</c:v>
                </c:pt>
                <c:pt idx="40">
                  <c:v>216.86098793843047</c:v>
                </c:pt>
                <c:pt idx="41">
                  <c:v>215.58328624363966</c:v>
                </c:pt>
                <c:pt idx="42">
                  <c:v>214.86045905081886</c:v>
                </c:pt>
                <c:pt idx="43">
                  <c:v>198.87011789724397</c:v>
                </c:pt>
                <c:pt idx="44">
                  <c:v>202.16655200179991</c:v>
                </c:pt>
                <c:pt idx="45">
                  <c:v>195.97602593203914</c:v>
                </c:pt>
                <c:pt idx="46">
                  <c:v>196.09247715263876</c:v>
                </c:pt>
                <c:pt idx="47">
                  <c:v>187.61759112198848</c:v>
                </c:pt>
                <c:pt idx="48">
                  <c:v>182.40870022112099</c:v>
                </c:pt>
                <c:pt idx="49">
                  <c:v>179.07085027679989</c:v>
                </c:pt>
                <c:pt idx="50">
                  <c:v>172.89040765464685</c:v>
                </c:pt>
                <c:pt idx="51">
                  <c:v>169.79434562950706</c:v>
                </c:pt>
                <c:pt idx="52">
                  <c:v>165.50913662050169</c:v>
                </c:pt>
                <c:pt idx="53">
                  <c:v>163.55356911076458</c:v>
                </c:pt>
                <c:pt idx="54">
                  <c:v>166.79478695537316</c:v>
                </c:pt>
                <c:pt idx="55">
                  <c:v>162.83452865450576</c:v>
                </c:pt>
                <c:pt idx="56">
                  <c:v>165.60947383044606</c:v>
                </c:pt>
                <c:pt idx="57">
                  <c:v>164.9791725562053</c:v>
                </c:pt>
                <c:pt idx="58">
                  <c:v>168.09419578118934</c:v>
                </c:pt>
                <c:pt idx="59">
                  <c:v>165.59118973258356</c:v>
                </c:pt>
                <c:pt idx="60">
                  <c:v>167.45702701741391</c:v>
                </c:pt>
                <c:pt idx="61">
                  <c:v>164.41352469921537</c:v>
                </c:pt>
                <c:pt idx="62">
                  <c:v>167.12196168383917</c:v>
                </c:pt>
                <c:pt idx="63">
                  <c:v>170.30036147257428</c:v>
                </c:pt>
                <c:pt idx="64">
                  <c:v>172.91793555793123</c:v>
                </c:pt>
                <c:pt idx="65">
                  <c:v>175.76927614854523</c:v>
                </c:pt>
                <c:pt idx="66">
                  <c:v>170.9987144120106</c:v>
                </c:pt>
                <c:pt idx="67">
                  <c:v>166.01161043381285</c:v>
                </c:pt>
                <c:pt idx="68">
                  <c:v>164.24052752633574</c:v>
                </c:pt>
                <c:pt idx="69">
                  <c:v>157.6393921792951</c:v>
                </c:pt>
                <c:pt idx="70">
                  <c:v>157.327587562085</c:v>
                </c:pt>
                <c:pt idx="71">
                  <c:v>162.50827445374921</c:v>
                </c:pt>
                <c:pt idx="72">
                  <c:v>160.17287198900925</c:v>
                </c:pt>
                <c:pt idx="73">
                  <c:v>154.04221490052279</c:v>
                </c:pt>
                <c:pt idx="74">
                  <c:v>152.59164420647068</c:v>
                </c:pt>
                <c:pt idx="75">
                  <c:v>147.13565950384148</c:v>
                </c:pt>
                <c:pt idx="76">
                  <c:v>145.85666652203599</c:v>
                </c:pt>
                <c:pt idx="77">
                  <c:v>146.73550699152179</c:v>
                </c:pt>
                <c:pt idx="78">
                  <c:v>147.7917747517651</c:v>
                </c:pt>
                <c:pt idx="79">
                  <c:v>149.64307304026534</c:v>
                </c:pt>
                <c:pt idx="80">
                  <c:v>150.06108771431639</c:v>
                </c:pt>
                <c:pt idx="81">
                  <c:v>154.88722992326626</c:v>
                </c:pt>
                <c:pt idx="82">
                  <c:v>153.01668715172107</c:v>
                </c:pt>
                <c:pt idx="83">
                  <c:v>155.38052897151945</c:v>
                </c:pt>
                <c:pt idx="84">
                  <c:v>159.34420010928594</c:v>
                </c:pt>
                <c:pt idx="85">
                  <c:v>159.52117622499404</c:v>
                </c:pt>
                <c:pt idx="86">
                  <c:v>162.73339010804804</c:v>
                </c:pt>
                <c:pt idx="87">
                  <c:v>157.78926157971421</c:v>
                </c:pt>
                <c:pt idx="88">
                  <c:v>157.53040222881594</c:v>
                </c:pt>
                <c:pt idx="89">
                  <c:v>159.70999330730208</c:v>
                </c:pt>
                <c:pt idx="90">
                  <c:v>161.7516377628082</c:v>
                </c:pt>
                <c:pt idx="91">
                  <c:v>162.04282399344865</c:v>
                </c:pt>
                <c:pt idx="92">
                  <c:v>159.53294566137109</c:v>
                </c:pt>
                <c:pt idx="93">
                  <c:v>153.62408040001023</c:v>
                </c:pt>
                <c:pt idx="94">
                  <c:v>157.58004951951378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474-FA46-A0A9-E06E8EA2867F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'Q6'!$E$13:$CU$13</c:f>
              <c:numCache>
                <c:formatCode>General</c:formatCode>
                <c:ptCount val="95"/>
                <c:pt idx="0">
                  <c:v>222.13</c:v>
                </c:pt>
                <c:pt idx="1">
                  <c:v>223.11394474456506</c:v>
                </c:pt>
                <c:pt idx="2">
                  <c:v>222.64880780237371</c:v>
                </c:pt>
                <c:pt idx="3">
                  <c:v>222.20354830264122</c:v>
                </c:pt>
                <c:pt idx="4">
                  <c:v>222.93973845337266</c:v>
                </c:pt>
                <c:pt idx="5">
                  <c:v>230.52319782122788</c:v>
                </c:pt>
                <c:pt idx="6">
                  <c:v>229.17354506928936</c:v>
                </c:pt>
                <c:pt idx="7">
                  <c:v>228.67166613044998</c:v>
                </c:pt>
                <c:pt idx="8">
                  <c:v>233.01878230027341</c:v>
                </c:pt>
                <c:pt idx="9">
                  <c:v>244.29720374696063</c:v>
                </c:pt>
                <c:pt idx="10">
                  <c:v>238.58813425741064</c:v>
                </c:pt>
                <c:pt idx="11">
                  <c:v>245.9053799147699</c:v>
                </c:pt>
                <c:pt idx="12">
                  <c:v>248.62403957341715</c:v>
                </c:pt>
                <c:pt idx="13">
                  <c:v>248.41224202795286</c:v>
                </c:pt>
                <c:pt idx="14">
                  <c:v>253.48886873051907</c:v>
                </c:pt>
                <c:pt idx="15">
                  <c:v>256.59901274142914</c:v>
                </c:pt>
                <c:pt idx="16">
                  <c:v>262.44373594333689</c:v>
                </c:pt>
                <c:pt idx="17">
                  <c:v>257.3696179214416</c:v>
                </c:pt>
                <c:pt idx="18">
                  <c:v>254.32614968941957</c:v>
                </c:pt>
                <c:pt idx="19">
                  <c:v>256.99947469873689</c:v>
                </c:pt>
                <c:pt idx="20">
                  <c:v>265.29318318230145</c:v>
                </c:pt>
                <c:pt idx="21">
                  <c:v>265.33940931945716</c:v>
                </c:pt>
                <c:pt idx="22">
                  <c:v>264.45471854982219</c:v>
                </c:pt>
                <c:pt idx="23">
                  <c:v>255.27580897082947</c:v>
                </c:pt>
                <c:pt idx="24">
                  <c:v>258.12131996259984</c:v>
                </c:pt>
                <c:pt idx="25">
                  <c:v>258.64104540616268</c:v>
                </c:pt>
                <c:pt idx="26">
                  <c:v>267.26551035828544</c:v>
                </c:pt>
                <c:pt idx="27">
                  <c:v>262.43588757736757</c:v>
                </c:pt>
                <c:pt idx="28">
                  <c:v>262.23027664928929</c:v>
                </c:pt>
                <c:pt idx="29">
                  <c:v>270.00290461106806</c:v>
                </c:pt>
                <c:pt idx="30">
                  <c:v>271.70405299074679</c:v>
                </c:pt>
                <c:pt idx="31">
                  <c:v>270.54296174445329</c:v>
                </c:pt>
                <c:pt idx="32">
                  <c:v>282.119444679585</c:v>
                </c:pt>
                <c:pt idx="33">
                  <c:v>285.97654704815375</c:v>
                </c:pt>
                <c:pt idx="34">
                  <c:v>287.33043609984719</c:v>
                </c:pt>
                <c:pt idx="35">
                  <c:v>291.13024147343765</c:v>
                </c:pt>
                <c:pt idx="36">
                  <c:v>285.38007044700458</c:v>
                </c:pt>
                <c:pt idx="37">
                  <c:v>277.67201115418436</c:v>
                </c:pt>
                <c:pt idx="38">
                  <c:v>285.68750857398425</c:v>
                </c:pt>
                <c:pt idx="39">
                  <c:v>283.86300228750292</c:v>
                </c:pt>
                <c:pt idx="40">
                  <c:v>283.20732991170394</c:v>
                </c:pt>
                <c:pt idx="41">
                  <c:v>282.12446218832827</c:v>
                </c:pt>
                <c:pt idx="42">
                  <c:v>282.15508100381044</c:v>
                </c:pt>
                <c:pt idx="43">
                  <c:v>289.53429665012789</c:v>
                </c:pt>
                <c:pt idx="44">
                  <c:v>281.65078912907529</c:v>
                </c:pt>
                <c:pt idx="45">
                  <c:v>290.3267406193745</c:v>
                </c:pt>
                <c:pt idx="46">
                  <c:v>297.37510490282114</c:v>
                </c:pt>
                <c:pt idx="47">
                  <c:v>309.67085410171421</c:v>
                </c:pt>
                <c:pt idx="48">
                  <c:v>311.02813888354689</c:v>
                </c:pt>
                <c:pt idx="49">
                  <c:v>300.42860863663219</c:v>
                </c:pt>
                <c:pt idx="50">
                  <c:v>294.79637234734923</c:v>
                </c:pt>
                <c:pt idx="51">
                  <c:v>293.00163459208551</c:v>
                </c:pt>
                <c:pt idx="52">
                  <c:v>292.23328362587796</c:v>
                </c:pt>
                <c:pt idx="53">
                  <c:v>302.53146541114273</c:v>
                </c:pt>
                <c:pt idx="54">
                  <c:v>305.56365577339403</c:v>
                </c:pt>
                <c:pt idx="55">
                  <c:v>310.21104491708388</c:v>
                </c:pt>
                <c:pt idx="56">
                  <c:v>312.64573550266556</c:v>
                </c:pt>
                <c:pt idx="57">
                  <c:v>312.19477152108874</c:v>
                </c:pt>
                <c:pt idx="58">
                  <c:v>308.03299292765286</c:v>
                </c:pt>
                <c:pt idx="59">
                  <c:v>308.18034622420117</c:v>
                </c:pt>
                <c:pt idx="60">
                  <c:v>297.5867722385218</c:v>
                </c:pt>
                <c:pt idx="61">
                  <c:v>286.56947789196983</c:v>
                </c:pt>
                <c:pt idx="62">
                  <c:v>286.36401695923627</c:v>
                </c:pt>
                <c:pt idx="63">
                  <c:v>297.76954216861031</c:v>
                </c:pt>
                <c:pt idx="64">
                  <c:v>302.04584400436812</c:v>
                </c:pt>
                <c:pt idx="65">
                  <c:v>305.66694057787907</c:v>
                </c:pt>
                <c:pt idx="66">
                  <c:v>304.08965452538587</c:v>
                </c:pt>
                <c:pt idx="67">
                  <c:v>311.81988618488657</c:v>
                </c:pt>
                <c:pt idx="68">
                  <c:v>310.82384257023767</c:v>
                </c:pt>
                <c:pt idx="69">
                  <c:v>314.34763614824584</c:v>
                </c:pt>
                <c:pt idx="70">
                  <c:v>320.81967840005626</c:v>
                </c:pt>
                <c:pt idx="71">
                  <c:v>326.63672757428139</c:v>
                </c:pt>
                <c:pt idx="72">
                  <c:v>342.24497571032566</c:v>
                </c:pt>
                <c:pt idx="73">
                  <c:v>346.57529947984062</c:v>
                </c:pt>
                <c:pt idx="74">
                  <c:v>343.88285948121109</c:v>
                </c:pt>
                <c:pt idx="75">
                  <c:v>345.27136152837102</c:v>
                </c:pt>
                <c:pt idx="76">
                  <c:v>340.05430669825881</c:v>
                </c:pt>
                <c:pt idx="77">
                  <c:v>343.07220953742006</c:v>
                </c:pt>
                <c:pt idx="78">
                  <c:v>348.10846028263637</c:v>
                </c:pt>
                <c:pt idx="79">
                  <c:v>355.55643212629047</c:v>
                </c:pt>
                <c:pt idx="80">
                  <c:v>345.68668082014273</c:v>
                </c:pt>
                <c:pt idx="81">
                  <c:v>354.22361676948941</c:v>
                </c:pt>
                <c:pt idx="82">
                  <c:v>354.84702069381478</c:v>
                </c:pt>
                <c:pt idx="83">
                  <c:v>357.90985686639709</c:v>
                </c:pt>
                <c:pt idx="84">
                  <c:v>364.6346473794415</c:v>
                </c:pt>
                <c:pt idx="85">
                  <c:v>369.37242849199919</c:v>
                </c:pt>
                <c:pt idx="86">
                  <c:v>367.44240622930482</c:v>
                </c:pt>
                <c:pt idx="87">
                  <c:v>362.27998172392711</c:v>
                </c:pt>
                <c:pt idx="88">
                  <c:v>362.11480330967214</c:v>
                </c:pt>
                <c:pt idx="89">
                  <c:v>366.42445693911947</c:v>
                </c:pt>
                <c:pt idx="90">
                  <c:v>372.20886432001987</c:v>
                </c:pt>
                <c:pt idx="91">
                  <c:v>371.21061381871965</c:v>
                </c:pt>
                <c:pt idx="92">
                  <c:v>357.57215246740753</c:v>
                </c:pt>
                <c:pt idx="93">
                  <c:v>364.8340101171396</c:v>
                </c:pt>
                <c:pt idx="94">
                  <c:v>353.83515216512279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474-FA46-A0A9-E06E8EA2867F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'Q6'!$E$14:$CU$14</c:f>
              <c:numCache>
                <c:formatCode>General</c:formatCode>
                <c:ptCount val="95"/>
                <c:pt idx="0">
                  <c:v>222.13</c:v>
                </c:pt>
                <c:pt idx="1">
                  <c:v>212.28403831698293</c:v>
                </c:pt>
                <c:pt idx="2">
                  <c:v>209.70631254273752</c:v>
                </c:pt>
                <c:pt idx="3">
                  <c:v>216.47697307897383</c:v>
                </c:pt>
                <c:pt idx="4">
                  <c:v>214.85943341957329</c:v>
                </c:pt>
                <c:pt idx="5">
                  <c:v>211.48141992314891</c:v>
                </c:pt>
                <c:pt idx="6">
                  <c:v>203.78709750742732</c:v>
                </c:pt>
                <c:pt idx="7">
                  <c:v>210.446153857979</c:v>
                </c:pt>
                <c:pt idx="8">
                  <c:v>205.5446699173435</c:v>
                </c:pt>
                <c:pt idx="9">
                  <c:v>208.0953773859618</c:v>
                </c:pt>
                <c:pt idx="10">
                  <c:v>208.07826194237177</c:v>
                </c:pt>
                <c:pt idx="11">
                  <c:v>205.71544138896741</c:v>
                </c:pt>
                <c:pt idx="12">
                  <c:v>206.47136142197755</c:v>
                </c:pt>
                <c:pt idx="13">
                  <c:v>205.9975652124825</c:v>
                </c:pt>
                <c:pt idx="14">
                  <c:v>200.12999555033687</c:v>
                </c:pt>
                <c:pt idx="15">
                  <c:v>202.74522893082471</c:v>
                </c:pt>
                <c:pt idx="16">
                  <c:v>203.01902657540322</c:v>
                </c:pt>
                <c:pt idx="17">
                  <c:v>197.05047744793455</c:v>
                </c:pt>
                <c:pt idx="18">
                  <c:v>195.0762095194994</c:v>
                </c:pt>
                <c:pt idx="19">
                  <c:v>189.93315048744589</c:v>
                </c:pt>
                <c:pt idx="20">
                  <c:v>189.00867799474233</c:v>
                </c:pt>
                <c:pt idx="21">
                  <c:v>188.92083238480001</c:v>
                </c:pt>
                <c:pt idx="22">
                  <c:v>184.91802164484812</c:v>
                </c:pt>
                <c:pt idx="23">
                  <c:v>180.94549016468969</c:v>
                </c:pt>
                <c:pt idx="24">
                  <c:v>185.75099854886128</c:v>
                </c:pt>
                <c:pt idx="25">
                  <c:v>182.23660674599634</c:v>
                </c:pt>
                <c:pt idx="26">
                  <c:v>183.74768411195066</c:v>
                </c:pt>
                <c:pt idx="27">
                  <c:v>182.04400340043975</c:v>
                </c:pt>
                <c:pt idx="28">
                  <c:v>184.24903816209667</c:v>
                </c:pt>
                <c:pt idx="29">
                  <c:v>173.66711700595707</c:v>
                </c:pt>
                <c:pt idx="30">
                  <c:v>168.66073215756634</c:v>
                </c:pt>
                <c:pt idx="31">
                  <c:v>167.83946795208544</c:v>
                </c:pt>
                <c:pt idx="32">
                  <c:v>172.7475302022668</c:v>
                </c:pt>
                <c:pt idx="33">
                  <c:v>171.3201988510784</c:v>
                </c:pt>
                <c:pt idx="34">
                  <c:v>166.64754593751223</c:v>
                </c:pt>
                <c:pt idx="35">
                  <c:v>164.4005653325423</c:v>
                </c:pt>
                <c:pt idx="36">
                  <c:v>162.53048166508901</c:v>
                </c:pt>
                <c:pt idx="37">
                  <c:v>156.89206993910031</c:v>
                </c:pt>
                <c:pt idx="38">
                  <c:v>157.48209008912042</c:v>
                </c:pt>
                <c:pt idx="39">
                  <c:v>159.03254105706355</c:v>
                </c:pt>
                <c:pt idx="40">
                  <c:v>157.24809454923445</c:v>
                </c:pt>
                <c:pt idx="41">
                  <c:v>164.91641772777601</c:v>
                </c:pt>
                <c:pt idx="42">
                  <c:v>164.80229525941868</c:v>
                </c:pt>
                <c:pt idx="43">
                  <c:v>162.34314804444145</c:v>
                </c:pt>
                <c:pt idx="44">
                  <c:v>163.28713259133602</c:v>
                </c:pt>
                <c:pt idx="45">
                  <c:v>158.02941251065863</c:v>
                </c:pt>
                <c:pt idx="46">
                  <c:v>158.13892660207597</c:v>
                </c:pt>
                <c:pt idx="47">
                  <c:v>152.52846403950377</c:v>
                </c:pt>
                <c:pt idx="48">
                  <c:v>158.8121125508371</c:v>
                </c:pt>
                <c:pt idx="49">
                  <c:v>157.84267242451199</c:v>
                </c:pt>
                <c:pt idx="50">
                  <c:v>148.15985478420046</c:v>
                </c:pt>
                <c:pt idx="51">
                  <c:v>147.76992462580336</c:v>
                </c:pt>
                <c:pt idx="52">
                  <c:v>151.2118594387087</c:v>
                </c:pt>
                <c:pt idx="53">
                  <c:v>155.78680282391988</c:v>
                </c:pt>
                <c:pt idx="54">
                  <c:v>148.7213205889814</c:v>
                </c:pt>
                <c:pt idx="55">
                  <c:v>151.83542555782938</c:v>
                </c:pt>
                <c:pt idx="56">
                  <c:v>150.36667973341085</c:v>
                </c:pt>
                <c:pt idx="57">
                  <c:v>149.73575673680648</c:v>
                </c:pt>
                <c:pt idx="58">
                  <c:v>146.74733943686519</c:v>
                </c:pt>
                <c:pt idx="59">
                  <c:v>147.95175970535703</c:v>
                </c:pt>
                <c:pt idx="60">
                  <c:v>151.06480720183072</c:v>
                </c:pt>
                <c:pt idx="61">
                  <c:v>150.91924963021938</c:v>
                </c:pt>
                <c:pt idx="62">
                  <c:v>153.3025185172412</c:v>
                </c:pt>
                <c:pt idx="63">
                  <c:v>146.47902105397372</c:v>
                </c:pt>
                <c:pt idx="64">
                  <c:v>145.86749352194417</c:v>
                </c:pt>
                <c:pt idx="65">
                  <c:v>143.23356858871315</c:v>
                </c:pt>
                <c:pt idx="66">
                  <c:v>143.46323359634169</c:v>
                </c:pt>
                <c:pt idx="67">
                  <c:v>143.64190905370415</c:v>
                </c:pt>
                <c:pt idx="68">
                  <c:v>151.4749669556478</c:v>
                </c:pt>
                <c:pt idx="69">
                  <c:v>149.63146911417229</c:v>
                </c:pt>
                <c:pt idx="70">
                  <c:v>145.51068035776706</c:v>
                </c:pt>
                <c:pt idx="71">
                  <c:v>140.14762846904901</c:v>
                </c:pt>
                <c:pt idx="72">
                  <c:v>139.28989560640349</c:v>
                </c:pt>
                <c:pt idx="73">
                  <c:v>134.35633840883187</c:v>
                </c:pt>
                <c:pt idx="74">
                  <c:v>134.21827575985421</c:v>
                </c:pt>
                <c:pt idx="75">
                  <c:v>134.91268588446303</c:v>
                </c:pt>
                <c:pt idx="76">
                  <c:v>136.28673645443061</c:v>
                </c:pt>
                <c:pt idx="77">
                  <c:v>138.98248778636327</c:v>
                </c:pt>
                <c:pt idx="78">
                  <c:v>138.27341131639912</c:v>
                </c:pt>
                <c:pt idx="79">
                  <c:v>141.25445445215948</c:v>
                </c:pt>
                <c:pt idx="80">
                  <c:v>140.70261064866168</c:v>
                </c:pt>
                <c:pt idx="81">
                  <c:v>143.20495196940593</c:v>
                </c:pt>
                <c:pt idx="82">
                  <c:v>142.06095345483902</c:v>
                </c:pt>
                <c:pt idx="83">
                  <c:v>140.19175296269486</c:v>
                </c:pt>
                <c:pt idx="84">
                  <c:v>142.44915451083793</c:v>
                </c:pt>
                <c:pt idx="85">
                  <c:v>146.03465432285614</c:v>
                </c:pt>
                <c:pt idx="86">
                  <c:v>149.57632222646609</c:v>
                </c:pt>
                <c:pt idx="87">
                  <c:v>147.86142776140491</c:v>
                </c:pt>
                <c:pt idx="88">
                  <c:v>148.14760449804012</c:v>
                </c:pt>
                <c:pt idx="89">
                  <c:v>150.18466659136507</c:v>
                </c:pt>
                <c:pt idx="90">
                  <c:v>149.75620105332283</c:v>
                </c:pt>
                <c:pt idx="91">
                  <c:v>144.56738148720507</c:v>
                </c:pt>
                <c:pt idx="92">
                  <c:v>145.02752900469133</c:v>
                </c:pt>
                <c:pt idx="93">
                  <c:v>149.11499880631243</c:v>
                </c:pt>
                <c:pt idx="94">
                  <c:v>155.37895325985571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474-FA46-A0A9-E06E8EA2867F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'Q6'!$E$15:$CU$15</c:f>
              <c:numCache>
                <c:formatCode>General</c:formatCode>
                <c:ptCount val="95"/>
                <c:pt idx="0">
                  <c:v>222.13</c:v>
                </c:pt>
                <c:pt idx="1">
                  <c:v>222.73675648299084</c:v>
                </c:pt>
                <c:pt idx="2">
                  <c:v>217.2705322661046</c:v>
                </c:pt>
                <c:pt idx="3">
                  <c:v>215.17378010980499</c:v>
                </c:pt>
                <c:pt idx="4">
                  <c:v>217.6450304945318</c:v>
                </c:pt>
                <c:pt idx="5">
                  <c:v>220.86876124297777</c:v>
                </c:pt>
                <c:pt idx="6">
                  <c:v>222.37484202276576</c:v>
                </c:pt>
                <c:pt idx="7">
                  <c:v>227.67727213052413</c:v>
                </c:pt>
                <c:pt idx="8">
                  <c:v>232.61961994417817</c:v>
                </c:pt>
                <c:pt idx="9">
                  <c:v>240.36237290298487</c:v>
                </c:pt>
                <c:pt idx="10">
                  <c:v>239.35021933285969</c:v>
                </c:pt>
                <c:pt idx="11">
                  <c:v>243.0584852706713</c:v>
                </c:pt>
                <c:pt idx="12">
                  <c:v>230.3755890867921</c:v>
                </c:pt>
                <c:pt idx="13">
                  <c:v>230.92968316989536</c:v>
                </c:pt>
                <c:pt idx="14">
                  <c:v>226.66383419686275</c:v>
                </c:pt>
                <c:pt idx="15">
                  <c:v>229.10422893251592</c:v>
                </c:pt>
                <c:pt idx="16">
                  <c:v>235.25335252577824</c:v>
                </c:pt>
                <c:pt idx="17">
                  <c:v>240.7681821212212</c:v>
                </c:pt>
                <c:pt idx="18">
                  <c:v>248.00964859811691</c:v>
                </c:pt>
                <c:pt idx="19">
                  <c:v>247.68038159804556</c:v>
                </c:pt>
                <c:pt idx="20">
                  <c:v>249.98723067690676</c:v>
                </c:pt>
                <c:pt idx="21">
                  <c:v>249.76280771818574</c:v>
                </c:pt>
                <c:pt idx="22">
                  <c:v>257.09113703787176</c:v>
                </c:pt>
                <c:pt idx="23">
                  <c:v>263.25116493212272</c:v>
                </c:pt>
                <c:pt idx="24">
                  <c:v>268.95938767492476</c:v>
                </c:pt>
                <c:pt idx="25">
                  <c:v>258.83859322040564</c:v>
                </c:pt>
                <c:pt idx="26">
                  <c:v>258.00095347115138</c:v>
                </c:pt>
                <c:pt idx="27">
                  <c:v>259.46473351677366</c:v>
                </c:pt>
                <c:pt idx="28">
                  <c:v>270.37387198443065</c:v>
                </c:pt>
                <c:pt idx="29">
                  <c:v>273.49413519470266</c:v>
                </c:pt>
                <c:pt idx="30">
                  <c:v>272.04194086348411</c:v>
                </c:pt>
                <c:pt idx="31">
                  <c:v>274.5212953424396</c:v>
                </c:pt>
                <c:pt idx="32">
                  <c:v>278.25004173388311</c:v>
                </c:pt>
                <c:pt idx="33">
                  <c:v>287.86455419499663</c:v>
                </c:pt>
                <c:pt idx="34">
                  <c:v>277.02113141128513</c:v>
                </c:pt>
                <c:pt idx="35">
                  <c:v>269.93262396960881</c:v>
                </c:pt>
                <c:pt idx="36">
                  <c:v>267.24237070298278</c:v>
                </c:pt>
                <c:pt idx="37">
                  <c:v>269.18180421504587</c:v>
                </c:pt>
                <c:pt idx="38">
                  <c:v>278.68767656758763</c:v>
                </c:pt>
                <c:pt idx="39">
                  <c:v>278.25399943273226</c:v>
                </c:pt>
                <c:pt idx="40">
                  <c:v>273.26700589573289</c:v>
                </c:pt>
                <c:pt idx="41">
                  <c:v>279.31650414458721</c:v>
                </c:pt>
                <c:pt idx="42">
                  <c:v>271.92525577602527</c:v>
                </c:pt>
                <c:pt idx="43">
                  <c:v>270.32156472216144</c:v>
                </c:pt>
                <c:pt idx="44">
                  <c:v>271.06569441723923</c:v>
                </c:pt>
                <c:pt idx="45">
                  <c:v>274.73484003374057</c:v>
                </c:pt>
                <c:pt idx="46">
                  <c:v>272.15300659460576</c:v>
                </c:pt>
                <c:pt idx="47">
                  <c:v>281.09041821250469</c:v>
                </c:pt>
                <c:pt idx="48">
                  <c:v>279.9519361711761</c:v>
                </c:pt>
                <c:pt idx="49">
                  <c:v>280.01167564705713</c:v>
                </c:pt>
                <c:pt idx="50">
                  <c:v>294.56927932703974</c:v>
                </c:pt>
                <c:pt idx="51">
                  <c:v>297.51718469731128</c:v>
                </c:pt>
                <c:pt idx="52">
                  <c:v>307.54008965146056</c:v>
                </c:pt>
                <c:pt idx="53">
                  <c:v>303.93998507512288</c:v>
                </c:pt>
                <c:pt idx="54">
                  <c:v>309.94512241149931</c:v>
                </c:pt>
                <c:pt idx="55">
                  <c:v>315.86377735232799</c:v>
                </c:pt>
                <c:pt idx="56">
                  <c:v>310.34775818241002</c:v>
                </c:pt>
                <c:pt idx="57">
                  <c:v>302.57226404643853</c:v>
                </c:pt>
                <c:pt idx="58">
                  <c:v>313.49596138819788</c:v>
                </c:pt>
                <c:pt idx="59">
                  <c:v>313.23462692568188</c:v>
                </c:pt>
                <c:pt idx="60">
                  <c:v>316.3509692303096</c:v>
                </c:pt>
                <c:pt idx="61">
                  <c:v>313.5673629752431</c:v>
                </c:pt>
                <c:pt idx="62">
                  <c:v>316.13982371093192</c:v>
                </c:pt>
                <c:pt idx="63">
                  <c:v>326.24040733513709</c:v>
                </c:pt>
                <c:pt idx="64">
                  <c:v>334.38976607972921</c:v>
                </c:pt>
                <c:pt idx="65">
                  <c:v>343.88263638912821</c:v>
                </c:pt>
                <c:pt idx="66">
                  <c:v>341.75426232681434</c:v>
                </c:pt>
                <c:pt idx="67">
                  <c:v>346.52150124957433</c:v>
                </c:pt>
                <c:pt idx="68">
                  <c:v>353.19238305355623</c:v>
                </c:pt>
                <c:pt idx="69">
                  <c:v>344.63549813007324</c:v>
                </c:pt>
                <c:pt idx="70">
                  <c:v>344.50269861375386</c:v>
                </c:pt>
                <c:pt idx="71">
                  <c:v>344.70920093778119</c:v>
                </c:pt>
                <c:pt idx="72">
                  <c:v>341.99326676245897</c:v>
                </c:pt>
                <c:pt idx="73">
                  <c:v>334.44986180061585</c:v>
                </c:pt>
                <c:pt idx="74">
                  <c:v>347.85482481615003</c:v>
                </c:pt>
                <c:pt idx="75">
                  <c:v>350.87927160497009</c:v>
                </c:pt>
                <c:pt idx="76">
                  <c:v>341.75657545971882</c:v>
                </c:pt>
                <c:pt idx="77">
                  <c:v>340.91167031135029</c:v>
                </c:pt>
                <c:pt idx="78">
                  <c:v>343.7172453172181</c:v>
                </c:pt>
                <c:pt idx="79">
                  <c:v>346.46009228362578</c:v>
                </c:pt>
                <c:pt idx="80">
                  <c:v>336.45906791244448</c:v>
                </c:pt>
                <c:pt idx="81">
                  <c:v>325.40905199828177</c:v>
                </c:pt>
                <c:pt idx="82">
                  <c:v>313.9216515386488</c:v>
                </c:pt>
                <c:pt idx="83">
                  <c:v>312.59923110605177</c:v>
                </c:pt>
                <c:pt idx="84">
                  <c:v>319.86719287569036</c:v>
                </c:pt>
                <c:pt idx="85">
                  <c:v>323.8122299172116</c:v>
                </c:pt>
                <c:pt idx="86">
                  <c:v>329.93176550505473</c:v>
                </c:pt>
                <c:pt idx="87">
                  <c:v>323.80273714343241</c:v>
                </c:pt>
                <c:pt idx="88">
                  <c:v>337.73518119582172</c:v>
                </c:pt>
                <c:pt idx="89">
                  <c:v>329.75997053774995</c:v>
                </c:pt>
                <c:pt idx="90">
                  <c:v>330.7873298034167</c:v>
                </c:pt>
                <c:pt idx="91">
                  <c:v>324.39437085223108</c:v>
                </c:pt>
                <c:pt idx="92">
                  <c:v>330.42391915498717</c:v>
                </c:pt>
                <c:pt idx="93">
                  <c:v>334.4652220552066</c:v>
                </c:pt>
                <c:pt idx="94">
                  <c:v>334.65997736999179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474-FA46-A0A9-E06E8EA2867F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'Q6'!$E$16:$CU$16</c:f>
              <c:numCache>
                <c:formatCode>General</c:formatCode>
                <c:ptCount val="95"/>
                <c:pt idx="0">
                  <c:v>222.13</c:v>
                </c:pt>
                <c:pt idx="1">
                  <c:v>223.46242490280616</c:v>
                </c:pt>
                <c:pt idx="2">
                  <c:v>224.52590679892009</c:v>
                </c:pt>
                <c:pt idx="3">
                  <c:v>217.36129070217609</c:v>
                </c:pt>
                <c:pt idx="4">
                  <c:v>214.84044974253021</c:v>
                </c:pt>
                <c:pt idx="5">
                  <c:v>213.96741679362137</c:v>
                </c:pt>
                <c:pt idx="6">
                  <c:v>213.33407869216413</c:v>
                </c:pt>
                <c:pt idx="7">
                  <c:v>210.80032952800792</c:v>
                </c:pt>
                <c:pt idx="8">
                  <c:v>213.96918224570049</c:v>
                </c:pt>
                <c:pt idx="9">
                  <c:v>209.5400863254946</c:v>
                </c:pt>
                <c:pt idx="10">
                  <c:v>210.05056171398667</c:v>
                </c:pt>
                <c:pt idx="11">
                  <c:v>211.52267883987003</c:v>
                </c:pt>
                <c:pt idx="12">
                  <c:v>209.99099463912347</c:v>
                </c:pt>
                <c:pt idx="13">
                  <c:v>213.96954852904662</c:v>
                </c:pt>
                <c:pt idx="14">
                  <c:v>218.78876965728412</c:v>
                </c:pt>
                <c:pt idx="15">
                  <c:v>220.36760638707938</c:v>
                </c:pt>
                <c:pt idx="16">
                  <c:v>222.05515188828971</c:v>
                </c:pt>
                <c:pt idx="17">
                  <c:v>220.96543662113311</c:v>
                </c:pt>
                <c:pt idx="18">
                  <c:v>226.05916157242598</c:v>
                </c:pt>
                <c:pt idx="19">
                  <c:v>221.58270395853225</c:v>
                </c:pt>
                <c:pt idx="20">
                  <c:v>227.00340814147367</c:v>
                </c:pt>
                <c:pt idx="21">
                  <c:v>228.51510296734409</c:v>
                </c:pt>
                <c:pt idx="22">
                  <c:v>223.20880563824232</c:v>
                </c:pt>
                <c:pt idx="23">
                  <c:v>223.30737255932556</c:v>
                </c:pt>
                <c:pt idx="24">
                  <c:v>220.81524828112174</c:v>
                </c:pt>
                <c:pt idx="25">
                  <c:v>218.19954997859659</c:v>
                </c:pt>
                <c:pt idx="26">
                  <c:v>217.33647412380174</c:v>
                </c:pt>
                <c:pt idx="27">
                  <c:v>225.08701619594177</c:v>
                </c:pt>
                <c:pt idx="28">
                  <c:v>219.10296238034971</c:v>
                </c:pt>
                <c:pt idx="29">
                  <c:v>218.28028022002135</c:v>
                </c:pt>
                <c:pt idx="30">
                  <c:v>223.72212370176018</c:v>
                </c:pt>
                <c:pt idx="31">
                  <c:v>217.11682007809219</c:v>
                </c:pt>
                <c:pt idx="32">
                  <c:v>211.16637100073331</c:v>
                </c:pt>
                <c:pt idx="33">
                  <c:v>213.61837859887893</c:v>
                </c:pt>
                <c:pt idx="34">
                  <c:v>223.15722243884113</c:v>
                </c:pt>
                <c:pt idx="35">
                  <c:v>217.97954693484576</c:v>
                </c:pt>
                <c:pt idx="36">
                  <c:v>226.05025460112984</c:v>
                </c:pt>
                <c:pt idx="37">
                  <c:v>232.06469637257445</c:v>
                </c:pt>
                <c:pt idx="38">
                  <c:v>235.97672722245599</c:v>
                </c:pt>
                <c:pt idx="39">
                  <c:v>245.60170318493979</c:v>
                </c:pt>
                <c:pt idx="40">
                  <c:v>244.49851598790653</c:v>
                </c:pt>
                <c:pt idx="41">
                  <c:v>249.97453683177173</c:v>
                </c:pt>
                <c:pt idx="42">
                  <c:v>261.70021586397939</c:v>
                </c:pt>
                <c:pt idx="43">
                  <c:v>259.82703744486247</c:v>
                </c:pt>
                <c:pt idx="44">
                  <c:v>266.21306521137967</c:v>
                </c:pt>
                <c:pt idx="45">
                  <c:v>270.97381516847537</c:v>
                </c:pt>
                <c:pt idx="46">
                  <c:v>277.30422346938019</c:v>
                </c:pt>
                <c:pt idx="47">
                  <c:v>271.76404452415773</c:v>
                </c:pt>
                <c:pt idx="48">
                  <c:v>279.42207545350846</c:v>
                </c:pt>
                <c:pt idx="49">
                  <c:v>285.74826439406422</c:v>
                </c:pt>
                <c:pt idx="50">
                  <c:v>282.02416931131478</c:v>
                </c:pt>
                <c:pt idx="51">
                  <c:v>283.32634170075045</c:v>
                </c:pt>
                <c:pt idx="52">
                  <c:v>271.5577186994031</c:v>
                </c:pt>
                <c:pt idx="53">
                  <c:v>263.79113309931648</c:v>
                </c:pt>
                <c:pt idx="54">
                  <c:v>262.36415854995596</c:v>
                </c:pt>
                <c:pt idx="55">
                  <c:v>252.41296653098556</c:v>
                </c:pt>
                <c:pt idx="56">
                  <c:v>257.64190874535399</c:v>
                </c:pt>
                <c:pt idx="57">
                  <c:v>255.9357374245854</c:v>
                </c:pt>
                <c:pt idx="58">
                  <c:v>261.53232095214821</c:v>
                </c:pt>
                <c:pt idx="59">
                  <c:v>263.11725605836051</c:v>
                </c:pt>
                <c:pt idx="60">
                  <c:v>256.84398799286674</c:v>
                </c:pt>
                <c:pt idx="61">
                  <c:v>258.44429682067528</c:v>
                </c:pt>
                <c:pt idx="62">
                  <c:v>267.45241104431364</c:v>
                </c:pt>
                <c:pt idx="63">
                  <c:v>260.31220527510953</c:v>
                </c:pt>
                <c:pt idx="64">
                  <c:v>261.01176866525236</c:v>
                </c:pt>
                <c:pt idx="65">
                  <c:v>251.63372316246591</c:v>
                </c:pt>
                <c:pt idx="66">
                  <c:v>253.91296510430669</c:v>
                </c:pt>
                <c:pt idx="67">
                  <c:v>242.74808075937048</c:v>
                </c:pt>
                <c:pt idx="68">
                  <c:v>249.39947710916246</c:v>
                </c:pt>
                <c:pt idx="69">
                  <c:v>237.29570213527984</c:v>
                </c:pt>
                <c:pt idx="70">
                  <c:v>246.47885617773059</c:v>
                </c:pt>
                <c:pt idx="71">
                  <c:v>251.06192395061601</c:v>
                </c:pt>
                <c:pt idx="72">
                  <c:v>253.60978981438311</c:v>
                </c:pt>
                <c:pt idx="73">
                  <c:v>252.13824786227107</c:v>
                </c:pt>
                <c:pt idx="74">
                  <c:v>251.65578716300038</c:v>
                </c:pt>
                <c:pt idx="75">
                  <c:v>253.07286025480983</c:v>
                </c:pt>
                <c:pt idx="76">
                  <c:v>265.62216538688614</c:v>
                </c:pt>
                <c:pt idx="77">
                  <c:v>257.13872240237185</c:v>
                </c:pt>
                <c:pt idx="78">
                  <c:v>262.74425003082206</c:v>
                </c:pt>
                <c:pt idx="79">
                  <c:v>258.63762578711425</c:v>
                </c:pt>
                <c:pt idx="80">
                  <c:v>268.2237960974046</c:v>
                </c:pt>
                <c:pt idx="81">
                  <c:v>266.53038989245044</c:v>
                </c:pt>
                <c:pt idx="82">
                  <c:v>270.27424822615222</c:v>
                </c:pt>
                <c:pt idx="83">
                  <c:v>265.25847382702375</c:v>
                </c:pt>
                <c:pt idx="84">
                  <c:v>268.60280381856353</c:v>
                </c:pt>
                <c:pt idx="85">
                  <c:v>267.24091500463652</c:v>
                </c:pt>
                <c:pt idx="86">
                  <c:v>272.21462137671983</c:v>
                </c:pt>
                <c:pt idx="87">
                  <c:v>274.71209398562894</c:v>
                </c:pt>
                <c:pt idx="88">
                  <c:v>273.66553064343833</c:v>
                </c:pt>
                <c:pt idx="89">
                  <c:v>267.69287941513079</c:v>
                </c:pt>
                <c:pt idx="90">
                  <c:v>267.83048388716969</c:v>
                </c:pt>
                <c:pt idx="91">
                  <c:v>269.46692594644446</c:v>
                </c:pt>
                <c:pt idx="92">
                  <c:v>274.03705157942227</c:v>
                </c:pt>
                <c:pt idx="93">
                  <c:v>276.4382381074816</c:v>
                </c:pt>
                <c:pt idx="94">
                  <c:v>282.09695330285859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474-FA46-A0A9-E06E8EA2867F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'Q6'!$E$17:$CU$17</c:f>
              <c:numCache>
                <c:formatCode>General</c:formatCode>
                <c:ptCount val="95"/>
                <c:pt idx="0">
                  <c:v>222.13</c:v>
                </c:pt>
                <c:pt idx="1">
                  <c:v>227.29801907644597</c:v>
                </c:pt>
                <c:pt idx="2">
                  <c:v>231.7518754454654</c:v>
                </c:pt>
                <c:pt idx="3">
                  <c:v>232.75730183252094</c:v>
                </c:pt>
                <c:pt idx="4">
                  <c:v>229.28388959632474</c:v>
                </c:pt>
                <c:pt idx="5">
                  <c:v>226.62813268067524</c:v>
                </c:pt>
                <c:pt idx="6">
                  <c:v>224.93556038953636</c:v>
                </c:pt>
                <c:pt idx="7">
                  <c:v>223.06366688622415</c:v>
                </c:pt>
                <c:pt idx="8">
                  <c:v>225.7373053670384</c:v>
                </c:pt>
                <c:pt idx="9">
                  <c:v>230.49006922643181</c:v>
                </c:pt>
                <c:pt idx="10">
                  <c:v>218.68378876609904</c:v>
                </c:pt>
                <c:pt idx="11">
                  <c:v>218.99012451098977</c:v>
                </c:pt>
                <c:pt idx="12">
                  <c:v>223.37475366743547</c:v>
                </c:pt>
                <c:pt idx="13">
                  <c:v>206.15638488877167</c:v>
                </c:pt>
                <c:pt idx="14">
                  <c:v>204.66627086171323</c:v>
                </c:pt>
                <c:pt idx="15">
                  <c:v>206.88501699573754</c:v>
                </c:pt>
                <c:pt idx="16">
                  <c:v>216.5147077806682</c:v>
                </c:pt>
                <c:pt idx="17">
                  <c:v>215.21560371787629</c:v>
                </c:pt>
                <c:pt idx="18">
                  <c:v>218.00800160418854</c:v>
                </c:pt>
                <c:pt idx="19">
                  <c:v>223.42938109887308</c:v>
                </c:pt>
                <c:pt idx="20">
                  <c:v>223.43948231796165</c:v>
                </c:pt>
                <c:pt idx="21">
                  <c:v>238.59593445848012</c:v>
                </c:pt>
                <c:pt idx="22">
                  <c:v>233.28873633914995</c:v>
                </c:pt>
                <c:pt idx="23">
                  <c:v>239.46673507045676</c:v>
                </c:pt>
                <c:pt idx="24">
                  <c:v>241.86013511182028</c:v>
                </c:pt>
                <c:pt idx="25">
                  <c:v>246.19214211180471</c:v>
                </c:pt>
                <c:pt idx="26">
                  <c:v>255.21896617661662</c:v>
                </c:pt>
                <c:pt idx="27">
                  <c:v>252.24954388375133</c:v>
                </c:pt>
                <c:pt idx="28">
                  <c:v>257.76909040832828</c:v>
                </c:pt>
                <c:pt idx="29">
                  <c:v>258.54601090152391</c:v>
                </c:pt>
                <c:pt idx="30">
                  <c:v>264.93901450271528</c:v>
                </c:pt>
                <c:pt idx="31">
                  <c:v>268.40563758097875</c:v>
                </c:pt>
                <c:pt idx="32">
                  <c:v>274.74264871817655</c:v>
                </c:pt>
                <c:pt idx="33">
                  <c:v>280.54942765183785</c:v>
                </c:pt>
                <c:pt idx="34">
                  <c:v>283.50569569383816</c:v>
                </c:pt>
                <c:pt idx="35">
                  <c:v>288.33829853810562</c:v>
                </c:pt>
                <c:pt idx="36">
                  <c:v>286.82700959387256</c:v>
                </c:pt>
                <c:pt idx="37">
                  <c:v>284.44695848994411</c:v>
                </c:pt>
                <c:pt idx="38">
                  <c:v>294.35760721934298</c:v>
                </c:pt>
                <c:pt idx="39">
                  <c:v>298.71814868805848</c:v>
                </c:pt>
                <c:pt idx="40">
                  <c:v>304.54673096345141</c:v>
                </c:pt>
                <c:pt idx="41">
                  <c:v>308.30750092629671</c:v>
                </c:pt>
                <c:pt idx="42">
                  <c:v>313.27850923372853</c:v>
                </c:pt>
                <c:pt idx="43">
                  <c:v>301.92871460266042</c:v>
                </c:pt>
                <c:pt idx="44">
                  <c:v>309.73428212549561</c:v>
                </c:pt>
                <c:pt idx="45">
                  <c:v>320.88089495094459</c:v>
                </c:pt>
                <c:pt idx="46">
                  <c:v>333.87909023022127</c:v>
                </c:pt>
                <c:pt idx="47">
                  <c:v>329.49657732124444</c:v>
                </c:pt>
                <c:pt idx="48">
                  <c:v>319.49470080594358</c:v>
                </c:pt>
                <c:pt idx="49">
                  <c:v>324.04138968130718</c:v>
                </c:pt>
                <c:pt idx="50">
                  <c:v>316.76350623586359</c:v>
                </c:pt>
                <c:pt idx="51">
                  <c:v>319.30835783602066</c:v>
                </c:pt>
                <c:pt idx="52">
                  <c:v>317.52023739884504</c:v>
                </c:pt>
                <c:pt idx="53">
                  <c:v>319.91808562582565</c:v>
                </c:pt>
                <c:pt idx="54">
                  <c:v>333.72811927214241</c:v>
                </c:pt>
                <c:pt idx="55">
                  <c:v>335.87305372066544</c:v>
                </c:pt>
                <c:pt idx="56">
                  <c:v>342.64918104520018</c:v>
                </c:pt>
                <c:pt idx="57">
                  <c:v>337.44230039424434</c:v>
                </c:pt>
                <c:pt idx="58">
                  <c:v>323.84458904738722</c:v>
                </c:pt>
                <c:pt idx="59">
                  <c:v>308.5980448419258</c:v>
                </c:pt>
                <c:pt idx="60">
                  <c:v>314.4992448251686</c:v>
                </c:pt>
                <c:pt idx="61">
                  <c:v>319.72478027682183</c:v>
                </c:pt>
                <c:pt idx="62">
                  <c:v>302.01280088472987</c:v>
                </c:pt>
                <c:pt idx="63">
                  <c:v>297.9861670417007</c:v>
                </c:pt>
                <c:pt idx="64">
                  <c:v>311.38433716519455</c:v>
                </c:pt>
                <c:pt idx="65">
                  <c:v>311.13739803924648</c:v>
                </c:pt>
                <c:pt idx="66">
                  <c:v>325.25340192729072</c:v>
                </c:pt>
                <c:pt idx="67">
                  <c:v>328.64705113598131</c:v>
                </c:pt>
                <c:pt idx="68">
                  <c:v>342.07382346418478</c:v>
                </c:pt>
                <c:pt idx="69">
                  <c:v>355.87076171512649</c:v>
                </c:pt>
                <c:pt idx="70">
                  <c:v>362.27509095330566</c:v>
                </c:pt>
                <c:pt idx="71">
                  <c:v>358.48808443557857</c:v>
                </c:pt>
                <c:pt idx="72">
                  <c:v>362.84422933490316</c:v>
                </c:pt>
                <c:pt idx="73">
                  <c:v>359.88949341839725</c:v>
                </c:pt>
                <c:pt idx="74">
                  <c:v>358.36813496532011</c:v>
                </c:pt>
                <c:pt idx="75">
                  <c:v>370.2883607889886</c:v>
                </c:pt>
                <c:pt idx="76">
                  <c:v>378.33580049492787</c:v>
                </c:pt>
                <c:pt idx="77">
                  <c:v>374.60726322472573</c:v>
                </c:pt>
                <c:pt idx="78">
                  <c:v>369.37050584003322</c:v>
                </c:pt>
                <c:pt idx="79">
                  <c:v>371.0053329673193</c:v>
                </c:pt>
                <c:pt idx="80">
                  <c:v>375.17865444819358</c:v>
                </c:pt>
                <c:pt idx="81">
                  <c:v>358.81944065480218</c:v>
                </c:pt>
                <c:pt idx="82">
                  <c:v>364.62704195708392</c:v>
                </c:pt>
                <c:pt idx="83">
                  <c:v>368.62203686922976</c:v>
                </c:pt>
                <c:pt idx="84">
                  <c:v>360.15939260376678</c:v>
                </c:pt>
                <c:pt idx="85">
                  <c:v>352.51618275307101</c:v>
                </c:pt>
                <c:pt idx="86">
                  <c:v>358.8275416365326</c:v>
                </c:pt>
                <c:pt idx="87">
                  <c:v>364.69004713742282</c:v>
                </c:pt>
                <c:pt idx="88">
                  <c:v>352.05703892810902</c:v>
                </c:pt>
                <c:pt idx="89">
                  <c:v>343.75055566018131</c:v>
                </c:pt>
                <c:pt idx="90">
                  <c:v>330.5903573047118</c:v>
                </c:pt>
                <c:pt idx="91">
                  <c:v>322.09745547014711</c:v>
                </c:pt>
                <c:pt idx="92">
                  <c:v>326.91486359956372</c:v>
                </c:pt>
                <c:pt idx="93">
                  <c:v>340.68345727163859</c:v>
                </c:pt>
                <c:pt idx="94">
                  <c:v>333.8219591125789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474-FA46-A0A9-E06E8EA2867F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'Q6'!$E$18:$CU$18</c:f>
              <c:numCache>
                <c:formatCode>General</c:formatCode>
                <c:ptCount val="95"/>
                <c:pt idx="0">
                  <c:v>222.13</c:v>
                </c:pt>
                <c:pt idx="1">
                  <c:v>215.48962902970993</c:v>
                </c:pt>
                <c:pt idx="2">
                  <c:v>219.8259037657653</c:v>
                </c:pt>
                <c:pt idx="3">
                  <c:v>218.47903955373548</c:v>
                </c:pt>
                <c:pt idx="4">
                  <c:v>214.34984696597422</c:v>
                </c:pt>
                <c:pt idx="5">
                  <c:v>199.58478554450087</c:v>
                </c:pt>
                <c:pt idx="6">
                  <c:v>195.02494242308154</c:v>
                </c:pt>
                <c:pt idx="7">
                  <c:v>198.74451461302678</c:v>
                </c:pt>
                <c:pt idx="8">
                  <c:v>204.30661380300944</c:v>
                </c:pt>
                <c:pt idx="9">
                  <c:v>208.14255200614798</c:v>
                </c:pt>
                <c:pt idx="10">
                  <c:v>205.47260003358915</c:v>
                </c:pt>
                <c:pt idx="11">
                  <c:v>206.53295051048136</c:v>
                </c:pt>
                <c:pt idx="12">
                  <c:v>206.33929752090333</c:v>
                </c:pt>
                <c:pt idx="13">
                  <c:v>204.87355175605964</c:v>
                </c:pt>
                <c:pt idx="14">
                  <c:v>203.4084106728171</c:v>
                </c:pt>
                <c:pt idx="15">
                  <c:v>208.44892196406255</c:v>
                </c:pt>
                <c:pt idx="16">
                  <c:v>209.42589455157292</c:v>
                </c:pt>
                <c:pt idx="17">
                  <c:v>207.25272649386361</c:v>
                </c:pt>
                <c:pt idx="18">
                  <c:v>207.4220739613188</c:v>
                </c:pt>
                <c:pt idx="19">
                  <c:v>218.05424933218424</c:v>
                </c:pt>
                <c:pt idx="20">
                  <c:v>215.9166341008704</c:v>
                </c:pt>
                <c:pt idx="21">
                  <c:v>223.74350245308057</c:v>
                </c:pt>
                <c:pt idx="22">
                  <c:v>219.26184846813106</c:v>
                </c:pt>
                <c:pt idx="23">
                  <c:v>221.2301123117075</c:v>
                </c:pt>
                <c:pt idx="24">
                  <c:v>216.25384348090577</c:v>
                </c:pt>
                <c:pt idx="25">
                  <c:v>209.98478007871407</c:v>
                </c:pt>
                <c:pt idx="26">
                  <c:v>213.13827567548756</c:v>
                </c:pt>
                <c:pt idx="27">
                  <c:v>210.27100612694241</c:v>
                </c:pt>
                <c:pt idx="28">
                  <c:v>209.66627714939733</c:v>
                </c:pt>
                <c:pt idx="29">
                  <c:v>215.59754653005356</c:v>
                </c:pt>
                <c:pt idx="30">
                  <c:v>207.5016694099406</c:v>
                </c:pt>
                <c:pt idx="31">
                  <c:v>200.72188418053798</c:v>
                </c:pt>
                <c:pt idx="32">
                  <c:v>200.64180082815423</c:v>
                </c:pt>
                <c:pt idx="33">
                  <c:v>213.36701191184102</c:v>
                </c:pt>
                <c:pt idx="34">
                  <c:v>212.63185413052898</c:v>
                </c:pt>
                <c:pt idx="35">
                  <c:v>207.71686562411244</c:v>
                </c:pt>
                <c:pt idx="36">
                  <c:v>205.22890266968858</c:v>
                </c:pt>
                <c:pt idx="37">
                  <c:v>204.02189225638855</c:v>
                </c:pt>
                <c:pt idx="38">
                  <c:v>210.22036515700779</c:v>
                </c:pt>
                <c:pt idx="39">
                  <c:v>207.41263394218385</c:v>
                </c:pt>
                <c:pt idx="40">
                  <c:v>212.59101521005135</c:v>
                </c:pt>
                <c:pt idx="41">
                  <c:v>218.67352497777603</c:v>
                </c:pt>
                <c:pt idx="42">
                  <c:v>210.78137415713252</c:v>
                </c:pt>
                <c:pt idx="43">
                  <c:v>204.12005702804132</c:v>
                </c:pt>
                <c:pt idx="44">
                  <c:v>200.30158903383952</c:v>
                </c:pt>
                <c:pt idx="45">
                  <c:v>200.80814572624504</c:v>
                </c:pt>
                <c:pt idx="46">
                  <c:v>203.65712946641</c:v>
                </c:pt>
                <c:pt idx="47">
                  <c:v>198.14392365849133</c:v>
                </c:pt>
                <c:pt idx="48">
                  <c:v>200.81527920834952</c:v>
                </c:pt>
                <c:pt idx="49">
                  <c:v>196.51293558246707</c:v>
                </c:pt>
                <c:pt idx="50">
                  <c:v>203.44967966484907</c:v>
                </c:pt>
                <c:pt idx="51">
                  <c:v>201.05791717271688</c:v>
                </c:pt>
                <c:pt idx="52">
                  <c:v>195.94933421007795</c:v>
                </c:pt>
                <c:pt idx="53">
                  <c:v>194.64970392667561</c:v>
                </c:pt>
                <c:pt idx="54">
                  <c:v>205.27240909301864</c:v>
                </c:pt>
                <c:pt idx="55">
                  <c:v>206.36608524955028</c:v>
                </c:pt>
                <c:pt idx="56">
                  <c:v>197.48373452214801</c:v>
                </c:pt>
                <c:pt idx="57">
                  <c:v>195.09746677257326</c:v>
                </c:pt>
                <c:pt idx="58">
                  <c:v>195.45034758391316</c:v>
                </c:pt>
                <c:pt idx="59">
                  <c:v>199.48330360920585</c:v>
                </c:pt>
                <c:pt idx="60">
                  <c:v>189.8764554035404</c:v>
                </c:pt>
                <c:pt idx="61">
                  <c:v>193.88850271011339</c:v>
                </c:pt>
                <c:pt idx="62">
                  <c:v>187.11195522839472</c:v>
                </c:pt>
                <c:pt idx="63">
                  <c:v>183.70321102619741</c:v>
                </c:pt>
                <c:pt idx="64">
                  <c:v>184.53186996686824</c:v>
                </c:pt>
                <c:pt idx="65">
                  <c:v>179.03253920341515</c:v>
                </c:pt>
                <c:pt idx="66">
                  <c:v>176.04806595076991</c:v>
                </c:pt>
                <c:pt idx="67">
                  <c:v>175.52968134161171</c:v>
                </c:pt>
                <c:pt idx="68">
                  <c:v>172.12305697282378</c:v>
                </c:pt>
                <c:pt idx="69">
                  <c:v>177.50633295902597</c:v>
                </c:pt>
                <c:pt idx="70">
                  <c:v>179.78769923389794</c:v>
                </c:pt>
                <c:pt idx="71">
                  <c:v>179.13198415438453</c:v>
                </c:pt>
                <c:pt idx="72">
                  <c:v>187.67061654254658</c:v>
                </c:pt>
                <c:pt idx="73">
                  <c:v>188.91786911170232</c:v>
                </c:pt>
                <c:pt idx="74">
                  <c:v>187.7824261302797</c:v>
                </c:pt>
                <c:pt idx="75">
                  <c:v>183.76650246848055</c:v>
                </c:pt>
                <c:pt idx="76">
                  <c:v>180.10253354222539</c:v>
                </c:pt>
                <c:pt idx="77">
                  <c:v>184.34794059394736</c:v>
                </c:pt>
                <c:pt idx="78">
                  <c:v>184.10615595914047</c:v>
                </c:pt>
                <c:pt idx="79">
                  <c:v>186.67087289582918</c:v>
                </c:pt>
                <c:pt idx="80">
                  <c:v>184.47212311764511</c:v>
                </c:pt>
                <c:pt idx="81">
                  <c:v>188.20449463363374</c:v>
                </c:pt>
                <c:pt idx="82">
                  <c:v>187.96035517807385</c:v>
                </c:pt>
                <c:pt idx="83">
                  <c:v>180.34963485649106</c:v>
                </c:pt>
                <c:pt idx="84">
                  <c:v>177.48824525434333</c:v>
                </c:pt>
                <c:pt idx="85">
                  <c:v>175.78541419282357</c:v>
                </c:pt>
                <c:pt idx="86">
                  <c:v>174.34342994158939</c:v>
                </c:pt>
                <c:pt idx="87">
                  <c:v>173.68914552168445</c:v>
                </c:pt>
                <c:pt idx="88">
                  <c:v>166.19322817547686</c:v>
                </c:pt>
                <c:pt idx="89">
                  <c:v>172.1246610464454</c:v>
                </c:pt>
                <c:pt idx="90">
                  <c:v>172.06441271912249</c:v>
                </c:pt>
                <c:pt idx="91">
                  <c:v>170.7793956607664</c:v>
                </c:pt>
                <c:pt idx="92">
                  <c:v>169.835237688071</c:v>
                </c:pt>
                <c:pt idx="93">
                  <c:v>162.75181742336065</c:v>
                </c:pt>
                <c:pt idx="94">
                  <c:v>161.31462245711268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474-FA46-A0A9-E06E8EA2867F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'Q6'!$E$19:$CU$19</c:f>
              <c:numCache>
                <c:formatCode>General</c:formatCode>
                <c:ptCount val="95"/>
                <c:pt idx="0">
                  <c:v>222.13</c:v>
                </c:pt>
                <c:pt idx="1">
                  <c:v>218.81320466748795</c:v>
                </c:pt>
                <c:pt idx="2">
                  <c:v>223.87998717946493</c:v>
                </c:pt>
                <c:pt idx="3">
                  <c:v>226.64465620289275</c:v>
                </c:pt>
                <c:pt idx="4">
                  <c:v>219.49493099863261</c:v>
                </c:pt>
                <c:pt idx="5">
                  <c:v>218.75685198152391</c:v>
                </c:pt>
                <c:pt idx="6">
                  <c:v>218.99181561840538</c:v>
                </c:pt>
                <c:pt idx="7">
                  <c:v>220.3311179008914</c:v>
                </c:pt>
                <c:pt idx="8">
                  <c:v>224.81541816939199</c:v>
                </c:pt>
                <c:pt idx="9">
                  <c:v>227.63604074183988</c:v>
                </c:pt>
                <c:pt idx="10">
                  <c:v>225.70345264177334</c:v>
                </c:pt>
                <c:pt idx="11">
                  <c:v>232.23166270561734</c:v>
                </c:pt>
                <c:pt idx="12">
                  <c:v>234.05869463802313</c:v>
                </c:pt>
                <c:pt idx="13">
                  <c:v>234.4115183859403</c:v>
                </c:pt>
                <c:pt idx="14">
                  <c:v>237.87412611307394</c:v>
                </c:pt>
                <c:pt idx="15">
                  <c:v>233.52919354531448</c:v>
                </c:pt>
                <c:pt idx="16">
                  <c:v>237.15079664290633</c:v>
                </c:pt>
                <c:pt idx="17">
                  <c:v>234.45437001426282</c:v>
                </c:pt>
                <c:pt idx="18">
                  <c:v>241.49304108710396</c:v>
                </c:pt>
                <c:pt idx="19">
                  <c:v>252.76835914471854</c:v>
                </c:pt>
                <c:pt idx="20">
                  <c:v>247.13826130515343</c:v>
                </c:pt>
                <c:pt idx="21">
                  <c:v>256.89130085416519</c:v>
                </c:pt>
                <c:pt idx="22">
                  <c:v>257.91957096541762</c:v>
                </c:pt>
                <c:pt idx="23">
                  <c:v>257.96986678413737</c:v>
                </c:pt>
                <c:pt idx="24">
                  <c:v>258.87509244937894</c:v>
                </c:pt>
                <c:pt idx="25">
                  <c:v>259.66490329795568</c:v>
                </c:pt>
                <c:pt idx="26">
                  <c:v>257.91292660499346</c:v>
                </c:pt>
                <c:pt idx="27">
                  <c:v>257.11477378531754</c:v>
                </c:pt>
                <c:pt idx="28">
                  <c:v>259.95114904162881</c:v>
                </c:pt>
                <c:pt idx="29">
                  <c:v>260.62887586271432</c:v>
                </c:pt>
                <c:pt idx="30">
                  <c:v>264.24783013339049</c:v>
                </c:pt>
                <c:pt idx="31">
                  <c:v>263.68688727197213</c:v>
                </c:pt>
                <c:pt idx="32">
                  <c:v>257.15221689294492</c:v>
                </c:pt>
                <c:pt idx="33">
                  <c:v>261.03195780647951</c:v>
                </c:pt>
                <c:pt idx="34">
                  <c:v>250.91327602139094</c:v>
                </c:pt>
                <c:pt idx="35">
                  <c:v>261.52814005153954</c:v>
                </c:pt>
                <c:pt idx="36">
                  <c:v>248.76094022883126</c:v>
                </c:pt>
                <c:pt idx="37">
                  <c:v>243.71559060693141</c:v>
                </c:pt>
                <c:pt idx="38">
                  <c:v>243.70278915945644</c:v>
                </c:pt>
                <c:pt idx="39">
                  <c:v>243.49449981089694</c:v>
                </c:pt>
                <c:pt idx="40">
                  <c:v>244.28201637532024</c:v>
                </c:pt>
                <c:pt idx="41">
                  <c:v>241.218505338608</c:v>
                </c:pt>
                <c:pt idx="42">
                  <c:v>243.06663191053889</c:v>
                </c:pt>
                <c:pt idx="43">
                  <c:v>244.40319346544919</c:v>
                </c:pt>
                <c:pt idx="44">
                  <c:v>247.32181194068988</c:v>
                </c:pt>
                <c:pt idx="45">
                  <c:v>250.02525604488017</c:v>
                </c:pt>
                <c:pt idx="46">
                  <c:v>249.97461615749273</c:v>
                </c:pt>
                <c:pt idx="47">
                  <c:v>254.20779964664192</c:v>
                </c:pt>
                <c:pt idx="48">
                  <c:v>254.9370965963237</c:v>
                </c:pt>
                <c:pt idx="49">
                  <c:v>259.79607355490469</c:v>
                </c:pt>
                <c:pt idx="50">
                  <c:v>266.01023846183682</c:v>
                </c:pt>
                <c:pt idx="51">
                  <c:v>258.11691699051312</c:v>
                </c:pt>
                <c:pt idx="52">
                  <c:v>254.75160171620033</c:v>
                </c:pt>
                <c:pt idx="53">
                  <c:v>268.33991146457026</c:v>
                </c:pt>
                <c:pt idx="54">
                  <c:v>270.26183318155472</c:v>
                </c:pt>
                <c:pt idx="55">
                  <c:v>265.22364739521811</c:v>
                </c:pt>
                <c:pt idx="56">
                  <c:v>269.28610458946849</c:v>
                </c:pt>
                <c:pt idx="57">
                  <c:v>268.45798911989897</c:v>
                </c:pt>
                <c:pt idx="58">
                  <c:v>260.22537995545997</c:v>
                </c:pt>
                <c:pt idx="59">
                  <c:v>267.96169764365339</c:v>
                </c:pt>
                <c:pt idx="60">
                  <c:v>264.11301892183809</c:v>
                </c:pt>
                <c:pt idx="61">
                  <c:v>275.77746732805383</c:v>
                </c:pt>
                <c:pt idx="62">
                  <c:v>271.32825474426045</c:v>
                </c:pt>
                <c:pt idx="63">
                  <c:v>281.73433022671679</c:v>
                </c:pt>
                <c:pt idx="64">
                  <c:v>286.26406845635819</c:v>
                </c:pt>
                <c:pt idx="65">
                  <c:v>289.2988829029976</c:v>
                </c:pt>
                <c:pt idx="66">
                  <c:v>287.52529546711827</c:v>
                </c:pt>
                <c:pt idx="67">
                  <c:v>285.11819016143573</c:v>
                </c:pt>
                <c:pt idx="68">
                  <c:v>295.08516665918688</c:v>
                </c:pt>
                <c:pt idx="69">
                  <c:v>295.49528198923269</c:v>
                </c:pt>
                <c:pt idx="70">
                  <c:v>287.81877626096929</c:v>
                </c:pt>
                <c:pt idx="71">
                  <c:v>290.04032513964933</c:v>
                </c:pt>
                <c:pt idx="72">
                  <c:v>290.86387175971907</c:v>
                </c:pt>
                <c:pt idx="73">
                  <c:v>291.95689405873281</c:v>
                </c:pt>
                <c:pt idx="74">
                  <c:v>305.13050529788103</c:v>
                </c:pt>
                <c:pt idx="75">
                  <c:v>304.48725851294165</c:v>
                </c:pt>
                <c:pt idx="76">
                  <c:v>321.49562790936642</c:v>
                </c:pt>
                <c:pt idx="77">
                  <c:v>321.45693248486799</c:v>
                </c:pt>
                <c:pt idx="78">
                  <c:v>314.93479802741973</c:v>
                </c:pt>
                <c:pt idx="79">
                  <c:v>307.93551891298944</c:v>
                </c:pt>
                <c:pt idx="80">
                  <c:v>311.37336159465269</c:v>
                </c:pt>
                <c:pt idx="81">
                  <c:v>319.27521626453586</c:v>
                </c:pt>
                <c:pt idx="82">
                  <c:v>319.91763407884747</c:v>
                </c:pt>
                <c:pt idx="83">
                  <c:v>331.14431992816856</c:v>
                </c:pt>
                <c:pt idx="84">
                  <c:v>338.40354132427768</c:v>
                </c:pt>
                <c:pt idx="85">
                  <c:v>328.73545191874939</c:v>
                </c:pt>
                <c:pt idx="86">
                  <c:v>340.44974258476373</c:v>
                </c:pt>
                <c:pt idx="87">
                  <c:v>346.06073314735397</c:v>
                </c:pt>
                <c:pt idx="88">
                  <c:v>341.55241320413609</c:v>
                </c:pt>
                <c:pt idx="89">
                  <c:v>340.6486194115439</c:v>
                </c:pt>
                <c:pt idx="90">
                  <c:v>333.46854391586874</c:v>
                </c:pt>
                <c:pt idx="91">
                  <c:v>330.34236533577263</c:v>
                </c:pt>
                <c:pt idx="92">
                  <c:v>324.74894170517342</c:v>
                </c:pt>
                <c:pt idx="93">
                  <c:v>313.99283437257554</c:v>
                </c:pt>
                <c:pt idx="94">
                  <c:v>318.87053090861673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474-FA46-A0A9-E06E8EA2867F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'Q6'!$E$20:$CU$20</c:f>
              <c:numCache>
                <c:formatCode>General</c:formatCode>
                <c:ptCount val="95"/>
                <c:pt idx="0">
                  <c:v>222.13</c:v>
                </c:pt>
                <c:pt idx="1">
                  <c:v>224.52074486730169</c:v>
                </c:pt>
                <c:pt idx="2">
                  <c:v>221.85835503128769</c:v>
                </c:pt>
                <c:pt idx="3">
                  <c:v>223.01666059366195</c:v>
                </c:pt>
                <c:pt idx="4">
                  <c:v>225.0258371094468</c:v>
                </c:pt>
                <c:pt idx="5">
                  <c:v>222.2303865614185</c:v>
                </c:pt>
                <c:pt idx="6">
                  <c:v>219.42310345173868</c:v>
                </c:pt>
                <c:pt idx="7">
                  <c:v>222.06079381221014</c:v>
                </c:pt>
                <c:pt idx="8">
                  <c:v>214.74566332081685</c:v>
                </c:pt>
                <c:pt idx="9">
                  <c:v>210.18305609949664</c:v>
                </c:pt>
                <c:pt idx="10">
                  <c:v>221.19458371331456</c:v>
                </c:pt>
                <c:pt idx="11">
                  <c:v>229.09984871789106</c:v>
                </c:pt>
                <c:pt idx="12">
                  <c:v>240.10516668132632</c:v>
                </c:pt>
                <c:pt idx="13">
                  <c:v>253.55815547582051</c:v>
                </c:pt>
                <c:pt idx="14">
                  <c:v>246.75822184169695</c:v>
                </c:pt>
                <c:pt idx="15">
                  <c:v>245.06550912978557</c:v>
                </c:pt>
                <c:pt idx="16">
                  <c:v>255.86999561747803</c:v>
                </c:pt>
                <c:pt idx="17">
                  <c:v>258.57732024128512</c:v>
                </c:pt>
                <c:pt idx="18">
                  <c:v>250.43520543656086</c:v>
                </c:pt>
                <c:pt idx="19">
                  <c:v>247.98247658341657</c:v>
                </c:pt>
                <c:pt idx="20">
                  <c:v>257.30106249852162</c:v>
                </c:pt>
                <c:pt idx="21">
                  <c:v>250.8955103817014</c:v>
                </c:pt>
                <c:pt idx="22">
                  <c:v>247.90983799983005</c:v>
                </c:pt>
                <c:pt idx="23">
                  <c:v>245.95401822671002</c:v>
                </c:pt>
                <c:pt idx="24">
                  <c:v>255.07533588656537</c:v>
                </c:pt>
                <c:pt idx="25">
                  <c:v>253.58216151475645</c:v>
                </c:pt>
                <c:pt idx="26">
                  <c:v>245.47362828622161</c:v>
                </c:pt>
                <c:pt idx="27">
                  <c:v>239.68398418864331</c:v>
                </c:pt>
                <c:pt idx="28">
                  <c:v>234.8109717182389</c:v>
                </c:pt>
                <c:pt idx="29">
                  <c:v>235.87381205681024</c:v>
                </c:pt>
                <c:pt idx="30">
                  <c:v>243.13807858425221</c:v>
                </c:pt>
                <c:pt idx="31">
                  <c:v>239.82042482273746</c:v>
                </c:pt>
                <c:pt idx="32">
                  <c:v>248.61760034184098</c:v>
                </c:pt>
                <c:pt idx="33">
                  <c:v>252.53427375766447</c:v>
                </c:pt>
                <c:pt idx="34">
                  <c:v>249.75198740980605</c:v>
                </c:pt>
                <c:pt idx="35">
                  <c:v>252.91530592776698</c:v>
                </c:pt>
                <c:pt idx="36">
                  <c:v>259.38488152182043</c:v>
                </c:pt>
                <c:pt idx="37">
                  <c:v>252.34674753438063</c:v>
                </c:pt>
                <c:pt idx="38">
                  <c:v>252.81724009288615</c:v>
                </c:pt>
                <c:pt idx="39">
                  <c:v>268.81700652288913</c:v>
                </c:pt>
                <c:pt idx="40">
                  <c:v>275.93243130706196</c:v>
                </c:pt>
                <c:pt idx="41">
                  <c:v>283.22358489976932</c:v>
                </c:pt>
                <c:pt idx="42">
                  <c:v>288.5672502094493</c:v>
                </c:pt>
                <c:pt idx="43">
                  <c:v>286.53084596897372</c:v>
                </c:pt>
                <c:pt idx="44">
                  <c:v>277.96457488581342</c:v>
                </c:pt>
                <c:pt idx="45">
                  <c:v>292.48007805533143</c:v>
                </c:pt>
                <c:pt idx="46">
                  <c:v>288.21268857272605</c:v>
                </c:pt>
                <c:pt idx="47">
                  <c:v>278.29222467900269</c:v>
                </c:pt>
                <c:pt idx="48">
                  <c:v>283.60474036148457</c:v>
                </c:pt>
                <c:pt idx="49">
                  <c:v>288.06610891883065</c:v>
                </c:pt>
                <c:pt idx="50">
                  <c:v>298.01164727865455</c:v>
                </c:pt>
                <c:pt idx="51">
                  <c:v>293.05006262627694</c:v>
                </c:pt>
                <c:pt idx="52">
                  <c:v>294.44649857857485</c:v>
                </c:pt>
                <c:pt idx="53">
                  <c:v>292.42066751009378</c:v>
                </c:pt>
                <c:pt idx="54">
                  <c:v>288.9474840070132</c:v>
                </c:pt>
                <c:pt idx="55">
                  <c:v>287.97934983706796</c:v>
                </c:pt>
                <c:pt idx="56">
                  <c:v>288.60464958616558</c:v>
                </c:pt>
                <c:pt idx="57">
                  <c:v>284.63912892192957</c:v>
                </c:pt>
                <c:pt idx="58">
                  <c:v>276.95095524119893</c:v>
                </c:pt>
                <c:pt idx="59">
                  <c:v>282.33630432685942</c:v>
                </c:pt>
                <c:pt idx="60">
                  <c:v>291.62990009686661</c:v>
                </c:pt>
                <c:pt idx="61">
                  <c:v>280.99810224974783</c:v>
                </c:pt>
                <c:pt idx="62">
                  <c:v>276.6785401505233</c:v>
                </c:pt>
                <c:pt idx="63">
                  <c:v>278.48392231712012</c:v>
                </c:pt>
                <c:pt idx="64">
                  <c:v>270.82045522825371</c:v>
                </c:pt>
                <c:pt idx="65">
                  <c:v>278.11804479523602</c:v>
                </c:pt>
                <c:pt idx="66">
                  <c:v>285.20146094578985</c:v>
                </c:pt>
                <c:pt idx="67">
                  <c:v>289.39140193944854</c:v>
                </c:pt>
                <c:pt idx="68">
                  <c:v>282.27203399074023</c:v>
                </c:pt>
                <c:pt idx="69">
                  <c:v>274.75752723024306</c:v>
                </c:pt>
                <c:pt idx="70">
                  <c:v>268.43727458804915</c:v>
                </c:pt>
                <c:pt idx="71">
                  <c:v>271.10551267451393</c:v>
                </c:pt>
                <c:pt idx="72">
                  <c:v>259.71649470345193</c:v>
                </c:pt>
                <c:pt idx="73">
                  <c:v>256.95884729313298</c:v>
                </c:pt>
                <c:pt idx="74">
                  <c:v>254.42091227955058</c:v>
                </c:pt>
                <c:pt idx="75">
                  <c:v>248.74204900117363</c:v>
                </c:pt>
                <c:pt idx="76">
                  <c:v>249.68876772066804</c:v>
                </c:pt>
                <c:pt idx="77">
                  <c:v>259.01975989154198</c:v>
                </c:pt>
                <c:pt idx="78">
                  <c:v>260.99800362186323</c:v>
                </c:pt>
                <c:pt idx="79">
                  <c:v>255.57084118617109</c:v>
                </c:pt>
                <c:pt idx="80">
                  <c:v>243.96946572572386</c:v>
                </c:pt>
                <c:pt idx="81">
                  <c:v>240.08323959718084</c:v>
                </c:pt>
                <c:pt idx="82">
                  <c:v>239.33796130575439</c:v>
                </c:pt>
                <c:pt idx="83">
                  <c:v>242.25408588195083</c:v>
                </c:pt>
                <c:pt idx="84">
                  <c:v>247.36156603043457</c:v>
                </c:pt>
                <c:pt idx="85">
                  <c:v>245.30453384854232</c:v>
                </c:pt>
                <c:pt idx="86">
                  <c:v>239.74820045593285</c:v>
                </c:pt>
                <c:pt idx="87">
                  <c:v>243.15653006641031</c:v>
                </c:pt>
                <c:pt idx="88">
                  <c:v>252.06455137578951</c:v>
                </c:pt>
                <c:pt idx="89">
                  <c:v>252.07409583673928</c:v>
                </c:pt>
                <c:pt idx="90">
                  <c:v>252.46199981544214</c:v>
                </c:pt>
                <c:pt idx="91">
                  <c:v>259.69920184386183</c:v>
                </c:pt>
                <c:pt idx="92">
                  <c:v>268.35621109060185</c:v>
                </c:pt>
                <c:pt idx="93">
                  <c:v>263.40837939326326</c:v>
                </c:pt>
                <c:pt idx="94">
                  <c:v>263.66756945521917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474-FA46-A0A9-E06E8EA2867F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'Q6'!$E$21:$CU$21</c:f>
              <c:numCache>
                <c:formatCode>General</c:formatCode>
                <c:ptCount val="95"/>
                <c:pt idx="0">
                  <c:v>222.13</c:v>
                </c:pt>
                <c:pt idx="1">
                  <c:v>228.70103987773669</c:v>
                </c:pt>
                <c:pt idx="2">
                  <c:v>232.03056723646961</c:v>
                </c:pt>
                <c:pt idx="3">
                  <c:v>233.92989979149203</c:v>
                </c:pt>
                <c:pt idx="4">
                  <c:v>239.9157462643505</c:v>
                </c:pt>
                <c:pt idx="5">
                  <c:v>242.91571438103236</c:v>
                </c:pt>
                <c:pt idx="6">
                  <c:v>247.32438541645726</c:v>
                </c:pt>
                <c:pt idx="7">
                  <c:v>242.54113565433997</c:v>
                </c:pt>
                <c:pt idx="8">
                  <c:v>238.5751861216992</c:v>
                </c:pt>
                <c:pt idx="9">
                  <c:v>239.51099429700548</c:v>
                </c:pt>
                <c:pt idx="10">
                  <c:v>240.62808089963377</c:v>
                </c:pt>
                <c:pt idx="11">
                  <c:v>238.88198927392276</c:v>
                </c:pt>
                <c:pt idx="12">
                  <c:v>238.57230184881169</c:v>
                </c:pt>
                <c:pt idx="13">
                  <c:v>234.15713877183779</c:v>
                </c:pt>
                <c:pt idx="14">
                  <c:v>236.98778249926829</c:v>
                </c:pt>
                <c:pt idx="15">
                  <c:v>239.73625028621373</c:v>
                </c:pt>
                <c:pt idx="16">
                  <c:v>230.48384708226973</c:v>
                </c:pt>
                <c:pt idx="17">
                  <c:v>230.09947089743994</c:v>
                </c:pt>
                <c:pt idx="18">
                  <c:v>232.61409444859305</c:v>
                </c:pt>
                <c:pt idx="19">
                  <c:v>241.93008389267959</c:v>
                </c:pt>
                <c:pt idx="20">
                  <c:v>244.86913675614471</c:v>
                </c:pt>
                <c:pt idx="21">
                  <c:v>231.84712839345815</c:v>
                </c:pt>
                <c:pt idx="22">
                  <c:v>229.66592073826962</c:v>
                </c:pt>
                <c:pt idx="23">
                  <c:v>221.59045482737292</c:v>
                </c:pt>
                <c:pt idx="24">
                  <c:v>226.51597153456009</c:v>
                </c:pt>
                <c:pt idx="25">
                  <c:v>230.56219202332662</c:v>
                </c:pt>
                <c:pt idx="26">
                  <c:v>239.78801822543093</c:v>
                </c:pt>
                <c:pt idx="27">
                  <c:v>235.66289540976916</c:v>
                </c:pt>
                <c:pt idx="28">
                  <c:v>235.73826224593819</c:v>
                </c:pt>
                <c:pt idx="29">
                  <c:v>227.99966052966391</c:v>
                </c:pt>
                <c:pt idx="30">
                  <c:v>226.18532958838827</c:v>
                </c:pt>
                <c:pt idx="31">
                  <c:v>219.98148096194723</c:v>
                </c:pt>
                <c:pt idx="32">
                  <c:v>214.06417121493564</c:v>
                </c:pt>
                <c:pt idx="33">
                  <c:v>210.3488156676728</c:v>
                </c:pt>
                <c:pt idx="34">
                  <c:v>212.4794942662468</c:v>
                </c:pt>
                <c:pt idx="35">
                  <c:v>209.72753818344697</c:v>
                </c:pt>
                <c:pt idx="36">
                  <c:v>212.54555268584386</c:v>
                </c:pt>
                <c:pt idx="37">
                  <c:v>208.89444360411798</c:v>
                </c:pt>
                <c:pt idx="38">
                  <c:v>211.6526439060209</c:v>
                </c:pt>
                <c:pt idx="39">
                  <c:v>205.72800162700563</c:v>
                </c:pt>
                <c:pt idx="40">
                  <c:v>207.23768484181434</c:v>
                </c:pt>
                <c:pt idx="41">
                  <c:v>211.20883045966528</c:v>
                </c:pt>
                <c:pt idx="42">
                  <c:v>211.09315576688519</c:v>
                </c:pt>
                <c:pt idx="43">
                  <c:v>213.4196869759806</c:v>
                </c:pt>
                <c:pt idx="44">
                  <c:v>204.2215240247408</c:v>
                </c:pt>
                <c:pt idx="45">
                  <c:v>198.49975867833126</c:v>
                </c:pt>
                <c:pt idx="46">
                  <c:v>185.66865437351285</c:v>
                </c:pt>
                <c:pt idx="47">
                  <c:v>189.08221011684034</c:v>
                </c:pt>
                <c:pt idx="48">
                  <c:v>181.4292977911187</c:v>
                </c:pt>
                <c:pt idx="49">
                  <c:v>183.69090296782875</c:v>
                </c:pt>
                <c:pt idx="50">
                  <c:v>186.2792554785448</c:v>
                </c:pt>
                <c:pt idx="51">
                  <c:v>191.39505566421477</c:v>
                </c:pt>
                <c:pt idx="52">
                  <c:v>187.93485841784479</c:v>
                </c:pt>
                <c:pt idx="53">
                  <c:v>199.26882868468826</c:v>
                </c:pt>
                <c:pt idx="54">
                  <c:v>193.55835825866578</c:v>
                </c:pt>
                <c:pt idx="55">
                  <c:v>194.99437418053233</c:v>
                </c:pt>
                <c:pt idx="56">
                  <c:v>201.51467812013033</c:v>
                </c:pt>
                <c:pt idx="57">
                  <c:v>202.39935073899554</c:v>
                </c:pt>
                <c:pt idx="58">
                  <c:v>206.56660897188112</c:v>
                </c:pt>
                <c:pt idx="59">
                  <c:v>199.89605054555079</c:v>
                </c:pt>
                <c:pt idx="60">
                  <c:v>193.61675826383996</c:v>
                </c:pt>
                <c:pt idx="61">
                  <c:v>200.20550848843783</c:v>
                </c:pt>
                <c:pt idx="62">
                  <c:v>202.44876602611942</c:v>
                </c:pt>
                <c:pt idx="63">
                  <c:v>192.46688588024665</c:v>
                </c:pt>
                <c:pt idx="64">
                  <c:v>196.33869243732289</c:v>
                </c:pt>
                <c:pt idx="65">
                  <c:v>198.01797893769796</c:v>
                </c:pt>
                <c:pt idx="66">
                  <c:v>203.91948360741705</c:v>
                </c:pt>
                <c:pt idx="67">
                  <c:v>201.26488122788911</c:v>
                </c:pt>
                <c:pt idx="68">
                  <c:v>202.28275228721492</c:v>
                </c:pt>
                <c:pt idx="69">
                  <c:v>205.74041618547065</c:v>
                </c:pt>
                <c:pt idx="70">
                  <c:v>198.26618108498192</c:v>
                </c:pt>
                <c:pt idx="71">
                  <c:v>190.33600591105338</c:v>
                </c:pt>
                <c:pt idx="72">
                  <c:v>193.30086992608949</c:v>
                </c:pt>
                <c:pt idx="73">
                  <c:v>200.82160003880452</c:v>
                </c:pt>
                <c:pt idx="74">
                  <c:v>207.95525518554888</c:v>
                </c:pt>
                <c:pt idx="75">
                  <c:v>207.20910213301596</c:v>
                </c:pt>
                <c:pt idx="76">
                  <c:v>204.81442028035738</c:v>
                </c:pt>
                <c:pt idx="77">
                  <c:v>214.15969664431785</c:v>
                </c:pt>
                <c:pt idx="78">
                  <c:v>214.86697796044794</c:v>
                </c:pt>
                <c:pt idx="79">
                  <c:v>218.3590252736216</c:v>
                </c:pt>
                <c:pt idx="80">
                  <c:v>218.63642774981432</c:v>
                </c:pt>
                <c:pt idx="81">
                  <c:v>222.10295436157475</c:v>
                </c:pt>
                <c:pt idx="82">
                  <c:v>214.93481803073624</c:v>
                </c:pt>
                <c:pt idx="83">
                  <c:v>211.3751956250523</c:v>
                </c:pt>
                <c:pt idx="84">
                  <c:v>212.86581902804411</c:v>
                </c:pt>
                <c:pt idx="85">
                  <c:v>217.48782205318795</c:v>
                </c:pt>
                <c:pt idx="86">
                  <c:v>212.61576061655865</c:v>
                </c:pt>
                <c:pt idx="87">
                  <c:v>219.51438296205976</c:v>
                </c:pt>
                <c:pt idx="88">
                  <c:v>220.01944997254662</c:v>
                </c:pt>
                <c:pt idx="89">
                  <c:v>219.94960084599526</c:v>
                </c:pt>
                <c:pt idx="90">
                  <c:v>223.60506833083983</c:v>
                </c:pt>
                <c:pt idx="91">
                  <c:v>220.37897339127727</c:v>
                </c:pt>
                <c:pt idx="92">
                  <c:v>218.43581931864694</c:v>
                </c:pt>
                <c:pt idx="93">
                  <c:v>224.8046843485416</c:v>
                </c:pt>
                <c:pt idx="94">
                  <c:v>230.20040871631622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474-FA46-A0A9-E06E8EA2867F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'Q6'!$E$22:$CU$22</c:f>
              <c:numCache>
                <c:formatCode>General</c:formatCode>
                <c:ptCount val="95"/>
                <c:pt idx="0">
                  <c:v>222.13</c:v>
                </c:pt>
                <c:pt idx="1">
                  <c:v>216.67903019556411</c:v>
                </c:pt>
                <c:pt idx="2">
                  <c:v>213.24973559971141</c:v>
                </c:pt>
                <c:pt idx="3">
                  <c:v>209.58098510135937</c:v>
                </c:pt>
                <c:pt idx="4">
                  <c:v>204.72264058282155</c:v>
                </c:pt>
                <c:pt idx="5">
                  <c:v>203.70727952434248</c:v>
                </c:pt>
                <c:pt idx="6">
                  <c:v>199.80808802875748</c:v>
                </c:pt>
                <c:pt idx="7">
                  <c:v>197.54668664590471</c:v>
                </c:pt>
                <c:pt idx="8">
                  <c:v>195.62401191350185</c:v>
                </c:pt>
                <c:pt idx="9">
                  <c:v>197.74233048767874</c:v>
                </c:pt>
                <c:pt idx="10">
                  <c:v>197.17488405558154</c:v>
                </c:pt>
                <c:pt idx="11">
                  <c:v>191.85039300257111</c:v>
                </c:pt>
                <c:pt idx="12">
                  <c:v>190.74747065893948</c:v>
                </c:pt>
                <c:pt idx="13">
                  <c:v>194.80296622773213</c:v>
                </c:pt>
                <c:pt idx="14">
                  <c:v>195.31549635935781</c:v>
                </c:pt>
                <c:pt idx="15">
                  <c:v>189.63760011687012</c:v>
                </c:pt>
                <c:pt idx="16">
                  <c:v>186.94226050523326</c:v>
                </c:pt>
                <c:pt idx="17">
                  <c:v>189.93241154560116</c:v>
                </c:pt>
                <c:pt idx="18">
                  <c:v>192.4247611556342</c:v>
                </c:pt>
                <c:pt idx="19">
                  <c:v>200.8297623487918</c:v>
                </c:pt>
                <c:pt idx="20">
                  <c:v>199.9099901400823</c:v>
                </c:pt>
                <c:pt idx="21">
                  <c:v>197.67283277028454</c:v>
                </c:pt>
                <c:pt idx="22">
                  <c:v>194.62360890130358</c:v>
                </c:pt>
                <c:pt idx="23">
                  <c:v>188.11964555179279</c:v>
                </c:pt>
                <c:pt idx="24">
                  <c:v>190.79783327568472</c:v>
                </c:pt>
                <c:pt idx="25">
                  <c:v>195.78521598220212</c:v>
                </c:pt>
                <c:pt idx="26">
                  <c:v>194.21134104817995</c:v>
                </c:pt>
                <c:pt idx="27">
                  <c:v>193.87824335368336</c:v>
                </c:pt>
                <c:pt idx="28">
                  <c:v>198.02955319878714</c:v>
                </c:pt>
                <c:pt idx="29">
                  <c:v>198.67920260694626</c:v>
                </c:pt>
                <c:pt idx="30">
                  <c:v>202.15029682235934</c:v>
                </c:pt>
                <c:pt idx="31">
                  <c:v>200.80123133523793</c:v>
                </c:pt>
                <c:pt idx="32">
                  <c:v>200.81054876793183</c:v>
                </c:pt>
                <c:pt idx="33">
                  <c:v>206.50899731030307</c:v>
                </c:pt>
                <c:pt idx="34">
                  <c:v>208.35710690915573</c:v>
                </c:pt>
                <c:pt idx="35">
                  <c:v>213.71015643892963</c:v>
                </c:pt>
                <c:pt idx="36">
                  <c:v>217.28916473241546</c:v>
                </c:pt>
                <c:pt idx="37">
                  <c:v>218.09315889522188</c:v>
                </c:pt>
                <c:pt idx="38">
                  <c:v>210.01894336062304</c:v>
                </c:pt>
                <c:pt idx="39">
                  <c:v>204.57266613451824</c:v>
                </c:pt>
                <c:pt idx="40">
                  <c:v>197.52934468058862</c:v>
                </c:pt>
                <c:pt idx="41">
                  <c:v>200.781855552975</c:v>
                </c:pt>
                <c:pt idx="42">
                  <c:v>201.80184395632065</c:v>
                </c:pt>
                <c:pt idx="43">
                  <c:v>196.36056026894943</c:v>
                </c:pt>
                <c:pt idx="44">
                  <c:v>194.58352240980005</c:v>
                </c:pt>
                <c:pt idx="45">
                  <c:v>197.3609371178521</c:v>
                </c:pt>
                <c:pt idx="46">
                  <c:v>191.9902861359956</c:v>
                </c:pt>
                <c:pt idx="47">
                  <c:v>189.36508381369796</c:v>
                </c:pt>
                <c:pt idx="48">
                  <c:v>188.01859954153079</c:v>
                </c:pt>
                <c:pt idx="49">
                  <c:v>183.30930938574076</c:v>
                </c:pt>
                <c:pt idx="50">
                  <c:v>192.20815386950045</c:v>
                </c:pt>
                <c:pt idx="51">
                  <c:v>190.86596442089404</c:v>
                </c:pt>
                <c:pt idx="52">
                  <c:v>196.85587627287646</c:v>
                </c:pt>
                <c:pt idx="53">
                  <c:v>198.30786487006563</c:v>
                </c:pt>
                <c:pt idx="54">
                  <c:v>198.8151059025499</c:v>
                </c:pt>
                <c:pt idx="55">
                  <c:v>193.61636309287016</c:v>
                </c:pt>
                <c:pt idx="56">
                  <c:v>192.22232583210706</c:v>
                </c:pt>
                <c:pt idx="57">
                  <c:v>187.57587015562805</c:v>
                </c:pt>
                <c:pt idx="58">
                  <c:v>181.54465556884122</c:v>
                </c:pt>
                <c:pt idx="59">
                  <c:v>181.62966476779351</c:v>
                </c:pt>
                <c:pt idx="60">
                  <c:v>176.07575815726341</c:v>
                </c:pt>
                <c:pt idx="61">
                  <c:v>177.69799192944001</c:v>
                </c:pt>
                <c:pt idx="62">
                  <c:v>174.38648009716124</c:v>
                </c:pt>
                <c:pt idx="63">
                  <c:v>171.44898551656024</c:v>
                </c:pt>
                <c:pt idx="64">
                  <c:v>170.11833189381684</c:v>
                </c:pt>
                <c:pt idx="65">
                  <c:v>173.43902006835575</c:v>
                </c:pt>
                <c:pt idx="66">
                  <c:v>168.32261265586826</c:v>
                </c:pt>
                <c:pt idx="67">
                  <c:v>164.75837725838781</c:v>
                </c:pt>
                <c:pt idx="68">
                  <c:v>167.28044412298874</c:v>
                </c:pt>
                <c:pt idx="69">
                  <c:v>164.6004427623659</c:v>
                </c:pt>
                <c:pt idx="70">
                  <c:v>162.66282417733899</c:v>
                </c:pt>
                <c:pt idx="71">
                  <c:v>162.84262996132688</c:v>
                </c:pt>
                <c:pt idx="72">
                  <c:v>167.11009778323032</c:v>
                </c:pt>
                <c:pt idx="73">
                  <c:v>171.35075212028912</c:v>
                </c:pt>
                <c:pt idx="74">
                  <c:v>163.88697640174584</c:v>
                </c:pt>
                <c:pt idx="75">
                  <c:v>162.47887473978588</c:v>
                </c:pt>
                <c:pt idx="76">
                  <c:v>169.28454819292151</c:v>
                </c:pt>
                <c:pt idx="77">
                  <c:v>165.28933840045292</c:v>
                </c:pt>
                <c:pt idx="78">
                  <c:v>161.65298342270856</c:v>
                </c:pt>
                <c:pt idx="79">
                  <c:v>161.34743314563792</c:v>
                </c:pt>
                <c:pt idx="80">
                  <c:v>163.95388777277299</c:v>
                </c:pt>
                <c:pt idx="81">
                  <c:v>166.79084385668128</c:v>
                </c:pt>
                <c:pt idx="82">
                  <c:v>162.44983749889099</c:v>
                </c:pt>
                <c:pt idx="83">
                  <c:v>162.50557217414007</c:v>
                </c:pt>
                <c:pt idx="84">
                  <c:v>165.61259315615609</c:v>
                </c:pt>
                <c:pt idx="85">
                  <c:v>167.33719875828254</c:v>
                </c:pt>
                <c:pt idx="86">
                  <c:v>173.1826280197449</c:v>
                </c:pt>
                <c:pt idx="87">
                  <c:v>173.08855165516184</c:v>
                </c:pt>
                <c:pt idx="88">
                  <c:v>182.12004886056997</c:v>
                </c:pt>
                <c:pt idx="89">
                  <c:v>175.36078543412975</c:v>
                </c:pt>
                <c:pt idx="90">
                  <c:v>172.01485742143547</c:v>
                </c:pt>
                <c:pt idx="91">
                  <c:v>179.4863289303652</c:v>
                </c:pt>
                <c:pt idx="92">
                  <c:v>181.93005553216571</c:v>
                </c:pt>
                <c:pt idx="93">
                  <c:v>183.32304453926363</c:v>
                </c:pt>
                <c:pt idx="94">
                  <c:v>186.67362533983376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474-FA46-A0A9-E06E8EA2867F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'Q6'!$E$23:$CU$23</c:f>
              <c:numCache>
                <c:formatCode>General</c:formatCode>
                <c:ptCount val="95"/>
                <c:pt idx="0">
                  <c:v>222.13</c:v>
                </c:pt>
                <c:pt idx="1">
                  <c:v>223.83885203891364</c:v>
                </c:pt>
                <c:pt idx="2">
                  <c:v>219.57685209703192</c:v>
                </c:pt>
                <c:pt idx="3">
                  <c:v>213.63907943423095</c:v>
                </c:pt>
                <c:pt idx="4">
                  <c:v>213.22053813576429</c:v>
                </c:pt>
                <c:pt idx="5">
                  <c:v>208.89740211938917</c:v>
                </c:pt>
                <c:pt idx="6">
                  <c:v>209.30631664626642</c:v>
                </c:pt>
                <c:pt idx="7">
                  <c:v>214.41904826836392</c:v>
                </c:pt>
                <c:pt idx="8">
                  <c:v>218.08808302960929</c:v>
                </c:pt>
                <c:pt idx="9">
                  <c:v>217.85071437332584</c:v>
                </c:pt>
                <c:pt idx="10">
                  <c:v>213.23317443009245</c:v>
                </c:pt>
                <c:pt idx="11">
                  <c:v>213.25112742539943</c:v>
                </c:pt>
                <c:pt idx="12">
                  <c:v>205.56819885471896</c:v>
                </c:pt>
                <c:pt idx="13">
                  <c:v>202.4368856237148</c:v>
                </c:pt>
                <c:pt idx="14">
                  <c:v>206.93212732936493</c:v>
                </c:pt>
                <c:pt idx="15">
                  <c:v>202.86323367997616</c:v>
                </c:pt>
                <c:pt idx="16">
                  <c:v>204.03802388629757</c:v>
                </c:pt>
                <c:pt idx="17">
                  <c:v>200.52675901638582</c:v>
                </c:pt>
                <c:pt idx="18">
                  <c:v>202.04390301189281</c:v>
                </c:pt>
                <c:pt idx="19">
                  <c:v>212.58556093787021</c:v>
                </c:pt>
                <c:pt idx="20">
                  <c:v>213.64073355005672</c:v>
                </c:pt>
                <c:pt idx="21">
                  <c:v>204.08390590186104</c:v>
                </c:pt>
                <c:pt idx="22">
                  <c:v>199.14704954133867</c:v>
                </c:pt>
                <c:pt idx="23">
                  <c:v>202.97849089055114</c:v>
                </c:pt>
                <c:pt idx="24">
                  <c:v>202.78865961585916</c:v>
                </c:pt>
                <c:pt idx="25">
                  <c:v>194.88071421218808</c:v>
                </c:pt>
                <c:pt idx="26">
                  <c:v>197.69263672811692</c:v>
                </c:pt>
                <c:pt idx="27">
                  <c:v>190.67142817109652</c:v>
                </c:pt>
                <c:pt idx="28">
                  <c:v>189.82123901228255</c:v>
                </c:pt>
                <c:pt idx="29">
                  <c:v>186.12787042627394</c:v>
                </c:pt>
                <c:pt idx="30">
                  <c:v>191.57190000124714</c:v>
                </c:pt>
                <c:pt idx="31">
                  <c:v>188.33559666734149</c:v>
                </c:pt>
                <c:pt idx="32">
                  <c:v>184.61664414275535</c:v>
                </c:pt>
                <c:pt idx="33">
                  <c:v>187.59182698630985</c:v>
                </c:pt>
                <c:pt idx="34">
                  <c:v>184.29268187592533</c:v>
                </c:pt>
                <c:pt idx="35">
                  <c:v>182.34410890748541</c:v>
                </c:pt>
                <c:pt idx="36">
                  <c:v>182.83566296459708</c:v>
                </c:pt>
                <c:pt idx="37">
                  <c:v>179.2878605798586</c:v>
                </c:pt>
                <c:pt idx="38">
                  <c:v>178.96602988923175</c:v>
                </c:pt>
                <c:pt idx="39">
                  <c:v>184.12875411246094</c:v>
                </c:pt>
                <c:pt idx="40">
                  <c:v>183.44046272683164</c:v>
                </c:pt>
                <c:pt idx="41">
                  <c:v>186.74045001873947</c:v>
                </c:pt>
                <c:pt idx="42">
                  <c:v>193.42606464342686</c:v>
                </c:pt>
                <c:pt idx="43">
                  <c:v>195.26352248395835</c:v>
                </c:pt>
                <c:pt idx="44">
                  <c:v>192.06361920286625</c:v>
                </c:pt>
                <c:pt idx="45">
                  <c:v>194.55193335640044</c:v>
                </c:pt>
                <c:pt idx="46">
                  <c:v>192.94854779927729</c:v>
                </c:pt>
                <c:pt idx="47">
                  <c:v>200.50101575329586</c:v>
                </c:pt>
                <c:pt idx="48">
                  <c:v>193.89545610061461</c:v>
                </c:pt>
                <c:pt idx="49">
                  <c:v>198.50517084102361</c:v>
                </c:pt>
                <c:pt idx="50">
                  <c:v>198.92443514210797</c:v>
                </c:pt>
                <c:pt idx="51">
                  <c:v>194.89435187696577</c:v>
                </c:pt>
                <c:pt idx="52">
                  <c:v>198.23169411111004</c:v>
                </c:pt>
                <c:pt idx="53">
                  <c:v>205.51823795268714</c:v>
                </c:pt>
                <c:pt idx="54">
                  <c:v>199.54942910082795</c:v>
                </c:pt>
                <c:pt idx="55">
                  <c:v>201.6361609478713</c:v>
                </c:pt>
                <c:pt idx="56">
                  <c:v>200.31818845054715</c:v>
                </c:pt>
                <c:pt idx="57">
                  <c:v>196.82152152684773</c:v>
                </c:pt>
                <c:pt idx="58">
                  <c:v>190.8395646050636</c:v>
                </c:pt>
                <c:pt idx="59">
                  <c:v>195.90696193727311</c:v>
                </c:pt>
                <c:pt idx="60">
                  <c:v>200.49126216787033</c:v>
                </c:pt>
                <c:pt idx="61">
                  <c:v>201.97553868275992</c:v>
                </c:pt>
                <c:pt idx="62">
                  <c:v>199.32927155412821</c:v>
                </c:pt>
                <c:pt idx="63">
                  <c:v>208.06074772834143</c:v>
                </c:pt>
                <c:pt idx="64">
                  <c:v>209.66519248286568</c:v>
                </c:pt>
                <c:pt idx="65">
                  <c:v>206.13986354906336</c:v>
                </c:pt>
                <c:pt idx="66">
                  <c:v>216.92662410766496</c:v>
                </c:pt>
                <c:pt idx="67">
                  <c:v>215.65764490178751</c:v>
                </c:pt>
                <c:pt idx="68">
                  <c:v>217.50392625123501</c:v>
                </c:pt>
                <c:pt idx="69">
                  <c:v>218.4109504039165</c:v>
                </c:pt>
                <c:pt idx="70">
                  <c:v>221.80736191072251</c:v>
                </c:pt>
                <c:pt idx="71">
                  <c:v>221.43422686824675</c:v>
                </c:pt>
                <c:pt idx="72">
                  <c:v>228.96412785736263</c:v>
                </c:pt>
                <c:pt idx="73">
                  <c:v>225.08471635304957</c:v>
                </c:pt>
                <c:pt idx="74">
                  <c:v>218.1695802307124</c:v>
                </c:pt>
                <c:pt idx="75">
                  <c:v>220.20329482813855</c:v>
                </c:pt>
                <c:pt idx="76">
                  <c:v>225.48053221758698</c:v>
                </c:pt>
                <c:pt idx="77">
                  <c:v>226.08126231658352</c:v>
                </c:pt>
                <c:pt idx="78">
                  <c:v>226.49192170800856</c:v>
                </c:pt>
                <c:pt idx="79">
                  <c:v>232.66850215642611</c:v>
                </c:pt>
                <c:pt idx="80">
                  <c:v>243.20649064085393</c:v>
                </c:pt>
                <c:pt idx="81">
                  <c:v>241.29911828239383</c:v>
                </c:pt>
                <c:pt idx="82">
                  <c:v>241.33351123596219</c:v>
                </c:pt>
                <c:pt idx="83">
                  <c:v>248.03750427302768</c:v>
                </c:pt>
                <c:pt idx="84">
                  <c:v>253.77043344532589</c:v>
                </c:pt>
                <c:pt idx="85">
                  <c:v>256.80873819516495</c:v>
                </c:pt>
                <c:pt idx="86">
                  <c:v>256.28032771203289</c:v>
                </c:pt>
                <c:pt idx="87">
                  <c:v>257.82029922014982</c:v>
                </c:pt>
                <c:pt idx="88">
                  <c:v>266.23664376487721</c:v>
                </c:pt>
                <c:pt idx="89">
                  <c:v>257.29599203854474</c:v>
                </c:pt>
                <c:pt idx="90">
                  <c:v>261.45399011983142</c:v>
                </c:pt>
                <c:pt idx="91">
                  <c:v>261.51885705419431</c:v>
                </c:pt>
                <c:pt idx="92">
                  <c:v>272.49230000099692</c:v>
                </c:pt>
                <c:pt idx="93">
                  <c:v>271.05447414294508</c:v>
                </c:pt>
                <c:pt idx="94">
                  <c:v>259.69628416367192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474-FA46-A0A9-E06E8EA2867F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'Q6'!$E$24:$CU$24</c:f>
              <c:numCache>
                <c:formatCode>General</c:formatCode>
                <c:ptCount val="95"/>
                <c:pt idx="0">
                  <c:v>222.13</c:v>
                </c:pt>
                <c:pt idx="1">
                  <c:v>216.08260049754537</c:v>
                </c:pt>
                <c:pt idx="2">
                  <c:v>220.8022406995812</c:v>
                </c:pt>
                <c:pt idx="3">
                  <c:v>214.21573512435862</c:v>
                </c:pt>
                <c:pt idx="4">
                  <c:v>210.30192523602847</c:v>
                </c:pt>
                <c:pt idx="5">
                  <c:v>214.32459071143717</c:v>
                </c:pt>
                <c:pt idx="6">
                  <c:v>214.55811641760346</c:v>
                </c:pt>
                <c:pt idx="7">
                  <c:v>209.82297161599038</c:v>
                </c:pt>
                <c:pt idx="8">
                  <c:v>204.34989780827283</c:v>
                </c:pt>
                <c:pt idx="9">
                  <c:v>210.18635011388665</c:v>
                </c:pt>
                <c:pt idx="10">
                  <c:v>205.02228117849978</c:v>
                </c:pt>
                <c:pt idx="11">
                  <c:v>209.08636463214523</c:v>
                </c:pt>
                <c:pt idx="12">
                  <c:v>218.6927752235267</c:v>
                </c:pt>
                <c:pt idx="13">
                  <c:v>207.43789018048216</c:v>
                </c:pt>
                <c:pt idx="14">
                  <c:v>204.31421933123875</c:v>
                </c:pt>
                <c:pt idx="15">
                  <c:v>196.22168143957879</c:v>
                </c:pt>
                <c:pt idx="16">
                  <c:v>200.26932395611087</c:v>
                </c:pt>
                <c:pt idx="17">
                  <c:v>197.81251778241153</c:v>
                </c:pt>
                <c:pt idx="18">
                  <c:v>194.8727712145579</c:v>
                </c:pt>
                <c:pt idx="19">
                  <c:v>187.14645296953694</c:v>
                </c:pt>
                <c:pt idx="20">
                  <c:v>190.74463886182909</c:v>
                </c:pt>
                <c:pt idx="21">
                  <c:v>188.94268207513349</c:v>
                </c:pt>
                <c:pt idx="22">
                  <c:v>193.24188118311204</c:v>
                </c:pt>
                <c:pt idx="23">
                  <c:v>192.84289994190954</c:v>
                </c:pt>
                <c:pt idx="24">
                  <c:v>194.78402361961028</c:v>
                </c:pt>
                <c:pt idx="25">
                  <c:v>189.76554911690769</c:v>
                </c:pt>
                <c:pt idx="26">
                  <c:v>185.69232013999803</c:v>
                </c:pt>
                <c:pt idx="27">
                  <c:v>185.92244314894563</c:v>
                </c:pt>
                <c:pt idx="28">
                  <c:v>186.70437943081228</c:v>
                </c:pt>
                <c:pt idx="29">
                  <c:v>185.76400455244905</c:v>
                </c:pt>
                <c:pt idx="30">
                  <c:v>182.05039763699529</c:v>
                </c:pt>
                <c:pt idx="31">
                  <c:v>176.4254912163845</c:v>
                </c:pt>
                <c:pt idx="32">
                  <c:v>172.80934906139495</c:v>
                </c:pt>
                <c:pt idx="33">
                  <c:v>177.57681525357629</c:v>
                </c:pt>
                <c:pt idx="34">
                  <c:v>169.59802333364479</c:v>
                </c:pt>
                <c:pt idx="35">
                  <c:v>175.87918307880744</c:v>
                </c:pt>
                <c:pt idx="36">
                  <c:v>184.75322273069457</c:v>
                </c:pt>
                <c:pt idx="37">
                  <c:v>186.77138956378468</c:v>
                </c:pt>
                <c:pt idx="38">
                  <c:v>187.61386731830191</c:v>
                </c:pt>
                <c:pt idx="39">
                  <c:v>185.04682188175698</c:v>
                </c:pt>
                <c:pt idx="40">
                  <c:v>182.31705052873133</c:v>
                </c:pt>
                <c:pt idx="41">
                  <c:v>182.89277273223351</c:v>
                </c:pt>
                <c:pt idx="42">
                  <c:v>172.77870002274028</c:v>
                </c:pt>
                <c:pt idx="43">
                  <c:v>169.11197779332051</c:v>
                </c:pt>
                <c:pt idx="44">
                  <c:v>171.98153123023459</c:v>
                </c:pt>
                <c:pt idx="45">
                  <c:v>171.25271550367609</c:v>
                </c:pt>
                <c:pt idx="46">
                  <c:v>170.77568476152544</c:v>
                </c:pt>
                <c:pt idx="47">
                  <c:v>168.57461088065401</c:v>
                </c:pt>
                <c:pt idx="48">
                  <c:v>169.68602433763525</c:v>
                </c:pt>
                <c:pt idx="49">
                  <c:v>162.35268308552452</c:v>
                </c:pt>
                <c:pt idx="50">
                  <c:v>161.86258397041692</c:v>
                </c:pt>
                <c:pt idx="51">
                  <c:v>157.33499775226119</c:v>
                </c:pt>
                <c:pt idx="52">
                  <c:v>161.35189301164036</c:v>
                </c:pt>
                <c:pt idx="53">
                  <c:v>160.78842665230673</c:v>
                </c:pt>
                <c:pt idx="54">
                  <c:v>158.31122285416615</c:v>
                </c:pt>
                <c:pt idx="55">
                  <c:v>156.3984597958997</c:v>
                </c:pt>
                <c:pt idx="56">
                  <c:v>156.43999760649007</c:v>
                </c:pt>
                <c:pt idx="57">
                  <c:v>154.06069221151586</c:v>
                </c:pt>
                <c:pt idx="58">
                  <c:v>155.9647588483374</c:v>
                </c:pt>
                <c:pt idx="59">
                  <c:v>156.47808869539782</c:v>
                </c:pt>
                <c:pt idx="60">
                  <c:v>156.38140024385444</c:v>
                </c:pt>
                <c:pt idx="61">
                  <c:v>153.23032414130731</c:v>
                </c:pt>
                <c:pt idx="62">
                  <c:v>153.76777173903548</c:v>
                </c:pt>
                <c:pt idx="63">
                  <c:v>153.17467822674072</c:v>
                </c:pt>
                <c:pt idx="64">
                  <c:v>155.38820336624619</c:v>
                </c:pt>
                <c:pt idx="65">
                  <c:v>159.01719470915828</c:v>
                </c:pt>
                <c:pt idx="66">
                  <c:v>169.05942949201133</c:v>
                </c:pt>
                <c:pt idx="67">
                  <c:v>174.36112390993028</c:v>
                </c:pt>
                <c:pt idx="68">
                  <c:v>174.03469085744891</c:v>
                </c:pt>
                <c:pt idx="69">
                  <c:v>177.21585569848727</c:v>
                </c:pt>
                <c:pt idx="70">
                  <c:v>177.6292758299731</c:v>
                </c:pt>
                <c:pt idx="71">
                  <c:v>180.58231536367367</c:v>
                </c:pt>
                <c:pt idx="72">
                  <c:v>182.0936685604203</c:v>
                </c:pt>
                <c:pt idx="73">
                  <c:v>182.54814782025838</c:v>
                </c:pt>
                <c:pt idx="74">
                  <c:v>173.38415654064389</c:v>
                </c:pt>
                <c:pt idx="75">
                  <c:v>174.6528187382053</c:v>
                </c:pt>
                <c:pt idx="76">
                  <c:v>170.7528775903171</c:v>
                </c:pt>
                <c:pt idx="77">
                  <c:v>166.67488600783696</c:v>
                </c:pt>
                <c:pt idx="78">
                  <c:v>170.24703400508807</c:v>
                </c:pt>
                <c:pt idx="79">
                  <c:v>170.85398182248994</c:v>
                </c:pt>
                <c:pt idx="80">
                  <c:v>164.30179765077776</c:v>
                </c:pt>
                <c:pt idx="81">
                  <c:v>166.70881943508488</c:v>
                </c:pt>
                <c:pt idx="82">
                  <c:v>168.76858373390493</c:v>
                </c:pt>
                <c:pt idx="83">
                  <c:v>170.04968960079358</c:v>
                </c:pt>
                <c:pt idx="84">
                  <c:v>168.27060063551326</c:v>
                </c:pt>
                <c:pt idx="85">
                  <c:v>174.84049667617523</c:v>
                </c:pt>
                <c:pt idx="86">
                  <c:v>170.16286568927447</c:v>
                </c:pt>
                <c:pt idx="87">
                  <c:v>169.45260026825139</c:v>
                </c:pt>
                <c:pt idx="88">
                  <c:v>172.6654091623958</c:v>
                </c:pt>
                <c:pt idx="89">
                  <c:v>170.17381492484171</c:v>
                </c:pt>
                <c:pt idx="90">
                  <c:v>176.09993736543473</c:v>
                </c:pt>
                <c:pt idx="91">
                  <c:v>177.13158026348691</c:v>
                </c:pt>
                <c:pt idx="92">
                  <c:v>172.91173655273249</c:v>
                </c:pt>
                <c:pt idx="93">
                  <c:v>173.21377101816046</c:v>
                </c:pt>
                <c:pt idx="94">
                  <c:v>175.81072950763229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474-FA46-A0A9-E06E8EA2867F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'Q6'!$E$25:$CU$25</c:f>
              <c:numCache>
                <c:formatCode>General</c:formatCode>
                <c:ptCount val="95"/>
                <c:pt idx="0">
                  <c:v>222.13</c:v>
                </c:pt>
                <c:pt idx="1">
                  <c:v>225.49194973906927</c:v>
                </c:pt>
                <c:pt idx="2">
                  <c:v>221.40262464707939</c:v>
                </c:pt>
                <c:pt idx="3">
                  <c:v>220.15010325306594</c:v>
                </c:pt>
                <c:pt idx="4">
                  <c:v>222.35677472941467</c:v>
                </c:pt>
                <c:pt idx="5">
                  <c:v>226.9259488925085</c:v>
                </c:pt>
                <c:pt idx="6">
                  <c:v>231.88634851428378</c:v>
                </c:pt>
                <c:pt idx="7">
                  <c:v>236.67497185571662</c:v>
                </c:pt>
                <c:pt idx="8">
                  <c:v>241.1990944730139</c:v>
                </c:pt>
                <c:pt idx="9">
                  <c:v>249.49264610955808</c:v>
                </c:pt>
                <c:pt idx="10">
                  <c:v>243.790083958926</c:v>
                </c:pt>
                <c:pt idx="11">
                  <c:v>246.00705492549039</c:v>
                </c:pt>
                <c:pt idx="12">
                  <c:v>240.51708133495313</c:v>
                </c:pt>
                <c:pt idx="13">
                  <c:v>238.03497768532765</c:v>
                </c:pt>
                <c:pt idx="14">
                  <c:v>238.84585457056826</c:v>
                </c:pt>
                <c:pt idx="15">
                  <c:v>244.71760956658559</c:v>
                </c:pt>
                <c:pt idx="16">
                  <c:v>236.86077280267631</c:v>
                </c:pt>
                <c:pt idx="17">
                  <c:v>237.12598181573676</c:v>
                </c:pt>
                <c:pt idx="18">
                  <c:v>235.27454174695936</c:v>
                </c:pt>
                <c:pt idx="19">
                  <c:v>244.30848140287765</c:v>
                </c:pt>
                <c:pt idx="20">
                  <c:v>243.87502048741246</c:v>
                </c:pt>
                <c:pt idx="21">
                  <c:v>241.64193557753057</c:v>
                </c:pt>
                <c:pt idx="22">
                  <c:v>226.50852356315283</c:v>
                </c:pt>
                <c:pt idx="23">
                  <c:v>232.02879623977677</c:v>
                </c:pt>
                <c:pt idx="24">
                  <c:v>227.66047667930999</c:v>
                </c:pt>
                <c:pt idx="25">
                  <c:v>232.40690237860196</c:v>
                </c:pt>
                <c:pt idx="26">
                  <c:v>220.12994307053151</c:v>
                </c:pt>
                <c:pt idx="27">
                  <c:v>216.50486575675231</c:v>
                </c:pt>
                <c:pt idx="28">
                  <c:v>208.25542776602893</c:v>
                </c:pt>
                <c:pt idx="29">
                  <c:v>209.77257939625636</c:v>
                </c:pt>
                <c:pt idx="30">
                  <c:v>217.41639810060374</c:v>
                </c:pt>
                <c:pt idx="31">
                  <c:v>214.75683084062857</c:v>
                </c:pt>
                <c:pt idx="32">
                  <c:v>224.80508681835366</c:v>
                </c:pt>
                <c:pt idx="33">
                  <c:v>230.91976788244475</c:v>
                </c:pt>
                <c:pt idx="34">
                  <c:v>233.84147951161532</c:v>
                </c:pt>
                <c:pt idx="35">
                  <c:v>242.87698072789735</c:v>
                </c:pt>
                <c:pt idx="36">
                  <c:v>237.65064401992885</c:v>
                </c:pt>
                <c:pt idx="37">
                  <c:v>242.31599789321868</c:v>
                </c:pt>
                <c:pt idx="38">
                  <c:v>238.05038803345573</c:v>
                </c:pt>
                <c:pt idx="39">
                  <c:v>240.59105098325369</c:v>
                </c:pt>
                <c:pt idx="40">
                  <c:v>246.18725909561823</c:v>
                </c:pt>
                <c:pt idx="41">
                  <c:v>250.13710897190015</c:v>
                </c:pt>
                <c:pt idx="42">
                  <c:v>249.73009422405647</c:v>
                </c:pt>
                <c:pt idx="43">
                  <c:v>250.315735418168</c:v>
                </c:pt>
                <c:pt idx="44">
                  <c:v>246.09099150720792</c:v>
                </c:pt>
                <c:pt idx="45">
                  <c:v>254.51113460547492</c:v>
                </c:pt>
                <c:pt idx="46">
                  <c:v>250.76925529017203</c:v>
                </c:pt>
                <c:pt idx="47">
                  <c:v>258.10048914385237</c:v>
                </c:pt>
                <c:pt idx="48">
                  <c:v>251.09229421056972</c:v>
                </c:pt>
                <c:pt idx="49">
                  <c:v>262.85291720695051</c:v>
                </c:pt>
                <c:pt idx="50">
                  <c:v>260.15606119745809</c:v>
                </c:pt>
                <c:pt idx="51">
                  <c:v>259.45608085100389</c:v>
                </c:pt>
                <c:pt idx="52">
                  <c:v>249.58710189770468</c:v>
                </c:pt>
                <c:pt idx="53">
                  <c:v>239.81712814426791</c:v>
                </c:pt>
                <c:pt idx="54">
                  <c:v>228.38806162133099</c:v>
                </c:pt>
                <c:pt idx="55">
                  <c:v>226.85427187245443</c:v>
                </c:pt>
                <c:pt idx="56">
                  <c:v>234.58085146061131</c:v>
                </c:pt>
                <c:pt idx="57">
                  <c:v>242.43171865261445</c:v>
                </c:pt>
                <c:pt idx="58">
                  <c:v>248.43471030490559</c:v>
                </c:pt>
                <c:pt idx="59">
                  <c:v>230.68693569446822</c:v>
                </c:pt>
                <c:pt idx="60">
                  <c:v>243.21131004893243</c:v>
                </c:pt>
                <c:pt idx="61">
                  <c:v>248.63770763747982</c:v>
                </c:pt>
                <c:pt idx="62">
                  <c:v>247.82762942616839</c:v>
                </c:pt>
                <c:pt idx="63">
                  <c:v>252.01347987696153</c:v>
                </c:pt>
                <c:pt idx="64">
                  <c:v>247.89966172982014</c:v>
                </c:pt>
                <c:pt idx="65">
                  <c:v>251.65370281124441</c:v>
                </c:pt>
                <c:pt idx="66">
                  <c:v>245.22868720496075</c:v>
                </c:pt>
                <c:pt idx="67">
                  <c:v>232.48128278478782</c:v>
                </c:pt>
                <c:pt idx="68">
                  <c:v>230.28440845649152</c:v>
                </c:pt>
                <c:pt idx="69">
                  <c:v>234.84187968498574</c:v>
                </c:pt>
                <c:pt idx="70">
                  <c:v>239.11433123863225</c:v>
                </c:pt>
                <c:pt idx="71">
                  <c:v>231.29962399984785</c:v>
                </c:pt>
                <c:pt idx="72">
                  <c:v>224.86291030155846</c:v>
                </c:pt>
                <c:pt idx="73">
                  <c:v>226.83880020860138</c:v>
                </c:pt>
                <c:pt idx="74">
                  <c:v>232.57835157930376</c:v>
                </c:pt>
                <c:pt idx="75">
                  <c:v>228.43001590327762</c:v>
                </c:pt>
                <c:pt idx="76">
                  <c:v>223.57824656490266</c:v>
                </c:pt>
                <c:pt idx="77">
                  <c:v>227.2507415031983</c:v>
                </c:pt>
                <c:pt idx="78">
                  <c:v>228.60833748923608</c:v>
                </c:pt>
                <c:pt idx="79">
                  <c:v>215.82733857655145</c:v>
                </c:pt>
                <c:pt idx="80">
                  <c:v>221.87550823122822</c:v>
                </c:pt>
                <c:pt idx="81">
                  <c:v>224.39650664991953</c:v>
                </c:pt>
                <c:pt idx="82">
                  <c:v>220.89090624907811</c:v>
                </c:pt>
                <c:pt idx="83">
                  <c:v>224.00914282418145</c:v>
                </c:pt>
                <c:pt idx="84">
                  <c:v>221.4366755518046</c:v>
                </c:pt>
                <c:pt idx="85">
                  <c:v>216.73418962264023</c:v>
                </c:pt>
                <c:pt idx="86">
                  <c:v>219.78291025304662</c:v>
                </c:pt>
                <c:pt idx="87">
                  <c:v>221.5311184383855</c:v>
                </c:pt>
                <c:pt idx="88">
                  <c:v>222.94421997756066</c:v>
                </c:pt>
                <c:pt idx="89">
                  <c:v>229.52575065139726</c:v>
                </c:pt>
                <c:pt idx="90">
                  <c:v>233.34580176919212</c:v>
                </c:pt>
                <c:pt idx="91">
                  <c:v>232.94733629290715</c:v>
                </c:pt>
                <c:pt idx="92">
                  <c:v>233.46682155654821</c:v>
                </c:pt>
                <c:pt idx="93">
                  <c:v>230.91685892368275</c:v>
                </c:pt>
                <c:pt idx="94">
                  <c:v>228.41446322171902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474-FA46-A0A9-E06E8EA2867F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'Q6'!$E$26:$CU$26</c:f>
              <c:numCache>
                <c:formatCode>General</c:formatCode>
                <c:ptCount val="95"/>
                <c:pt idx="0">
                  <c:v>222.13</c:v>
                </c:pt>
                <c:pt idx="1">
                  <c:v>225.20991749789741</c:v>
                </c:pt>
                <c:pt idx="2">
                  <c:v>222.24727687752085</c:v>
                </c:pt>
                <c:pt idx="3">
                  <c:v>217.42014855398182</c:v>
                </c:pt>
                <c:pt idx="4">
                  <c:v>212.49674359755531</c:v>
                </c:pt>
                <c:pt idx="5">
                  <c:v>205.0920719762866</c:v>
                </c:pt>
                <c:pt idx="6">
                  <c:v>205.08167522113115</c:v>
                </c:pt>
                <c:pt idx="7">
                  <c:v>212.80472486528151</c:v>
                </c:pt>
                <c:pt idx="8">
                  <c:v>207.88565826364496</c:v>
                </c:pt>
                <c:pt idx="9">
                  <c:v>214.18269862332426</c:v>
                </c:pt>
                <c:pt idx="10">
                  <c:v>212.54348404197216</c:v>
                </c:pt>
                <c:pt idx="11">
                  <c:v>215.00962897002699</c:v>
                </c:pt>
                <c:pt idx="12">
                  <c:v>223.25535024194494</c:v>
                </c:pt>
                <c:pt idx="13">
                  <c:v>220.33532725573443</c:v>
                </c:pt>
                <c:pt idx="14">
                  <c:v>224.07069811123111</c:v>
                </c:pt>
                <c:pt idx="15">
                  <c:v>226.13417850508543</c:v>
                </c:pt>
                <c:pt idx="16">
                  <c:v>228.79039720120883</c:v>
                </c:pt>
                <c:pt idx="17">
                  <c:v>229.49073800095834</c:v>
                </c:pt>
                <c:pt idx="18">
                  <c:v>231.4392809113026</c:v>
                </c:pt>
                <c:pt idx="19">
                  <c:v>234.68149014391025</c:v>
                </c:pt>
                <c:pt idx="20">
                  <c:v>242.96170599712312</c:v>
                </c:pt>
                <c:pt idx="21">
                  <c:v>232.28198084798802</c:v>
                </c:pt>
                <c:pt idx="22">
                  <c:v>241.78759150509453</c:v>
                </c:pt>
                <c:pt idx="23">
                  <c:v>241.90426412175179</c:v>
                </c:pt>
                <c:pt idx="24">
                  <c:v>238.39343939657627</c:v>
                </c:pt>
                <c:pt idx="25">
                  <c:v>236.75612994958334</c:v>
                </c:pt>
                <c:pt idx="26">
                  <c:v>240.6798922819539</c:v>
                </c:pt>
                <c:pt idx="27">
                  <c:v>229.61176462276873</c:v>
                </c:pt>
                <c:pt idx="28">
                  <c:v>227.39589310398506</c:v>
                </c:pt>
                <c:pt idx="29">
                  <c:v>225.65942339772593</c:v>
                </c:pt>
                <c:pt idx="30">
                  <c:v>220.87536016773194</c:v>
                </c:pt>
                <c:pt idx="31">
                  <c:v>218.8939769317451</c:v>
                </c:pt>
                <c:pt idx="32">
                  <c:v>219.64031743683765</c:v>
                </c:pt>
                <c:pt idx="33">
                  <c:v>213.50303035395913</c:v>
                </c:pt>
                <c:pt idx="34">
                  <c:v>221.35922713678883</c:v>
                </c:pt>
                <c:pt idx="35">
                  <c:v>217.37716639944063</c:v>
                </c:pt>
                <c:pt idx="36">
                  <c:v>218.54573951312611</c:v>
                </c:pt>
                <c:pt idx="37">
                  <c:v>221.08468905281302</c:v>
                </c:pt>
                <c:pt idx="38">
                  <c:v>221.19095102418913</c:v>
                </c:pt>
                <c:pt idx="39">
                  <c:v>229.83684310103123</c:v>
                </c:pt>
                <c:pt idx="40">
                  <c:v>225.50753480307836</c:v>
                </c:pt>
                <c:pt idx="41">
                  <c:v>235.02866333220254</c:v>
                </c:pt>
                <c:pt idx="42">
                  <c:v>228.62552322850647</c:v>
                </c:pt>
                <c:pt idx="43">
                  <c:v>228.02820465951172</c:v>
                </c:pt>
                <c:pt idx="44">
                  <c:v>229.97373950077269</c:v>
                </c:pt>
                <c:pt idx="45">
                  <c:v>225.3253057439567</c:v>
                </c:pt>
                <c:pt idx="46">
                  <c:v>223.21651429652479</c:v>
                </c:pt>
                <c:pt idx="47">
                  <c:v>222.05602157149607</c:v>
                </c:pt>
                <c:pt idx="48">
                  <c:v>219.61713887249982</c:v>
                </c:pt>
                <c:pt idx="49">
                  <c:v>223.83269979140604</c:v>
                </c:pt>
                <c:pt idx="50">
                  <c:v>221.9894808899293</c:v>
                </c:pt>
                <c:pt idx="51">
                  <c:v>214.64524918967632</c:v>
                </c:pt>
                <c:pt idx="52">
                  <c:v>215.63577688322533</c:v>
                </c:pt>
                <c:pt idx="53">
                  <c:v>217.07990464691005</c:v>
                </c:pt>
                <c:pt idx="54">
                  <c:v>207.23207116803019</c:v>
                </c:pt>
                <c:pt idx="55">
                  <c:v>211.32462928855821</c:v>
                </c:pt>
                <c:pt idx="56">
                  <c:v>210.76127384379441</c:v>
                </c:pt>
                <c:pt idx="57">
                  <c:v>217.2533568780768</c:v>
                </c:pt>
                <c:pt idx="58">
                  <c:v>208.55654518039458</c:v>
                </c:pt>
                <c:pt idx="59">
                  <c:v>210.74273038420534</c:v>
                </c:pt>
                <c:pt idx="60">
                  <c:v>205.57479511873223</c:v>
                </c:pt>
                <c:pt idx="61">
                  <c:v>197.47559967770138</c:v>
                </c:pt>
                <c:pt idx="62">
                  <c:v>183.28221393561228</c:v>
                </c:pt>
                <c:pt idx="63">
                  <c:v>186.17054816509159</c:v>
                </c:pt>
                <c:pt idx="64">
                  <c:v>192.32890715113689</c:v>
                </c:pt>
                <c:pt idx="65">
                  <c:v>199.17439208162864</c:v>
                </c:pt>
                <c:pt idx="66">
                  <c:v>198.24159384733915</c:v>
                </c:pt>
                <c:pt idx="67">
                  <c:v>202.67587659528405</c:v>
                </c:pt>
                <c:pt idx="68">
                  <c:v>189.80528765547376</c:v>
                </c:pt>
                <c:pt idx="69">
                  <c:v>191.1408439883061</c:v>
                </c:pt>
                <c:pt idx="70">
                  <c:v>184.32472356371352</c:v>
                </c:pt>
                <c:pt idx="71">
                  <c:v>182.46621369269664</c:v>
                </c:pt>
                <c:pt idx="72">
                  <c:v>181.15945466571364</c:v>
                </c:pt>
                <c:pt idx="73">
                  <c:v>180.71615848683223</c:v>
                </c:pt>
                <c:pt idx="74">
                  <c:v>184.26326697999954</c:v>
                </c:pt>
                <c:pt idx="75">
                  <c:v>186.22907585834923</c:v>
                </c:pt>
                <c:pt idx="76">
                  <c:v>178.53027771262487</c:v>
                </c:pt>
                <c:pt idx="77">
                  <c:v>177.6525517496097</c:v>
                </c:pt>
                <c:pt idx="78">
                  <c:v>178.57349690642008</c:v>
                </c:pt>
                <c:pt idx="79">
                  <c:v>171.80131718057831</c:v>
                </c:pt>
                <c:pt idx="80">
                  <c:v>179.6243383513135</c:v>
                </c:pt>
                <c:pt idx="81">
                  <c:v>176.31866573819107</c:v>
                </c:pt>
                <c:pt idx="82">
                  <c:v>182.89033185028958</c:v>
                </c:pt>
                <c:pt idx="83">
                  <c:v>186.36278465863705</c:v>
                </c:pt>
                <c:pt idx="84">
                  <c:v>182.71817673048096</c:v>
                </c:pt>
                <c:pt idx="85">
                  <c:v>176.9482613416487</c:v>
                </c:pt>
                <c:pt idx="86">
                  <c:v>173.70037479199632</c:v>
                </c:pt>
                <c:pt idx="87">
                  <c:v>165.72134820267954</c:v>
                </c:pt>
                <c:pt idx="88">
                  <c:v>168.07182594455819</c:v>
                </c:pt>
                <c:pt idx="89">
                  <c:v>171.20670024733121</c:v>
                </c:pt>
                <c:pt idx="90">
                  <c:v>168.79758415149396</c:v>
                </c:pt>
                <c:pt idx="91">
                  <c:v>166.48168574577346</c:v>
                </c:pt>
                <c:pt idx="92">
                  <c:v>165.85113258203566</c:v>
                </c:pt>
                <c:pt idx="93">
                  <c:v>161.5272152623468</c:v>
                </c:pt>
                <c:pt idx="94">
                  <c:v>167.42636356504497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474-FA46-A0A9-E06E8EA2867F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'Q6'!$E$27:$CU$27</c:f>
              <c:numCache>
                <c:formatCode>General</c:formatCode>
                <c:ptCount val="95"/>
                <c:pt idx="0">
                  <c:v>222.13</c:v>
                </c:pt>
                <c:pt idx="1">
                  <c:v>230.28670234677315</c:v>
                </c:pt>
                <c:pt idx="2">
                  <c:v>228.0552531216232</c:v>
                </c:pt>
                <c:pt idx="3">
                  <c:v>226.99449186629374</c:v>
                </c:pt>
                <c:pt idx="4">
                  <c:v>235.28402001358597</c:v>
                </c:pt>
                <c:pt idx="5">
                  <c:v>238.02150402321075</c:v>
                </c:pt>
                <c:pt idx="6">
                  <c:v>240.34232006308423</c:v>
                </c:pt>
                <c:pt idx="7">
                  <c:v>231.85620809459533</c:v>
                </c:pt>
                <c:pt idx="8">
                  <c:v>231.64427779408675</c:v>
                </c:pt>
                <c:pt idx="9">
                  <c:v>233.83691519668702</c:v>
                </c:pt>
                <c:pt idx="10">
                  <c:v>239.22031477181741</c:v>
                </c:pt>
                <c:pt idx="11">
                  <c:v>247.11623041352007</c:v>
                </c:pt>
                <c:pt idx="12">
                  <c:v>247.93236567256307</c:v>
                </c:pt>
                <c:pt idx="13">
                  <c:v>253.32816139115175</c:v>
                </c:pt>
                <c:pt idx="14">
                  <c:v>253.05252106761836</c:v>
                </c:pt>
                <c:pt idx="15">
                  <c:v>247.31922447518849</c:v>
                </c:pt>
                <c:pt idx="16">
                  <c:v>262.30348737360839</c:v>
                </c:pt>
                <c:pt idx="17">
                  <c:v>249.98920714323205</c:v>
                </c:pt>
                <c:pt idx="18">
                  <c:v>252.44559923105885</c:v>
                </c:pt>
                <c:pt idx="19">
                  <c:v>256.14061173614533</c:v>
                </c:pt>
                <c:pt idx="20">
                  <c:v>248.5719890546666</c:v>
                </c:pt>
                <c:pt idx="21">
                  <c:v>259.44641310541493</c:v>
                </c:pt>
                <c:pt idx="22">
                  <c:v>248.66460657810362</c:v>
                </c:pt>
                <c:pt idx="23">
                  <c:v>234.54215848743934</c:v>
                </c:pt>
                <c:pt idx="24">
                  <c:v>226.09098353939021</c:v>
                </c:pt>
                <c:pt idx="25">
                  <c:v>228.77227566992272</c:v>
                </c:pt>
                <c:pt idx="26">
                  <c:v>226.12627221292379</c:v>
                </c:pt>
                <c:pt idx="27">
                  <c:v>223.77943863611983</c:v>
                </c:pt>
                <c:pt idx="28">
                  <c:v>225.69667556173903</c:v>
                </c:pt>
                <c:pt idx="29">
                  <c:v>231.75117033261711</c:v>
                </c:pt>
                <c:pt idx="30">
                  <c:v>225.44255811146962</c:v>
                </c:pt>
                <c:pt idx="31">
                  <c:v>220.37704203723717</c:v>
                </c:pt>
                <c:pt idx="32">
                  <c:v>228.66915854957375</c:v>
                </c:pt>
                <c:pt idx="33">
                  <c:v>234.84879071285172</c:v>
                </c:pt>
                <c:pt idx="34">
                  <c:v>238.96221251555824</c:v>
                </c:pt>
                <c:pt idx="35">
                  <c:v>244.47597153963059</c:v>
                </c:pt>
                <c:pt idx="36">
                  <c:v>241.23014735603536</c:v>
                </c:pt>
                <c:pt idx="37">
                  <c:v>237.65403470480359</c:v>
                </c:pt>
                <c:pt idx="38">
                  <c:v>233.48276194588462</c:v>
                </c:pt>
                <c:pt idx="39">
                  <c:v>242.25931597708714</c:v>
                </c:pt>
                <c:pt idx="40">
                  <c:v>233.56404114591666</c:v>
                </c:pt>
                <c:pt idx="41">
                  <c:v>219.94537980389268</c:v>
                </c:pt>
                <c:pt idx="42">
                  <c:v>221.69341386314093</c:v>
                </c:pt>
                <c:pt idx="43">
                  <c:v>229.09941950484742</c:v>
                </c:pt>
                <c:pt idx="44">
                  <c:v>222.67632203890631</c:v>
                </c:pt>
                <c:pt idx="45">
                  <c:v>219.10994008769293</c:v>
                </c:pt>
                <c:pt idx="46">
                  <c:v>220.6098913429534</c:v>
                </c:pt>
                <c:pt idx="47">
                  <c:v>221.72387412684688</c:v>
                </c:pt>
                <c:pt idx="48">
                  <c:v>218.71472301854399</c:v>
                </c:pt>
                <c:pt idx="49">
                  <c:v>223.76927120286672</c:v>
                </c:pt>
                <c:pt idx="50">
                  <c:v>207.94539160915431</c:v>
                </c:pt>
                <c:pt idx="51">
                  <c:v>204.65598135093825</c:v>
                </c:pt>
                <c:pt idx="52">
                  <c:v>201.51646835329359</c:v>
                </c:pt>
                <c:pt idx="53">
                  <c:v>200.53277967475447</c:v>
                </c:pt>
                <c:pt idx="54">
                  <c:v>208.20241676270706</c:v>
                </c:pt>
                <c:pt idx="55">
                  <c:v>206.66777574151098</c:v>
                </c:pt>
                <c:pt idx="56">
                  <c:v>208.30956964778781</c:v>
                </c:pt>
                <c:pt idx="57">
                  <c:v>212.7316811469326</c:v>
                </c:pt>
                <c:pt idx="58">
                  <c:v>210.2169210666778</c:v>
                </c:pt>
                <c:pt idx="59">
                  <c:v>204.92155163283803</c:v>
                </c:pt>
                <c:pt idx="60">
                  <c:v>211.46626239811701</c:v>
                </c:pt>
                <c:pt idx="61">
                  <c:v>199.92825518500416</c:v>
                </c:pt>
                <c:pt idx="62">
                  <c:v>206.39242366819386</c:v>
                </c:pt>
                <c:pt idx="63">
                  <c:v>210.72390130264972</c:v>
                </c:pt>
                <c:pt idx="64">
                  <c:v>216.70843291169825</c:v>
                </c:pt>
                <c:pt idx="65">
                  <c:v>210.87621074204014</c:v>
                </c:pt>
                <c:pt idx="66">
                  <c:v>201.79496149904264</c:v>
                </c:pt>
                <c:pt idx="67">
                  <c:v>202.34601789305762</c:v>
                </c:pt>
                <c:pt idx="68">
                  <c:v>201.5033420323756</c:v>
                </c:pt>
                <c:pt idx="69">
                  <c:v>194.43267226179631</c:v>
                </c:pt>
                <c:pt idx="70">
                  <c:v>198.14524055310343</c:v>
                </c:pt>
                <c:pt idx="71">
                  <c:v>191.74096379785237</c:v>
                </c:pt>
                <c:pt idx="72">
                  <c:v>194.45740228151075</c:v>
                </c:pt>
                <c:pt idx="73">
                  <c:v>195.08824262188767</c:v>
                </c:pt>
                <c:pt idx="74">
                  <c:v>192.63343573044841</c:v>
                </c:pt>
                <c:pt idx="75">
                  <c:v>191.33369178069637</c:v>
                </c:pt>
                <c:pt idx="76">
                  <c:v>191.34804395198816</c:v>
                </c:pt>
                <c:pt idx="77">
                  <c:v>193.80253611001439</c:v>
                </c:pt>
                <c:pt idx="78">
                  <c:v>196.53545901029398</c:v>
                </c:pt>
                <c:pt idx="79">
                  <c:v>192.51341745816688</c:v>
                </c:pt>
                <c:pt idx="80">
                  <c:v>194.95643287520204</c:v>
                </c:pt>
                <c:pt idx="81">
                  <c:v>196.56147453905808</c:v>
                </c:pt>
                <c:pt idx="82">
                  <c:v>191.37868397507737</c:v>
                </c:pt>
                <c:pt idx="83">
                  <c:v>194.20423748392227</c:v>
                </c:pt>
                <c:pt idx="84">
                  <c:v>196.59382214236928</c:v>
                </c:pt>
                <c:pt idx="85">
                  <c:v>197.52441069579226</c:v>
                </c:pt>
                <c:pt idx="86">
                  <c:v>189.83387774720103</c:v>
                </c:pt>
                <c:pt idx="87">
                  <c:v>192.03762647211869</c:v>
                </c:pt>
                <c:pt idx="88">
                  <c:v>197.73840108287129</c:v>
                </c:pt>
                <c:pt idx="89">
                  <c:v>205.84536488057861</c:v>
                </c:pt>
                <c:pt idx="90">
                  <c:v>206.7946799184964</c:v>
                </c:pt>
                <c:pt idx="91">
                  <c:v>201.81772967332927</c:v>
                </c:pt>
                <c:pt idx="92">
                  <c:v>200.34117279316263</c:v>
                </c:pt>
                <c:pt idx="93">
                  <c:v>192.81965764314765</c:v>
                </c:pt>
                <c:pt idx="94">
                  <c:v>197.64917816111338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8474-FA46-A0A9-E06E8EA2867F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'Q6'!$E$28:$CU$28</c:f>
              <c:numCache>
                <c:formatCode>General</c:formatCode>
                <c:ptCount val="95"/>
                <c:pt idx="0">
                  <c:v>222.13</c:v>
                </c:pt>
                <c:pt idx="1">
                  <c:v>224.19262154668849</c:v>
                </c:pt>
                <c:pt idx="2">
                  <c:v>227.44606210362434</c:v>
                </c:pt>
                <c:pt idx="3">
                  <c:v>218.56099655027998</c:v>
                </c:pt>
                <c:pt idx="4">
                  <c:v>216.20948522489493</c:v>
                </c:pt>
                <c:pt idx="5">
                  <c:v>222.11666707792406</c:v>
                </c:pt>
                <c:pt idx="6">
                  <c:v>220.91803530030126</c:v>
                </c:pt>
                <c:pt idx="7">
                  <c:v>211.12500184699465</c:v>
                </c:pt>
                <c:pt idx="8">
                  <c:v>215.02279298256587</c:v>
                </c:pt>
                <c:pt idx="9">
                  <c:v>219.27667277031435</c:v>
                </c:pt>
                <c:pt idx="10">
                  <c:v>218.69682338165603</c:v>
                </c:pt>
                <c:pt idx="11">
                  <c:v>228.9914982354961</c:v>
                </c:pt>
                <c:pt idx="12">
                  <c:v>218.07717685405837</c:v>
                </c:pt>
                <c:pt idx="13">
                  <c:v>221.15915212366369</c:v>
                </c:pt>
                <c:pt idx="14">
                  <c:v>216.30129715157173</c:v>
                </c:pt>
                <c:pt idx="15">
                  <c:v>208.47914890603676</c:v>
                </c:pt>
                <c:pt idx="16">
                  <c:v>203.04468760459736</c:v>
                </c:pt>
                <c:pt idx="17">
                  <c:v>206.02670734268844</c:v>
                </c:pt>
                <c:pt idx="18">
                  <c:v>205.9144696119391</c:v>
                </c:pt>
                <c:pt idx="19">
                  <c:v>206.94712925266654</c:v>
                </c:pt>
                <c:pt idx="20">
                  <c:v>202.88143932065989</c:v>
                </c:pt>
                <c:pt idx="21">
                  <c:v>206.36788352807937</c:v>
                </c:pt>
                <c:pt idx="22">
                  <c:v>204.02690975752532</c:v>
                </c:pt>
                <c:pt idx="23">
                  <c:v>207.90929543336443</c:v>
                </c:pt>
                <c:pt idx="24">
                  <c:v>200.92612442011279</c:v>
                </c:pt>
                <c:pt idx="25">
                  <c:v>199.68725955031951</c:v>
                </c:pt>
                <c:pt idx="26">
                  <c:v>203.0149541833124</c:v>
                </c:pt>
                <c:pt idx="27">
                  <c:v>197.75409391170606</c:v>
                </c:pt>
                <c:pt idx="28">
                  <c:v>192.86850534102069</c:v>
                </c:pt>
                <c:pt idx="29">
                  <c:v>187.18316698136462</c:v>
                </c:pt>
                <c:pt idx="30">
                  <c:v>186.70619147438828</c:v>
                </c:pt>
                <c:pt idx="31">
                  <c:v>191.00159281797841</c:v>
                </c:pt>
                <c:pt idx="32">
                  <c:v>198.76589626334112</c:v>
                </c:pt>
                <c:pt idx="33">
                  <c:v>195.09145473707346</c:v>
                </c:pt>
                <c:pt idx="34">
                  <c:v>193.69808061399283</c:v>
                </c:pt>
                <c:pt idx="35">
                  <c:v>190.58331731911497</c:v>
                </c:pt>
                <c:pt idx="36">
                  <c:v>189.25994917506495</c:v>
                </c:pt>
                <c:pt idx="37">
                  <c:v>183.26187444144998</c:v>
                </c:pt>
                <c:pt idx="38">
                  <c:v>181.50362300515712</c:v>
                </c:pt>
                <c:pt idx="39">
                  <c:v>178.71208562102481</c:v>
                </c:pt>
                <c:pt idx="40">
                  <c:v>177.00566329910046</c:v>
                </c:pt>
                <c:pt idx="41">
                  <c:v>179.09210155164402</c:v>
                </c:pt>
                <c:pt idx="42">
                  <c:v>185.75528289637839</c:v>
                </c:pt>
                <c:pt idx="43">
                  <c:v>188.31248322414359</c:v>
                </c:pt>
                <c:pt idx="44">
                  <c:v>190.19694324320042</c:v>
                </c:pt>
                <c:pt idx="45">
                  <c:v>191.67768807832266</c:v>
                </c:pt>
                <c:pt idx="46">
                  <c:v>196.10211809609123</c:v>
                </c:pt>
                <c:pt idx="47">
                  <c:v>194.05835146568518</c:v>
                </c:pt>
                <c:pt idx="48">
                  <c:v>183.85090053118446</c:v>
                </c:pt>
                <c:pt idx="49">
                  <c:v>180.58749160804288</c:v>
                </c:pt>
                <c:pt idx="50">
                  <c:v>186.13371326817759</c:v>
                </c:pt>
                <c:pt idx="51">
                  <c:v>183.42997203669549</c:v>
                </c:pt>
                <c:pt idx="52">
                  <c:v>179.58809945990788</c:v>
                </c:pt>
                <c:pt idx="53">
                  <c:v>177.62352478076286</c:v>
                </c:pt>
                <c:pt idx="54">
                  <c:v>182.91979041339212</c:v>
                </c:pt>
                <c:pt idx="55">
                  <c:v>180.45491959778533</c:v>
                </c:pt>
                <c:pt idx="56">
                  <c:v>186.91186709563124</c:v>
                </c:pt>
                <c:pt idx="57">
                  <c:v>190.94548965497236</c:v>
                </c:pt>
                <c:pt idx="58">
                  <c:v>184.02798734631733</c:v>
                </c:pt>
                <c:pt idx="59">
                  <c:v>187.38724819359066</c:v>
                </c:pt>
                <c:pt idx="60">
                  <c:v>185.17095496138586</c:v>
                </c:pt>
                <c:pt idx="61">
                  <c:v>179.89735636742509</c:v>
                </c:pt>
                <c:pt idx="62">
                  <c:v>182.63897275150504</c:v>
                </c:pt>
                <c:pt idx="63">
                  <c:v>181.24552460508875</c:v>
                </c:pt>
                <c:pt idx="64">
                  <c:v>186.41226272798093</c:v>
                </c:pt>
                <c:pt idx="65">
                  <c:v>184.94317630514576</c:v>
                </c:pt>
                <c:pt idx="66">
                  <c:v>187.19440727649686</c:v>
                </c:pt>
                <c:pt idx="67">
                  <c:v>182.47879176943951</c:v>
                </c:pt>
                <c:pt idx="68">
                  <c:v>186.95462641147822</c:v>
                </c:pt>
                <c:pt idx="69">
                  <c:v>189.83353242026007</c:v>
                </c:pt>
                <c:pt idx="70">
                  <c:v>189.62153726028785</c:v>
                </c:pt>
                <c:pt idx="71">
                  <c:v>186.68141892875275</c:v>
                </c:pt>
                <c:pt idx="72">
                  <c:v>184.87525598983328</c:v>
                </c:pt>
                <c:pt idx="73">
                  <c:v>189.1969942151128</c:v>
                </c:pt>
                <c:pt idx="74">
                  <c:v>194.15758138187243</c:v>
                </c:pt>
                <c:pt idx="75">
                  <c:v>195.99305072895481</c:v>
                </c:pt>
                <c:pt idx="76">
                  <c:v>199.13175511172571</c:v>
                </c:pt>
                <c:pt idx="77">
                  <c:v>196.18371889476742</c:v>
                </c:pt>
                <c:pt idx="78">
                  <c:v>195.54709099099549</c:v>
                </c:pt>
                <c:pt idx="79">
                  <c:v>200.07631887063877</c:v>
                </c:pt>
                <c:pt idx="80">
                  <c:v>196.60670214579412</c:v>
                </c:pt>
                <c:pt idx="81">
                  <c:v>193.63541520655576</c:v>
                </c:pt>
                <c:pt idx="82">
                  <c:v>196.87297219714759</c:v>
                </c:pt>
                <c:pt idx="83">
                  <c:v>195.14271385064276</c:v>
                </c:pt>
                <c:pt idx="84">
                  <c:v>189.12768549275626</c:v>
                </c:pt>
                <c:pt idx="85">
                  <c:v>192.98325638382221</c:v>
                </c:pt>
                <c:pt idx="86">
                  <c:v>201.00434769465539</c:v>
                </c:pt>
                <c:pt idx="87">
                  <c:v>204.12770674010693</c:v>
                </c:pt>
                <c:pt idx="88">
                  <c:v>201.58094136021595</c:v>
                </c:pt>
                <c:pt idx="89">
                  <c:v>203.55411296393112</c:v>
                </c:pt>
                <c:pt idx="90">
                  <c:v>204.64202514734572</c:v>
                </c:pt>
                <c:pt idx="91">
                  <c:v>207.03286423565282</c:v>
                </c:pt>
                <c:pt idx="92">
                  <c:v>205.72597981312421</c:v>
                </c:pt>
                <c:pt idx="93">
                  <c:v>196.43796850749658</c:v>
                </c:pt>
                <c:pt idx="94">
                  <c:v>198.69680452712404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474-FA46-A0A9-E06E8EA2867F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'Q6'!$E$29:$CU$29</c:f>
              <c:numCache>
                <c:formatCode>General</c:formatCode>
                <c:ptCount val="95"/>
                <c:pt idx="0">
                  <c:v>222.13</c:v>
                </c:pt>
                <c:pt idx="1">
                  <c:v>225.13638409384558</c:v>
                </c:pt>
                <c:pt idx="2">
                  <c:v>222.41125509437728</c:v>
                </c:pt>
                <c:pt idx="3">
                  <c:v>221.18676922046791</c:v>
                </c:pt>
                <c:pt idx="4">
                  <c:v>221.43139467122572</c:v>
                </c:pt>
                <c:pt idx="5">
                  <c:v>216.90978959016689</c:v>
                </c:pt>
                <c:pt idx="6">
                  <c:v>220.49939709046981</c:v>
                </c:pt>
                <c:pt idx="7">
                  <c:v>220.42371933712093</c:v>
                </c:pt>
                <c:pt idx="8">
                  <c:v>220.24132735636911</c:v>
                </c:pt>
                <c:pt idx="9">
                  <c:v>219.68187977333855</c:v>
                </c:pt>
                <c:pt idx="10">
                  <c:v>220.39585449697915</c:v>
                </c:pt>
                <c:pt idx="11">
                  <c:v>220.49961487972558</c:v>
                </c:pt>
                <c:pt idx="12">
                  <c:v>230.67460139286146</c:v>
                </c:pt>
                <c:pt idx="13">
                  <c:v>226.81750995833099</c:v>
                </c:pt>
                <c:pt idx="14">
                  <c:v>232.78350908435684</c:v>
                </c:pt>
                <c:pt idx="15">
                  <c:v>241.09277347145607</c:v>
                </c:pt>
                <c:pt idx="16">
                  <c:v>246.30811490175273</c:v>
                </c:pt>
                <c:pt idx="17">
                  <c:v>238.77195283055372</c:v>
                </c:pt>
                <c:pt idx="18">
                  <c:v>245.03699668679698</c:v>
                </c:pt>
                <c:pt idx="19">
                  <c:v>246.49732738121432</c:v>
                </c:pt>
                <c:pt idx="20">
                  <c:v>245.09571145203341</c:v>
                </c:pt>
                <c:pt idx="21">
                  <c:v>237.66949462606183</c:v>
                </c:pt>
                <c:pt idx="22">
                  <c:v>242.6643289811621</c:v>
                </c:pt>
                <c:pt idx="23">
                  <c:v>236.97312258591074</c:v>
                </c:pt>
                <c:pt idx="24">
                  <c:v>237.28110838306412</c:v>
                </c:pt>
                <c:pt idx="25">
                  <c:v>236.29010227632617</c:v>
                </c:pt>
                <c:pt idx="26">
                  <c:v>235.77394394845714</c:v>
                </c:pt>
                <c:pt idx="27">
                  <c:v>234.3079284329977</c:v>
                </c:pt>
                <c:pt idx="28">
                  <c:v>234.03244082352592</c:v>
                </c:pt>
                <c:pt idx="29">
                  <c:v>235.09952976507418</c:v>
                </c:pt>
                <c:pt idx="30">
                  <c:v>237.58215733622069</c:v>
                </c:pt>
                <c:pt idx="31">
                  <c:v>245.23244956351729</c:v>
                </c:pt>
                <c:pt idx="32">
                  <c:v>249.90897000005972</c:v>
                </c:pt>
                <c:pt idx="33">
                  <c:v>254.61157950028692</c:v>
                </c:pt>
                <c:pt idx="34">
                  <c:v>258.78054277819541</c:v>
                </c:pt>
                <c:pt idx="35">
                  <c:v>255.04477762781443</c:v>
                </c:pt>
                <c:pt idx="36">
                  <c:v>260.73866543588196</c:v>
                </c:pt>
                <c:pt idx="37">
                  <c:v>265.48564931931423</c:v>
                </c:pt>
                <c:pt idx="38">
                  <c:v>268.60148774562111</c:v>
                </c:pt>
                <c:pt idx="39">
                  <c:v>265.96131860695164</c:v>
                </c:pt>
                <c:pt idx="40">
                  <c:v>263.05982506653362</c:v>
                </c:pt>
                <c:pt idx="41">
                  <c:v>256.86984547724211</c:v>
                </c:pt>
                <c:pt idx="42">
                  <c:v>257.82726401598399</c:v>
                </c:pt>
                <c:pt idx="43">
                  <c:v>266.39393552698203</c:v>
                </c:pt>
                <c:pt idx="44">
                  <c:v>259.64117585852358</c:v>
                </c:pt>
                <c:pt idx="45">
                  <c:v>249.27853031859158</c:v>
                </c:pt>
                <c:pt idx="46">
                  <c:v>260.62986659296848</c:v>
                </c:pt>
                <c:pt idx="47">
                  <c:v>264.50313598525912</c:v>
                </c:pt>
                <c:pt idx="48">
                  <c:v>258.24808055464388</c:v>
                </c:pt>
                <c:pt idx="49">
                  <c:v>263.60736196719563</c:v>
                </c:pt>
                <c:pt idx="50">
                  <c:v>264.56762754894305</c:v>
                </c:pt>
                <c:pt idx="51">
                  <c:v>265.23209961248563</c:v>
                </c:pt>
                <c:pt idx="52">
                  <c:v>257.21009920288401</c:v>
                </c:pt>
                <c:pt idx="53">
                  <c:v>261.54648368068854</c:v>
                </c:pt>
                <c:pt idx="54">
                  <c:v>266.6120710692125</c:v>
                </c:pt>
                <c:pt idx="55">
                  <c:v>274.69497049742148</c:v>
                </c:pt>
                <c:pt idx="56">
                  <c:v>276.29942154914596</c:v>
                </c:pt>
                <c:pt idx="57">
                  <c:v>287.05020914281346</c:v>
                </c:pt>
                <c:pt idx="58">
                  <c:v>290.40897680342363</c:v>
                </c:pt>
                <c:pt idx="59">
                  <c:v>288.30791343169489</c:v>
                </c:pt>
                <c:pt idx="60">
                  <c:v>272.09943906220764</c:v>
                </c:pt>
                <c:pt idx="61">
                  <c:v>252.77909494999287</c:v>
                </c:pt>
                <c:pt idx="62">
                  <c:v>242.07464547056148</c:v>
                </c:pt>
                <c:pt idx="63">
                  <c:v>229.3819518041158</c:v>
                </c:pt>
                <c:pt idx="64">
                  <c:v>235.48297221932714</c:v>
                </c:pt>
                <c:pt idx="65">
                  <c:v>241.97529214614877</c:v>
                </c:pt>
                <c:pt idx="66">
                  <c:v>245.12648943664598</c:v>
                </c:pt>
                <c:pt idx="67">
                  <c:v>247.8674510754949</c:v>
                </c:pt>
                <c:pt idx="68">
                  <c:v>256.86540808519248</c:v>
                </c:pt>
                <c:pt idx="69">
                  <c:v>253.76050540898316</c:v>
                </c:pt>
                <c:pt idx="70">
                  <c:v>248.4135556048233</c:v>
                </c:pt>
                <c:pt idx="71">
                  <c:v>231.13041642830791</c:v>
                </c:pt>
                <c:pt idx="72">
                  <c:v>242.81190187996842</c:v>
                </c:pt>
                <c:pt idx="73">
                  <c:v>243.59425632961359</c:v>
                </c:pt>
                <c:pt idx="74">
                  <c:v>239.01819870600755</c:v>
                </c:pt>
                <c:pt idx="75">
                  <c:v>238.04833810088971</c:v>
                </c:pt>
                <c:pt idx="76">
                  <c:v>230.76772811570257</c:v>
                </c:pt>
                <c:pt idx="77">
                  <c:v>230.3723925400983</c:v>
                </c:pt>
                <c:pt idx="78">
                  <c:v>232.22414858510848</c:v>
                </c:pt>
                <c:pt idx="79">
                  <c:v>232.54853750690737</c:v>
                </c:pt>
                <c:pt idx="80">
                  <c:v>226.03626187565044</c:v>
                </c:pt>
                <c:pt idx="81">
                  <c:v>227.09333812510485</c:v>
                </c:pt>
                <c:pt idx="82">
                  <c:v>226.80514663287374</c:v>
                </c:pt>
                <c:pt idx="83">
                  <c:v>222.43966980223055</c:v>
                </c:pt>
                <c:pt idx="84">
                  <c:v>220.76862563294452</c:v>
                </c:pt>
                <c:pt idx="85">
                  <c:v>217.08853483236271</c:v>
                </c:pt>
                <c:pt idx="86">
                  <c:v>214.54032736512201</c:v>
                </c:pt>
                <c:pt idx="87">
                  <c:v>207.16210688759188</c:v>
                </c:pt>
                <c:pt idx="88">
                  <c:v>199.82752064465578</c:v>
                </c:pt>
                <c:pt idx="89">
                  <c:v>201.41299224220748</c:v>
                </c:pt>
                <c:pt idx="90">
                  <c:v>202.72644009716612</c:v>
                </c:pt>
                <c:pt idx="91">
                  <c:v>203.96819838338476</c:v>
                </c:pt>
                <c:pt idx="92">
                  <c:v>214.1089089456907</c:v>
                </c:pt>
                <c:pt idx="93">
                  <c:v>214.47464345651724</c:v>
                </c:pt>
                <c:pt idx="94">
                  <c:v>216.10684007190122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474-FA46-A0A9-E06E8EA2867F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'Q6'!$E$30:$CU$30</c:f>
              <c:numCache>
                <c:formatCode>General</c:formatCode>
                <c:ptCount val="95"/>
                <c:pt idx="0">
                  <c:v>222.13</c:v>
                </c:pt>
                <c:pt idx="1">
                  <c:v>223.85700995021176</c:v>
                </c:pt>
                <c:pt idx="2">
                  <c:v>220.7044359082339</c:v>
                </c:pt>
                <c:pt idx="3">
                  <c:v>214.23459370657136</c:v>
                </c:pt>
                <c:pt idx="4">
                  <c:v>210.83031514482519</c:v>
                </c:pt>
                <c:pt idx="5">
                  <c:v>211.03096398882164</c:v>
                </c:pt>
                <c:pt idx="6">
                  <c:v>210.42500123699472</c:v>
                </c:pt>
                <c:pt idx="7">
                  <c:v>215.32420983453849</c:v>
                </c:pt>
                <c:pt idx="8">
                  <c:v>214.41647418483481</c:v>
                </c:pt>
                <c:pt idx="9">
                  <c:v>216.26484868064384</c:v>
                </c:pt>
                <c:pt idx="10">
                  <c:v>214.93746135853132</c:v>
                </c:pt>
                <c:pt idx="11">
                  <c:v>220.5341218144396</c:v>
                </c:pt>
                <c:pt idx="12">
                  <c:v>221.32828868340417</c:v>
                </c:pt>
                <c:pt idx="13">
                  <c:v>221.63356650997835</c:v>
                </c:pt>
                <c:pt idx="14">
                  <c:v>218.11419887747343</c:v>
                </c:pt>
                <c:pt idx="15">
                  <c:v>217.05634811379542</c:v>
                </c:pt>
                <c:pt idx="16">
                  <c:v>219.33934365903826</c:v>
                </c:pt>
                <c:pt idx="17">
                  <c:v>211.5335317616684</c:v>
                </c:pt>
                <c:pt idx="18">
                  <c:v>226.5427314998939</c:v>
                </c:pt>
                <c:pt idx="19">
                  <c:v>220.20684591031994</c:v>
                </c:pt>
                <c:pt idx="20">
                  <c:v>215.21314656803389</c:v>
                </c:pt>
                <c:pt idx="21">
                  <c:v>220.36389674552913</c:v>
                </c:pt>
                <c:pt idx="22">
                  <c:v>223.29274709155621</c:v>
                </c:pt>
                <c:pt idx="23">
                  <c:v>222.8867593590852</c:v>
                </c:pt>
                <c:pt idx="24">
                  <c:v>212.46670946634342</c:v>
                </c:pt>
                <c:pt idx="25">
                  <c:v>209.97088992561652</c:v>
                </c:pt>
                <c:pt idx="26">
                  <c:v>221.38034275446478</c:v>
                </c:pt>
                <c:pt idx="27">
                  <c:v>222.1640670193151</c:v>
                </c:pt>
                <c:pt idx="28">
                  <c:v>220.60029224605086</c:v>
                </c:pt>
                <c:pt idx="29">
                  <c:v>221.18345879475314</c:v>
                </c:pt>
                <c:pt idx="30">
                  <c:v>222.00148960393037</c:v>
                </c:pt>
                <c:pt idx="31">
                  <c:v>221.32143348785954</c:v>
                </c:pt>
                <c:pt idx="32">
                  <c:v>218.35088643126025</c:v>
                </c:pt>
                <c:pt idx="33">
                  <c:v>213.96582051311822</c:v>
                </c:pt>
                <c:pt idx="34">
                  <c:v>213.74618903988249</c:v>
                </c:pt>
                <c:pt idx="35">
                  <c:v>212.76419753006689</c:v>
                </c:pt>
                <c:pt idx="36">
                  <c:v>214.97439856350954</c:v>
                </c:pt>
                <c:pt idx="37">
                  <c:v>219.02256539472378</c:v>
                </c:pt>
                <c:pt idx="38">
                  <c:v>224.13701997131875</c:v>
                </c:pt>
                <c:pt idx="39">
                  <c:v>227.01413656888454</c:v>
                </c:pt>
                <c:pt idx="40">
                  <c:v>221.17854209787552</c:v>
                </c:pt>
                <c:pt idx="41">
                  <c:v>223.75470982314167</c:v>
                </c:pt>
                <c:pt idx="42">
                  <c:v>220.78961373244252</c:v>
                </c:pt>
                <c:pt idx="43">
                  <c:v>222.79911136645569</c:v>
                </c:pt>
                <c:pt idx="44">
                  <c:v>220.00779128274635</c:v>
                </c:pt>
                <c:pt idx="45">
                  <c:v>224.8232670106502</c:v>
                </c:pt>
                <c:pt idx="46">
                  <c:v>231.22923926476474</c:v>
                </c:pt>
                <c:pt idx="47">
                  <c:v>229.11681503837215</c:v>
                </c:pt>
                <c:pt idx="48">
                  <c:v>226.5133393455769</c:v>
                </c:pt>
                <c:pt idx="49">
                  <c:v>222.23467087447909</c:v>
                </c:pt>
                <c:pt idx="50">
                  <c:v>219.62644061336326</c:v>
                </c:pt>
                <c:pt idx="51">
                  <c:v>219.60546464104439</c:v>
                </c:pt>
                <c:pt idx="52">
                  <c:v>219.20514543411286</c:v>
                </c:pt>
                <c:pt idx="53">
                  <c:v>224.94434365494811</c:v>
                </c:pt>
                <c:pt idx="54">
                  <c:v>220.54815652729218</c:v>
                </c:pt>
                <c:pt idx="55">
                  <c:v>224.70016332418516</c:v>
                </c:pt>
                <c:pt idx="56">
                  <c:v>223.70495216165062</c:v>
                </c:pt>
                <c:pt idx="57">
                  <c:v>221.52475871694247</c:v>
                </c:pt>
                <c:pt idx="58">
                  <c:v>215.13497223248532</c:v>
                </c:pt>
                <c:pt idx="59">
                  <c:v>215.78052306715642</c:v>
                </c:pt>
                <c:pt idx="60">
                  <c:v>207.6601711624015</c:v>
                </c:pt>
                <c:pt idx="61">
                  <c:v>202.06629783842561</c:v>
                </c:pt>
                <c:pt idx="62">
                  <c:v>196.15004642833756</c:v>
                </c:pt>
                <c:pt idx="63">
                  <c:v>195.64365773494649</c:v>
                </c:pt>
                <c:pt idx="64">
                  <c:v>189.65120055830727</c:v>
                </c:pt>
                <c:pt idx="65">
                  <c:v>188.18686924130944</c:v>
                </c:pt>
                <c:pt idx="66">
                  <c:v>191.50996848719251</c:v>
                </c:pt>
                <c:pt idx="67">
                  <c:v>200.91242389829355</c:v>
                </c:pt>
                <c:pt idx="68">
                  <c:v>197.70028050220563</c:v>
                </c:pt>
                <c:pt idx="69">
                  <c:v>201.74144940206725</c:v>
                </c:pt>
                <c:pt idx="70">
                  <c:v>205.58210518695358</c:v>
                </c:pt>
                <c:pt idx="71">
                  <c:v>197.07343348624374</c:v>
                </c:pt>
                <c:pt idx="72">
                  <c:v>196.23705692261626</c:v>
                </c:pt>
                <c:pt idx="73">
                  <c:v>186.01918396678619</c:v>
                </c:pt>
                <c:pt idx="74">
                  <c:v>190.63332821745345</c:v>
                </c:pt>
                <c:pt idx="75">
                  <c:v>196.44219452773316</c:v>
                </c:pt>
                <c:pt idx="76">
                  <c:v>196.53094385066083</c:v>
                </c:pt>
                <c:pt idx="77">
                  <c:v>205.14904602457017</c:v>
                </c:pt>
                <c:pt idx="78">
                  <c:v>204.66255086572943</c:v>
                </c:pt>
                <c:pt idx="79">
                  <c:v>208.34175229289531</c:v>
                </c:pt>
                <c:pt idx="80">
                  <c:v>210.28530550285288</c:v>
                </c:pt>
                <c:pt idx="81">
                  <c:v>213.10064534096514</c:v>
                </c:pt>
                <c:pt idx="82">
                  <c:v>213.98265493396443</c:v>
                </c:pt>
                <c:pt idx="83">
                  <c:v>216.25381943722368</c:v>
                </c:pt>
                <c:pt idx="84">
                  <c:v>207.57559261427616</c:v>
                </c:pt>
                <c:pt idx="85">
                  <c:v>216.51668333933796</c:v>
                </c:pt>
                <c:pt idx="86">
                  <c:v>208.79937068694369</c:v>
                </c:pt>
                <c:pt idx="87">
                  <c:v>216.50940728441515</c:v>
                </c:pt>
                <c:pt idx="88">
                  <c:v>218.83770988139224</c:v>
                </c:pt>
                <c:pt idx="89">
                  <c:v>219.96907293471517</c:v>
                </c:pt>
                <c:pt idx="90">
                  <c:v>218.37813589578184</c:v>
                </c:pt>
                <c:pt idx="91">
                  <c:v>221.98079640611274</c:v>
                </c:pt>
                <c:pt idx="92">
                  <c:v>221.93148158940122</c:v>
                </c:pt>
                <c:pt idx="93">
                  <c:v>218.91866455997862</c:v>
                </c:pt>
                <c:pt idx="94">
                  <c:v>215.70965453411316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474-FA46-A0A9-E06E8EA2867F}"/>
            </c:ext>
          </c:extLst>
        </c:ser>
        <c:ser>
          <c:idx val="29"/>
          <c:order val="29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'Q6'!$E$31:$CU$31</c:f>
              <c:numCache>
                <c:formatCode>General</c:formatCode>
                <c:ptCount val="95"/>
                <c:pt idx="0">
                  <c:v>222.13</c:v>
                </c:pt>
                <c:pt idx="1">
                  <c:v>215.05936461245804</c:v>
                </c:pt>
                <c:pt idx="2">
                  <c:v>220.169119911998</c:v>
                </c:pt>
                <c:pt idx="3">
                  <c:v>211.44343456933058</c:v>
                </c:pt>
                <c:pt idx="4">
                  <c:v>207.03995638130377</c:v>
                </c:pt>
                <c:pt idx="5">
                  <c:v>203.56667078239784</c:v>
                </c:pt>
                <c:pt idx="6">
                  <c:v>205.24468678531917</c:v>
                </c:pt>
                <c:pt idx="7">
                  <c:v>196.1929436029242</c:v>
                </c:pt>
                <c:pt idx="8">
                  <c:v>207.21142564021486</c:v>
                </c:pt>
                <c:pt idx="9">
                  <c:v>206.80503776503426</c:v>
                </c:pt>
                <c:pt idx="10">
                  <c:v>204.37037998778666</c:v>
                </c:pt>
                <c:pt idx="11">
                  <c:v>207.35566758159459</c:v>
                </c:pt>
                <c:pt idx="12">
                  <c:v>204.04770558319211</c:v>
                </c:pt>
                <c:pt idx="13">
                  <c:v>210.51302542259756</c:v>
                </c:pt>
                <c:pt idx="14">
                  <c:v>208.38144039302259</c:v>
                </c:pt>
                <c:pt idx="15">
                  <c:v>207.4881208537391</c:v>
                </c:pt>
                <c:pt idx="16">
                  <c:v>206.67902371154085</c:v>
                </c:pt>
                <c:pt idx="17">
                  <c:v>214.96257425205539</c:v>
                </c:pt>
                <c:pt idx="18">
                  <c:v>212.81409515808946</c:v>
                </c:pt>
                <c:pt idx="19">
                  <c:v>209.4195585239554</c:v>
                </c:pt>
                <c:pt idx="20">
                  <c:v>207.35619873379136</c:v>
                </c:pt>
                <c:pt idx="21">
                  <c:v>204.02785411951203</c:v>
                </c:pt>
                <c:pt idx="22">
                  <c:v>203.39955777963706</c:v>
                </c:pt>
                <c:pt idx="23">
                  <c:v>209.38363939839746</c:v>
                </c:pt>
                <c:pt idx="24">
                  <c:v>204.76846505650414</c:v>
                </c:pt>
                <c:pt idx="25">
                  <c:v>207.67145738293493</c:v>
                </c:pt>
                <c:pt idx="26">
                  <c:v>219.13305202228017</c:v>
                </c:pt>
                <c:pt idx="27">
                  <c:v>217.51171000591913</c:v>
                </c:pt>
                <c:pt idx="28">
                  <c:v>211.44715277741059</c:v>
                </c:pt>
                <c:pt idx="29">
                  <c:v>211.38520323938212</c:v>
                </c:pt>
                <c:pt idx="30">
                  <c:v>213.63497723148981</c:v>
                </c:pt>
                <c:pt idx="31">
                  <c:v>213.93104561664251</c:v>
                </c:pt>
                <c:pt idx="32">
                  <c:v>206.66060566367557</c:v>
                </c:pt>
                <c:pt idx="33">
                  <c:v>210.37247378308942</c:v>
                </c:pt>
                <c:pt idx="34">
                  <c:v>213.13817505152744</c:v>
                </c:pt>
                <c:pt idx="35">
                  <c:v>208.65073249825238</c:v>
                </c:pt>
                <c:pt idx="36">
                  <c:v>206.77803554577343</c:v>
                </c:pt>
                <c:pt idx="37">
                  <c:v>209.49875789600839</c:v>
                </c:pt>
                <c:pt idx="38">
                  <c:v>210.62411874000153</c:v>
                </c:pt>
                <c:pt idx="39">
                  <c:v>206.527635068553</c:v>
                </c:pt>
                <c:pt idx="40">
                  <c:v>212.51906224945756</c:v>
                </c:pt>
                <c:pt idx="41">
                  <c:v>214.70227391697347</c:v>
                </c:pt>
                <c:pt idx="42">
                  <c:v>211.50220760304774</c:v>
                </c:pt>
                <c:pt idx="43">
                  <c:v>194.94320538092819</c:v>
                </c:pt>
                <c:pt idx="44">
                  <c:v>197.96339200881286</c:v>
                </c:pt>
                <c:pt idx="45">
                  <c:v>196.71815792592207</c:v>
                </c:pt>
                <c:pt idx="46">
                  <c:v>201.33198338060961</c:v>
                </c:pt>
                <c:pt idx="47">
                  <c:v>200.56980644146432</c:v>
                </c:pt>
                <c:pt idx="48">
                  <c:v>205.77256004441909</c:v>
                </c:pt>
                <c:pt idx="49">
                  <c:v>205.79008652044143</c:v>
                </c:pt>
                <c:pt idx="50">
                  <c:v>209.08823580460327</c:v>
                </c:pt>
                <c:pt idx="51">
                  <c:v>209.61264483593013</c:v>
                </c:pt>
                <c:pt idx="52">
                  <c:v>209.43373978932007</c:v>
                </c:pt>
                <c:pt idx="53">
                  <c:v>212.19651301505473</c:v>
                </c:pt>
                <c:pt idx="54">
                  <c:v>208.12940948791612</c:v>
                </c:pt>
                <c:pt idx="55">
                  <c:v>202.68395517688765</c:v>
                </c:pt>
                <c:pt idx="56">
                  <c:v>204.85707120312117</c:v>
                </c:pt>
                <c:pt idx="57">
                  <c:v>207.45303141662279</c:v>
                </c:pt>
                <c:pt idx="58">
                  <c:v>200.56255104308758</c:v>
                </c:pt>
                <c:pt idx="59">
                  <c:v>203.49042408210636</c:v>
                </c:pt>
                <c:pt idx="60">
                  <c:v>200.48721558473792</c:v>
                </c:pt>
                <c:pt idx="61">
                  <c:v>210.70245565876579</c:v>
                </c:pt>
                <c:pt idx="62">
                  <c:v>207.06927017835764</c:v>
                </c:pt>
                <c:pt idx="63">
                  <c:v>211.35484580160525</c:v>
                </c:pt>
                <c:pt idx="64">
                  <c:v>219.90886985902139</c:v>
                </c:pt>
                <c:pt idx="65">
                  <c:v>218.1837908914757</c:v>
                </c:pt>
                <c:pt idx="66">
                  <c:v>214.35777128486095</c:v>
                </c:pt>
                <c:pt idx="67">
                  <c:v>216.95684055513433</c:v>
                </c:pt>
                <c:pt idx="68">
                  <c:v>210.83720609665428</c:v>
                </c:pt>
                <c:pt idx="69">
                  <c:v>214.67413262348137</c:v>
                </c:pt>
                <c:pt idx="70">
                  <c:v>214.39723936980658</c:v>
                </c:pt>
                <c:pt idx="71">
                  <c:v>205.98372634751746</c:v>
                </c:pt>
                <c:pt idx="72">
                  <c:v>199.06541852145571</c:v>
                </c:pt>
                <c:pt idx="73">
                  <c:v>194.90354208543593</c:v>
                </c:pt>
                <c:pt idx="74">
                  <c:v>196.73484792541976</c:v>
                </c:pt>
                <c:pt idx="75">
                  <c:v>210.37381984387451</c:v>
                </c:pt>
                <c:pt idx="76">
                  <c:v>219.80171305111131</c:v>
                </c:pt>
                <c:pt idx="77">
                  <c:v>218.26412563057593</c:v>
                </c:pt>
                <c:pt idx="78">
                  <c:v>214.89066374929916</c:v>
                </c:pt>
                <c:pt idx="79">
                  <c:v>215.03364504778932</c:v>
                </c:pt>
                <c:pt idx="80">
                  <c:v>228.09783769796226</c:v>
                </c:pt>
                <c:pt idx="81">
                  <c:v>225.45825104892032</c:v>
                </c:pt>
                <c:pt idx="82">
                  <c:v>233.44709069533769</c:v>
                </c:pt>
                <c:pt idx="83">
                  <c:v>246.2720231874103</c:v>
                </c:pt>
                <c:pt idx="84">
                  <c:v>241.65468136081284</c:v>
                </c:pt>
                <c:pt idx="85">
                  <c:v>243.71234922328932</c:v>
                </c:pt>
                <c:pt idx="86">
                  <c:v>246.43092516357422</c:v>
                </c:pt>
                <c:pt idx="87">
                  <c:v>248.38774926860856</c:v>
                </c:pt>
                <c:pt idx="88">
                  <c:v>241.51400939086557</c:v>
                </c:pt>
                <c:pt idx="89">
                  <c:v>244.24092624673793</c:v>
                </c:pt>
                <c:pt idx="90">
                  <c:v>248.94637370140845</c:v>
                </c:pt>
                <c:pt idx="91">
                  <c:v>251.09449511306119</c:v>
                </c:pt>
                <c:pt idx="92">
                  <c:v>259.53028028802294</c:v>
                </c:pt>
                <c:pt idx="93">
                  <c:v>262.75166740212774</c:v>
                </c:pt>
                <c:pt idx="94">
                  <c:v>262.38294292819222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8474-FA46-A0A9-E06E8EA2867F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'Q6'!$E$32:$CU$32</c:f>
              <c:numCache>
                <c:formatCode>General</c:formatCode>
                <c:ptCount val="95"/>
                <c:pt idx="0">
                  <c:v>222.13</c:v>
                </c:pt>
                <c:pt idx="1">
                  <c:v>216.39394647634253</c:v>
                </c:pt>
                <c:pt idx="2">
                  <c:v>215.23733378975905</c:v>
                </c:pt>
                <c:pt idx="3">
                  <c:v>211.3048382159501</c:v>
                </c:pt>
                <c:pt idx="4">
                  <c:v>208.92237120716104</c:v>
                </c:pt>
                <c:pt idx="5">
                  <c:v>206.88512566080954</c:v>
                </c:pt>
                <c:pt idx="6">
                  <c:v>201.57916023657918</c:v>
                </c:pt>
                <c:pt idx="7">
                  <c:v>199.13422371398127</c:v>
                </c:pt>
                <c:pt idx="8">
                  <c:v>202.03671488901728</c:v>
                </c:pt>
                <c:pt idx="9">
                  <c:v>203.99688992509641</c:v>
                </c:pt>
                <c:pt idx="10">
                  <c:v>201.37315415166105</c:v>
                </c:pt>
                <c:pt idx="11">
                  <c:v>203.83525168543142</c:v>
                </c:pt>
                <c:pt idx="12">
                  <c:v>213.17969067966274</c:v>
                </c:pt>
                <c:pt idx="13">
                  <c:v>205.0249016168944</c:v>
                </c:pt>
                <c:pt idx="14">
                  <c:v>206.97510157906873</c:v>
                </c:pt>
                <c:pt idx="15">
                  <c:v>196.48184588525956</c:v>
                </c:pt>
                <c:pt idx="16">
                  <c:v>192.04686108427606</c:v>
                </c:pt>
                <c:pt idx="17">
                  <c:v>185.69676957299342</c:v>
                </c:pt>
                <c:pt idx="18">
                  <c:v>193.33583029420919</c:v>
                </c:pt>
                <c:pt idx="19">
                  <c:v>198.34129385577239</c:v>
                </c:pt>
                <c:pt idx="20">
                  <c:v>194.30984705702059</c:v>
                </c:pt>
                <c:pt idx="21">
                  <c:v>194.46939195139171</c:v>
                </c:pt>
                <c:pt idx="22">
                  <c:v>193.56320553728466</c:v>
                </c:pt>
                <c:pt idx="23">
                  <c:v>193.53220595128241</c:v>
                </c:pt>
                <c:pt idx="24">
                  <c:v>198.22224471847412</c:v>
                </c:pt>
                <c:pt idx="25">
                  <c:v>201.09322793401842</c:v>
                </c:pt>
                <c:pt idx="26">
                  <c:v>197.27525509712956</c:v>
                </c:pt>
                <c:pt idx="27">
                  <c:v>192.65462545955049</c:v>
                </c:pt>
                <c:pt idx="28">
                  <c:v>191.97599315333295</c:v>
                </c:pt>
                <c:pt idx="29">
                  <c:v>191.62648339800813</c:v>
                </c:pt>
                <c:pt idx="30">
                  <c:v>193.45279775304135</c:v>
                </c:pt>
                <c:pt idx="31">
                  <c:v>195.41959318553893</c:v>
                </c:pt>
                <c:pt idx="32">
                  <c:v>189.56008403071627</c:v>
                </c:pt>
                <c:pt idx="33">
                  <c:v>189.08203375591319</c:v>
                </c:pt>
                <c:pt idx="34">
                  <c:v>188.17024237389893</c:v>
                </c:pt>
                <c:pt idx="35">
                  <c:v>180.70824714295492</c:v>
                </c:pt>
                <c:pt idx="36">
                  <c:v>185.61685626560543</c:v>
                </c:pt>
                <c:pt idx="37">
                  <c:v>189.6347849104026</c:v>
                </c:pt>
                <c:pt idx="38">
                  <c:v>187.45968668311755</c:v>
                </c:pt>
                <c:pt idx="39">
                  <c:v>181.89990365315128</c:v>
                </c:pt>
                <c:pt idx="40">
                  <c:v>182.2776695666829</c:v>
                </c:pt>
                <c:pt idx="41">
                  <c:v>183.82608621973426</c:v>
                </c:pt>
                <c:pt idx="42">
                  <c:v>177.62762596378968</c:v>
                </c:pt>
                <c:pt idx="43">
                  <c:v>180.77398521026603</c:v>
                </c:pt>
                <c:pt idx="44">
                  <c:v>174.15433208797361</c:v>
                </c:pt>
                <c:pt idx="45">
                  <c:v>172.8577358389517</c:v>
                </c:pt>
                <c:pt idx="46">
                  <c:v>177.78925675770989</c:v>
                </c:pt>
                <c:pt idx="47">
                  <c:v>179.68906878927206</c:v>
                </c:pt>
                <c:pt idx="48">
                  <c:v>177.65271346312258</c:v>
                </c:pt>
                <c:pt idx="49">
                  <c:v>173.3967485605456</c:v>
                </c:pt>
                <c:pt idx="50">
                  <c:v>176.45660050243447</c:v>
                </c:pt>
                <c:pt idx="51">
                  <c:v>171.3503287658061</c:v>
                </c:pt>
                <c:pt idx="52">
                  <c:v>166.70249008293791</c:v>
                </c:pt>
                <c:pt idx="53">
                  <c:v>170.58667548131643</c:v>
                </c:pt>
                <c:pt idx="54">
                  <c:v>176.00536390749548</c:v>
                </c:pt>
                <c:pt idx="55">
                  <c:v>180.33928022617457</c:v>
                </c:pt>
                <c:pt idx="56">
                  <c:v>179.86151326019672</c:v>
                </c:pt>
                <c:pt idx="57">
                  <c:v>180.49892158430674</c:v>
                </c:pt>
                <c:pt idx="58">
                  <c:v>178.05064466162042</c:v>
                </c:pt>
                <c:pt idx="59">
                  <c:v>175.3634551419965</c:v>
                </c:pt>
                <c:pt idx="60">
                  <c:v>176.34815955433157</c:v>
                </c:pt>
                <c:pt idx="61">
                  <c:v>181.84195040602188</c:v>
                </c:pt>
                <c:pt idx="62">
                  <c:v>178.33894862846174</c:v>
                </c:pt>
                <c:pt idx="63">
                  <c:v>183.39900062180152</c:v>
                </c:pt>
                <c:pt idx="64">
                  <c:v>184.94920518602797</c:v>
                </c:pt>
                <c:pt idx="65">
                  <c:v>183.1920296743821</c:v>
                </c:pt>
                <c:pt idx="66">
                  <c:v>180.73681770984786</c:v>
                </c:pt>
                <c:pt idx="67">
                  <c:v>187.90432877536861</c:v>
                </c:pt>
                <c:pt idx="68">
                  <c:v>188.16314993226752</c:v>
                </c:pt>
                <c:pt idx="69">
                  <c:v>191.74598998544403</c:v>
                </c:pt>
                <c:pt idx="70">
                  <c:v>203.18477649050595</c:v>
                </c:pt>
                <c:pt idx="71">
                  <c:v>212.28911332986576</c:v>
                </c:pt>
                <c:pt idx="72">
                  <c:v>210.64202062177407</c:v>
                </c:pt>
                <c:pt idx="73">
                  <c:v>208.00867825931581</c:v>
                </c:pt>
                <c:pt idx="74">
                  <c:v>209.98113133337279</c:v>
                </c:pt>
                <c:pt idx="75">
                  <c:v>204.73851468853815</c:v>
                </c:pt>
                <c:pt idx="76">
                  <c:v>205.74896267208871</c:v>
                </c:pt>
                <c:pt idx="77">
                  <c:v>205.65985846468979</c:v>
                </c:pt>
                <c:pt idx="78">
                  <c:v>204.10811234370166</c:v>
                </c:pt>
                <c:pt idx="79">
                  <c:v>199.65508841698252</c:v>
                </c:pt>
                <c:pt idx="80">
                  <c:v>198.3978746392676</c:v>
                </c:pt>
                <c:pt idx="81">
                  <c:v>205.69873960630198</c:v>
                </c:pt>
                <c:pt idx="82">
                  <c:v>206.81617489723081</c:v>
                </c:pt>
                <c:pt idx="83">
                  <c:v>203.99427410826624</c:v>
                </c:pt>
                <c:pt idx="84">
                  <c:v>197.6669856219026</c:v>
                </c:pt>
                <c:pt idx="85">
                  <c:v>191.32788291173208</c:v>
                </c:pt>
                <c:pt idx="86">
                  <c:v>191.07209809643641</c:v>
                </c:pt>
                <c:pt idx="87">
                  <c:v>194.09679234716288</c:v>
                </c:pt>
                <c:pt idx="88">
                  <c:v>195.44035409471184</c:v>
                </c:pt>
                <c:pt idx="89">
                  <c:v>210.03508091143959</c:v>
                </c:pt>
                <c:pt idx="90">
                  <c:v>212.52584319049319</c:v>
                </c:pt>
                <c:pt idx="91">
                  <c:v>217.89548936080055</c:v>
                </c:pt>
                <c:pt idx="92">
                  <c:v>219.70644140871119</c:v>
                </c:pt>
                <c:pt idx="93">
                  <c:v>225.0401850879384</c:v>
                </c:pt>
                <c:pt idx="94">
                  <c:v>229.25659457597507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474-FA46-A0A9-E06E8EA2867F}"/>
            </c:ext>
          </c:extLst>
        </c:ser>
        <c:ser>
          <c:idx val="31"/>
          <c:order val="31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'Q6'!$E$33:$CU$33</c:f>
              <c:numCache>
                <c:formatCode>General</c:formatCode>
                <c:ptCount val="95"/>
                <c:pt idx="0">
                  <c:v>222.13</c:v>
                </c:pt>
                <c:pt idx="1">
                  <c:v>226.8588357738293</c:v>
                </c:pt>
                <c:pt idx="2">
                  <c:v>228.13866936133627</c:v>
                </c:pt>
                <c:pt idx="3">
                  <c:v>230.75158061079591</c:v>
                </c:pt>
                <c:pt idx="4">
                  <c:v>245.09350028842539</c:v>
                </c:pt>
                <c:pt idx="5">
                  <c:v>249.76012591817758</c:v>
                </c:pt>
                <c:pt idx="6">
                  <c:v>244.17791290106234</c:v>
                </c:pt>
                <c:pt idx="7">
                  <c:v>237.34593025518529</c:v>
                </c:pt>
                <c:pt idx="8">
                  <c:v>234.23162045463124</c:v>
                </c:pt>
                <c:pt idx="9">
                  <c:v>241.27333953298071</c:v>
                </c:pt>
                <c:pt idx="10">
                  <c:v>237.16162534849403</c:v>
                </c:pt>
                <c:pt idx="11">
                  <c:v>229.69378204990983</c:v>
                </c:pt>
                <c:pt idx="12">
                  <c:v>230.45348107858391</c:v>
                </c:pt>
                <c:pt idx="13">
                  <c:v>232.18103864159548</c:v>
                </c:pt>
                <c:pt idx="14">
                  <c:v>229.97212934562384</c:v>
                </c:pt>
                <c:pt idx="15">
                  <c:v>220.77814690031087</c:v>
                </c:pt>
                <c:pt idx="16">
                  <c:v>216.7513021949365</c:v>
                </c:pt>
                <c:pt idx="17">
                  <c:v>212.19715136231258</c:v>
                </c:pt>
                <c:pt idx="18">
                  <c:v>209.86761984884063</c:v>
                </c:pt>
                <c:pt idx="19">
                  <c:v>210.82597528722596</c:v>
                </c:pt>
                <c:pt idx="20">
                  <c:v>210.7970927900659</c:v>
                </c:pt>
                <c:pt idx="21">
                  <c:v>215.39860409696857</c:v>
                </c:pt>
                <c:pt idx="22">
                  <c:v>214.06650568572275</c:v>
                </c:pt>
                <c:pt idx="23">
                  <c:v>210.15475451590618</c:v>
                </c:pt>
                <c:pt idx="24">
                  <c:v>209.81867723646232</c:v>
                </c:pt>
                <c:pt idx="25">
                  <c:v>208.40550872101593</c:v>
                </c:pt>
                <c:pt idx="26">
                  <c:v>213.49431590677955</c:v>
                </c:pt>
                <c:pt idx="27">
                  <c:v>217.95494360142527</c:v>
                </c:pt>
                <c:pt idx="28">
                  <c:v>217.1600144258052</c:v>
                </c:pt>
                <c:pt idx="29">
                  <c:v>215.95396989070042</c:v>
                </c:pt>
                <c:pt idx="30">
                  <c:v>220.07768014633933</c:v>
                </c:pt>
                <c:pt idx="31">
                  <c:v>220.62267370175925</c:v>
                </c:pt>
                <c:pt idx="32">
                  <c:v>216.39310782895728</c:v>
                </c:pt>
                <c:pt idx="33">
                  <c:v>225.36981539032729</c:v>
                </c:pt>
                <c:pt idx="34">
                  <c:v>224.6382539986173</c:v>
                </c:pt>
                <c:pt idx="35">
                  <c:v>218.53060328579895</c:v>
                </c:pt>
                <c:pt idx="36">
                  <c:v>225.08888296593744</c:v>
                </c:pt>
                <c:pt idx="37">
                  <c:v>222.07420304081046</c:v>
                </c:pt>
                <c:pt idx="38">
                  <c:v>223.47813593361502</c:v>
                </c:pt>
                <c:pt idx="39">
                  <c:v>225.3530221844552</c:v>
                </c:pt>
                <c:pt idx="40">
                  <c:v>223.56242940675006</c:v>
                </c:pt>
                <c:pt idx="41">
                  <c:v>217.19833586124321</c:v>
                </c:pt>
                <c:pt idx="42">
                  <c:v>218.65381247467812</c:v>
                </c:pt>
                <c:pt idx="43">
                  <c:v>221.60701547028523</c:v>
                </c:pt>
                <c:pt idx="44">
                  <c:v>226.46196635316426</c:v>
                </c:pt>
                <c:pt idx="45">
                  <c:v>218.98416698373848</c:v>
                </c:pt>
                <c:pt idx="46">
                  <c:v>213.5078084280583</c:v>
                </c:pt>
                <c:pt idx="47">
                  <c:v>217.62828636420994</c:v>
                </c:pt>
                <c:pt idx="48">
                  <c:v>215.40051479294019</c:v>
                </c:pt>
                <c:pt idx="49">
                  <c:v>204.84690271714481</c:v>
                </c:pt>
                <c:pt idx="50">
                  <c:v>200.60568348014718</c:v>
                </c:pt>
                <c:pt idx="51">
                  <c:v>196.73597257792349</c:v>
                </c:pt>
                <c:pt idx="52">
                  <c:v>197.08535579891134</c:v>
                </c:pt>
                <c:pt idx="53">
                  <c:v>200.5530073126458</c:v>
                </c:pt>
                <c:pt idx="54">
                  <c:v>202.66551861423187</c:v>
                </c:pt>
                <c:pt idx="55">
                  <c:v>195.45159586167563</c:v>
                </c:pt>
                <c:pt idx="56">
                  <c:v>193.18459799549709</c:v>
                </c:pt>
                <c:pt idx="57">
                  <c:v>192.45289461711516</c:v>
                </c:pt>
                <c:pt idx="58">
                  <c:v>185.8196599423934</c:v>
                </c:pt>
                <c:pt idx="59">
                  <c:v>192.86882914831162</c:v>
                </c:pt>
                <c:pt idx="60">
                  <c:v>192.09960926007054</c:v>
                </c:pt>
                <c:pt idx="61">
                  <c:v>195.9615944832083</c:v>
                </c:pt>
                <c:pt idx="62">
                  <c:v>199.73837296832826</c:v>
                </c:pt>
                <c:pt idx="63">
                  <c:v>194.3499561680749</c:v>
                </c:pt>
                <c:pt idx="64">
                  <c:v>189.60397667886454</c:v>
                </c:pt>
                <c:pt idx="65">
                  <c:v>195.16120652910632</c:v>
                </c:pt>
                <c:pt idx="66">
                  <c:v>203.00222853873612</c:v>
                </c:pt>
                <c:pt idx="67">
                  <c:v>196.16503752320713</c:v>
                </c:pt>
                <c:pt idx="68">
                  <c:v>197.19537809710081</c:v>
                </c:pt>
                <c:pt idx="69">
                  <c:v>203.61192983255856</c:v>
                </c:pt>
                <c:pt idx="70">
                  <c:v>204.55635295682148</c:v>
                </c:pt>
                <c:pt idx="71">
                  <c:v>205.00400383637387</c:v>
                </c:pt>
                <c:pt idx="72">
                  <c:v>201.24750913358241</c:v>
                </c:pt>
                <c:pt idx="73">
                  <c:v>207.53505354687309</c:v>
                </c:pt>
                <c:pt idx="74">
                  <c:v>211.97335081033975</c:v>
                </c:pt>
                <c:pt idx="75">
                  <c:v>218.62919867163055</c:v>
                </c:pt>
                <c:pt idx="76">
                  <c:v>223.69259830055424</c:v>
                </c:pt>
                <c:pt idx="77">
                  <c:v>225.23633196814811</c:v>
                </c:pt>
                <c:pt idx="78">
                  <c:v>224.087719776829</c:v>
                </c:pt>
                <c:pt idx="79">
                  <c:v>223.80850264747536</c:v>
                </c:pt>
                <c:pt idx="80">
                  <c:v>225.98779743041254</c:v>
                </c:pt>
                <c:pt idx="81">
                  <c:v>230.47311606343393</c:v>
                </c:pt>
                <c:pt idx="82">
                  <c:v>238.83283485221355</c:v>
                </c:pt>
                <c:pt idx="83">
                  <c:v>243.33876429629362</c:v>
                </c:pt>
                <c:pt idx="84">
                  <c:v>243.90806863396372</c:v>
                </c:pt>
                <c:pt idx="85">
                  <c:v>245.56939455454216</c:v>
                </c:pt>
                <c:pt idx="86">
                  <c:v>250.77688464831164</c:v>
                </c:pt>
                <c:pt idx="87">
                  <c:v>249.17603202667573</c:v>
                </c:pt>
                <c:pt idx="88">
                  <c:v>246.50722399719535</c:v>
                </c:pt>
                <c:pt idx="89">
                  <c:v>245.88921278118008</c:v>
                </c:pt>
                <c:pt idx="90">
                  <c:v>252.31684531744781</c:v>
                </c:pt>
                <c:pt idx="91">
                  <c:v>248.38868490992951</c:v>
                </c:pt>
                <c:pt idx="92">
                  <c:v>259.67252673183094</c:v>
                </c:pt>
                <c:pt idx="93">
                  <c:v>271.24803086698392</c:v>
                </c:pt>
                <c:pt idx="94">
                  <c:v>268.68503816661212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8474-FA46-A0A9-E06E8EA2867F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'Q6'!$E$34:$CU$34</c:f>
              <c:numCache>
                <c:formatCode>General</c:formatCode>
                <c:ptCount val="95"/>
                <c:pt idx="0">
                  <c:v>222.13</c:v>
                </c:pt>
                <c:pt idx="1">
                  <c:v>223.16242822471122</c:v>
                </c:pt>
                <c:pt idx="2">
                  <c:v>219.96879874130789</c:v>
                </c:pt>
                <c:pt idx="3">
                  <c:v>224.7313565137886</c:v>
                </c:pt>
                <c:pt idx="4">
                  <c:v>223.6775564813635</c:v>
                </c:pt>
                <c:pt idx="5">
                  <c:v>228.18713736421714</c:v>
                </c:pt>
                <c:pt idx="6">
                  <c:v>230.39197525806406</c:v>
                </c:pt>
                <c:pt idx="7">
                  <c:v>224.80670242281593</c:v>
                </c:pt>
                <c:pt idx="8">
                  <c:v>226.78974150079728</c:v>
                </c:pt>
                <c:pt idx="9">
                  <c:v>225.9888121884178</c:v>
                </c:pt>
                <c:pt idx="10">
                  <c:v>225.00110829824763</c:v>
                </c:pt>
                <c:pt idx="11">
                  <c:v>230.54152829743452</c:v>
                </c:pt>
                <c:pt idx="12">
                  <c:v>220.99404393164141</c:v>
                </c:pt>
                <c:pt idx="13">
                  <c:v>223.759945490625</c:v>
                </c:pt>
                <c:pt idx="14">
                  <c:v>213.23577809948233</c:v>
                </c:pt>
                <c:pt idx="15">
                  <c:v>218.31337121919861</c:v>
                </c:pt>
                <c:pt idx="16">
                  <c:v>220.79613166086364</c:v>
                </c:pt>
                <c:pt idx="17">
                  <c:v>227.81853990592089</c:v>
                </c:pt>
                <c:pt idx="18">
                  <c:v>227.52082963347087</c:v>
                </c:pt>
                <c:pt idx="19">
                  <c:v>235.77805505925988</c:v>
                </c:pt>
                <c:pt idx="20">
                  <c:v>225.80367584734768</c:v>
                </c:pt>
                <c:pt idx="21">
                  <c:v>227.74766839276143</c:v>
                </c:pt>
                <c:pt idx="22">
                  <c:v>232.42669569393345</c:v>
                </c:pt>
                <c:pt idx="23">
                  <c:v>236.74496973121563</c:v>
                </c:pt>
                <c:pt idx="24">
                  <c:v>240.32633278366251</c:v>
                </c:pt>
                <c:pt idx="25">
                  <c:v>236.70696116455298</c:v>
                </c:pt>
                <c:pt idx="26">
                  <c:v>235.53067040236769</c:v>
                </c:pt>
                <c:pt idx="27">
                  <c:v>245.29950589258129</c:v>
                </c:pt>
                <c:pt idx="28">
                  <c:v>252.78220364383915</c:v>
                </c:pt>
                <c:pt idx="29">
                  <c:v>246.25919926050213</c:v>
                </c:pt>
                <c:pt idx="30">
                  <c:v>241.03077179263846</c:v>
                </c:pt>
                <c:pt idx="31">
                  <c:v>244.12970404014467</c:v>
                </c:pt>
                <c:pt idx="32">
                  <c:v>255.88500682034694</c:v>
                </c:pt>
                <c:pt idx="33">
                  <c:v>266.4744856817386</c:v>
                </c:pt>
                <c:pt idx="34">
                  <c:v>259.31048811580331</c:v>
                </c:pt>
                <c:pt idx="35">
                  <c:v>253.90380863924062</c:v>
                </c:pt>
                <c:pt idx="36">
                  <c:v>259.98114207376767</c:v>
                </c:pt>
                <c:pt idx="37">
                  <c:v>264.8716945153331</c:v>
                </c:pt>
                <c:pt idx="38">
                  <c:v>261.544863792336</c:v>
                </c:pt>
                <c:pt idx="39">
                  <c:v>270.61522604874642</c:v>
                </c:pt>
                <c:pt idx="40">
                  <c:v>274.20679105054256</c:v>
                </c:pt>
                <c:pt idx="41">
                  <c:v>271.1823337470712</c:v>
                </c:pt>
                <c:pt idx="42">
                  <c:v>269.67928259945086</c:v>
                </c:pt>
                <c:pt idx="43">
                  <c:v>285.95194851139473</c:v>
                </c:pt>
                <c:pt idx="44">
                  <c:v>294.20983143113676</c:v>
                </c:pt>
                <c:pt idx="45">
                  <c:v>297.82386864538296</c:v>
                </c:pt>
                <c:pt idx="46">
                  <c:v>307.56712255240029</c:v>
                </c:pt>
                <c:pt idx="47">
                  <c:v>316.66916121737785</c:v>
                </c:pt>
                <c:pt idx="48">
                  <c:v>320.25354678283486</c:v>
                </c:pt>
                <c:pt idx="49">
                  <c:v>315.60963152207256</c:v>
                </c:pt>
                <c:pt idx="50">
                  <c:v>313.00098554016108</c:v>
                </c:pt>
                <c:pt idx="51">
                  <c:v>307.96187616136382</c:v>
                </c:pt>
                <c:pt idx="52">
                  <c:v>306.33963748712671</c:v>
                </c:pt>
                <c:pt idx="53">
                  <c:v>304.27431874085909</c:v>
                </c:pt>
                <c:pt idx="54">
                  <c:v>306.12744483388349</c:v>
                </c:pt>
                <c:pt idx="55">
                  <c:v>304.00242612770319</c:v>
                </c:pt>
                <c:pt idx="56">
                  <c:v>309.23015682463819</c:v>
                </c:pt>
                <c:pt idx="57">
                  <c:v>303.15100476861898</c:v>
                </c:pt>
                <c:pt idx="58">
                  <c:v>317.59935229923747</c:v>
                </c:pt>
                <c:pt idx="59">
                  <c:v>323.98209821739005</c:v>
                </c:pt>
                <c:pt idx="60">
                  <c:v>319.16612963220729</c:v>
                </c:pt>
                <c:pt idx="61">
                  <c:v>316.56763635821699</c:v>
                </c:pt>
                <c:pt idx="62">
                  <c:v>314.88934798787346</c:v>
                </c:pt>
                <c:pt idx="63">
                  <c:v>312.89302914452531</c:v>
                </c:pt>
                <c:pt idx="64">
                  <c:v>318.7561833968976</c:v>
                </c:pt>
                <c:pt idx="65">
                  <c:v>307.0263242803174</c:v>
                </c:pt>
                <c:pt idx="66">
                  <c:v>327.65581216137372</c:v>
                </c:pt>
                <c:pt idx="67">
                  <c:v>329.52925183687637</c:v>
                </c:pt>
                <c:pt idx="68">
                  <c:v>320.30414037484906</c:v>
                </c:pt>
                <c:pt idx="69">
                  <c:v>302.19527215274746</c:v>
                </c:pt>
                <c:pt idx="70">
                  <c:v>304.58860616477733</c:v>
                </c:pt>
                <c:pt idx="71">
                  <c:v>300.96540979091526</c:v>
                </c:pt>
                <c:pt idx="72">
                  <c:v>304.85430888684266</c:v>
                </c:pt>
                <c:pt idx="73">
                  <c:v>310.03597786249696</c:v>
                </c:pt>
                <c:pt idx="74">
                  <c:v>311.63729607164203</c:v>
                </c:pt>
                <c:pt idx="75">
                  <c:v>309.48538465226886</c:v>
                </c:pt>
                <c:pt idx="76">
                  <c:v>307.49613509639357</c:v>
                </c:pt>
                <c:pt idx="77">
                  <c:v>303.46835778858241</c:v>
                </c:pt>
                <c:pt idx="78">
                  <c:v>296.57548185943557</c:v>
                </c:pt>
                <c:pt idx="79">
                  <c:v>295.36846370391714</c:v>
                </c:pt>
                <c:pt idx="80">
                  <c:v>292.67360850096856</c:v>
                </c:pt>
                <c:pt idx="81">
                  <c:v>300.714749193008</c:v>
                </c:pt>
                <c:pt idx="82">
                  <c:v>296.34094532076256</c:v>
                </c:pt>
                <c:pt idx="83">
                  <c:v>300.54828617640953</c:v>
                </c:pt>
                <c:pt idx="84">
                  <c:v>301.79941493014468</c:v>
                </c:pt>
                <c:pt idx="85">
                  <c:v>310.00814396921726</c:v>
                </c:pt>
                <c:pt idx="86">
                  <c:v>313.06652476059645</c:v>
                </c:pt>
                <c:pt idx="87">
                  <c:v>317.00962906400099</c:v>
                </c:pt>
                <c:pt idx="88">
                  <c:v>320.62539071821647</c:v>
                </c:pt>
                <c:pt idx="89">
                  <c:v>331.78777095011276</c:v>
                </c:pt>
                <c:pt idx="90">
                  <c:v>320.53034949590483</c:v>
                </c:pt>
                <c:pt idx="91">
                  <c:v>319.37302715529802</c:v>
                </c:pt>
                <c:pt idx="92">
                  <c:v>324.12733094024088</c:v>
                </c:pt>
                <c:pt idx="93">
                  <c:v>335.79139662018588</c:v>
                </c:pt>
                <c:pt idx="94">
                  <c:v>342.08632249720864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8474-FA46-A0A9-E06E8EA2867F}"/>
            </c:ext>
          </c:extLst>
        </c:ser>
        <c:ser>
          <c:idx val="33"/>
          <c:order val="33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'Q6'!$E$35:$CU$35</c:f>
              <c:numCache>
                <c:formatCode>General</c:formatCode>
                <c:ptCount val="95"/>
                <c:pt idx="0">
                  <c:v>222.13</c:v>
                </c:pt>
                <c:pt idx="1">
                  <c:v>219.24364048365896</c:v>
                </c:pt>
                <c:pt idx="2">
                  <c:v>218.83953552073655</c:v>
                </c:pt>
                <c:pt idx="3">
                  <c:v>216.01346753150676</c:v>
                </c:pt>
                <c:pt idx="4">
                  <c:v>205.62344546762313</c:v>
                </c:pt>
                <c:pt idx="5">
                  <c:v>207.36058358745734</c:v>
                </c:pt>
                <c:pt idx="6">
                  <c:v>209.12346423048595</c:v>
                </c:pt>
                <c:pt idx="7">
                  <c:v>208.86055497037086</c:v>
                </c:pt>
                <c:pt idx="8">
                  <c:v>210.30613749594909</c:v>
                </c:pt>
                <c:pt idx="9">
                  <c:v>213.70747269410822</c:v>
                </c:pt>
                <c:pt idx="10">
                  <c:v>206.75478627873679</c:v>
                </c:pt>
                <c:pt idx="11">
                  <c:v>208.66680421435208</c:v>
                </c:pt>
                <c:pt idx="12">
                  <c:v>204.10608762717919</c:v>
                </c:pt>
                <c:pt idx="13">
                  <c:v>202.23707511543822</c:v>
                </c:pt>
                <c:pt idx="14">
                  <c:v>201.37786486077206</c:v>
                </c:pt>
                <c:pt idx="15">
                  <c:v>203.3223904064991</c:v>
                </c:pt>
                <c:pt idx="16">
                  <c:v>207.762658772013</c:v>
                </c:pt>
                <c:pt idx="17">
                  <c:v>204.86006776141215</c:v>
                </c:pt>
                <c:pt idx="18">
                  <c:v>215.62964771495706</c:v>
                </c:pt>
                <c:pt idx="19">
                  <c:v>214.49723940467743</c:v>
                </c:pt>
                <c:pt idx="20">
                  <c:v>207.71887373399608</c:v>
                </c:pt>
                <c:pt idx="21">
                  <c:v>208.9851577222436</c:v>
                </c:pt>
                <c:pt idx="22">
                  <c:v>205.22725023170079</c:v>
                </c:pt>
                <c:pt idx="23">
                  <c:v>198.20404319698127</c:v>
                </c:pt>
                <c:pt idx="24">
                  <c:v>203.69157845740028</c:v>
                </c:pt>
                <c:pt idx="25">
                  <c:v>207.12587254402246</c:v>
                </c:pt>
                <c:pt idx="26">
                  <c:v>212.37166297081188</c:v>
                </c:pt>
                <c:pt idx="27">
                  <c:v>207.37586254459589</c:v>
                </c:pt>
                <c:pt idx="28">
                  <c:v>201.29536269025016</c:v>
                </c:pt>
                <c:pt idx="29">
                  <c:v>208.88346285334561</c:v>
                </c:pt>
                <c:pt idx="30">
                  <c:v>210.93113256882077</c:v>
                </c:pt>
                <c:pt idx="31">
                  <c:v>214.19362375246914</c:v>
                </c:pt>
                <c:pt idx="32">
                  <c:v>223.38727541638733</c:v>
                </c:pt>
                <c:pt idx="33">
                  <c:v>220.96541969605479</c:v>
                </c:pt>
                <c:pt idx="34">
                  <c:v>234.08878331073166</c:v>
                </c:pt>
                <c:pt idx="35">
                  <c:v>234.02172527513093</c:v>
                </c:pt>
                <c:pt idx="36">
                  <c:v>226.64601726425178</c:v>
                </c:pt>
                <c:pt idx="37">
                  <c:v>231.85550935503932</c:v>
                </c:pt>
                <c:pt idx="38">
                  <c:v>231.12031364480092</c:v>
                </c:pt>
                <c:pt idx="39">
                  <c:v>224.32799974062863</c:v>
                </c:pt>
                <c:pt idx="40">
                  <c:v>229.16952867866013</c:v>
                </c:pt>
                <c:pt idx="41">
                  <c:v>232.1855890922912</c:v>
                </c:pt>
                <c:pt idx="42">
                  <c:v>229.22210014345981</c:v>
                </c:pt>
                <c:pt idx="43">
                  <c:v>229.90237765217219</c:v>
                </c:pt>
                <c:pt idx="44">
                  <c:v>232.01089989119143</c:v>
                </c:pt>
                <c:pt idx="45">
                  <c:v>226.05106206252827</c:v>
                </c:pt>
                <c:pt idx="46">
                  <c:v>233.43736061649051</c:v>
                </c:pt>
                <c:pt idx="47">
                  <c:v>239.51865931996267</c:v>
                </c:pt>
                <c:pt idx="48">
                  <c:v>237.08584603116654</c:v>
                </c:pt>
                <c:pt idx="49">
                  <c:v>224.92310225545813</c:v>
                </c:pt>
                <c:pt idx="50">
                  <c:v>225.64118003449934</c:v>
                </c:pt>
                <c:pt idx="51">
                  <c:v>230.85661251329535</c:v>
                </c:pt>
                <c:pt idx="52">
                  <c:v>229.33944866423309</c:v>
                </c:pt>
                <c:pt idx="53">
                  <c:v>228.275572111716</c:v>
                </c:pt>
                <c:pt idx="54">
                  <c:v>227.90499198753614</c:v>
                </c:pt>
                <c:pt idx="55">
                  <c:v>227.99882530017715</c:v>
                </c:pt>
                <c:pt idx="56">
                  <c:v>229.27145083290455</c:v>
                </c:pt>
                <c:pt idx="57">
                  <c:v>224.06478592033275</c:v>
                </c:pt>
                <c:pt idx="58">
                  <c:v>233.58529643286846</c:v>
                </c:pt>
                <c:pt idx="59">
                  <c:v>240.56765998546723</c:v>
                </c:pt>
                <c:pt idx="60">
                  <c:v>248.27942034751217</c:v>
                </c:pt>
                <c:pt idx="61">
                  <c:v>255.85496959619965</c:v>
                </c:pt>
                <c:pt idx="62">
                  <c:v>258.46013982739242</c:v>
                </c:pt>
                <c:pt idx="63">
                  <c:v>259.06115298641726</c:v>
                </c:pt>
                <c:pt idx="64">
                  <c:v>245.47549189555065</c:v>
                </c:pt>
                <c:pt idx="65">
                  <c:v>239.6409430045131</c:v>
                </c:pt>
                <c:pt idx="66">
                  <c:v>238.22491024595485</c:v>
                </c:pt>
                <c:pt idx="67">
                  <c:v>237.59594883981282</c:v>
                </c:pt>
                <c:pt idx="68">
                  <c:v>241.12489064662779</c:v>
                </c:pt>
                <c:pt idx="69">
                  <c:v>242.08732273963943</c:v>
                </c:pt>
                <c:pt idx="70">
                  <c:v>232.83317978055422</c:v>
                </c:pt>
                <c:pt idx="71">
                  <c:v>227.75397980172559</c:v>
                </c:pt>
                <c:pt idx="72">
                  <c:v>226.70131183061929</c:v>
                </c:pt>
                <c:pt idx="73">
                  <c:v>232.22054405974581</c:v>
                </c:pt>
                <c:pt idx="74">
                  <c:v>230.57780326400206</c:v>
                </c:pt>
                <c:pt idx="75">
                  <c:v>234.06672548302467</c:v>
                </c:pt>
                <c:pt idx="76">
                  <c:v>235.62842935621447</c:v>
                </c:pt>
                <c:pt idx="77">
                  <c:v>239.7267746902387</c:v>
                </c:pt>
                <c:pt idx="78">
                  <c:v>249.11027244921675</c:v>
                </c:pt>
                <c:pt idx="79">
                  <c:v>236.06134895798687</c:v>
                </c:pt>
                <c:pt idx="80">
                  <c:v>228.7137927052361</c:v>
                </c:pt>
                <c:pt idx="81">
                  <c:v>233.0623771888485</c:v>
                </c:pt>
                <c:pt idx="82">
                  <c:v>229.40191571810988</c:v>
                </c:pt>
                <c:pt idx="83">
                  <c:v>230.48558808786498</c:v>
                </c:pt>
                <c:pt idx="84">
                  <c:v>224.33416588403176</c:v>
                </c:pt>
                <c:pt idx="85">
                  <c:v>225.11442010248061</c:v>
                </c:pt>
                <c:pt idx="86">
                  <c:v>217.52152279866732</c:v>
                </c:pt>
                <c:pt idx="87">
                  <c:v>219.42958384581308</c:v>
                </c:pt>
                <c:pt idx="88">
                  <c:v>218.80897519477475</c:v>
                </c:pt>
                <c:pt idx="89">
                  <c:v>214.8814271597771</c:v>
                </c:pt>
                <c:pt idx="90">
                  <c:v>217.29215718492893</c:v>
                </c:pt>
                <c:pt idx="91">
                  <c:v>224.88255893198368</c:v>
                </c:pt>
                <c:pt idx="92">
                  <c:v>235.18626313386946</c:v>
                </c:pt>
                <c:pt idx="93">
                  <c:v>233.89949710668725</c:v>
                </c:pt>
                <c:pt idx="94">
                  <c:v>236.45326999330783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8474-FA46-A0A9-E06E8EA2867F}"/>
            </c:ext>
          </c:extLst>
        </c:ser>
        <c:ser>
          <c:idx val="34"/>
          <c:order val="34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'Q6'!$E$36:$CU$36</c:f>
              <c:numCache>
                <c:formatCode>General</c:formatCode>
                <c:ptCount val="95"/>
                <c:pt idx="0">
                  <c:v>222.13</c:v>
                </c:pt>
                <c:pt idx="1">
                  <c:v>216.8621265323992</c:v>
                </c:pt>
                <c:pt idx="2">
                  <c:v>216.82990587948069</c:v>
                </c:pt>
                <c:pt idx="3">
                  <c:v>223.57124804787506</c:v>
                </c:pt>
                <c:pt idx="4">
                  <c:v>223.76961554294749</c:v>
                </c:pt>
                <c:pt idx="5">
                  <c:v>218.38052651682841</c:v>
                </c:pt>
                <c:pt idx="6">
                  <c:v>217.31337525225732</c:v>
                </c:pt>
                <c:pt idx="7">
                  <c:v>215.23776303710278</c:v>
                </c:pt>
                <c:pt idx="8">
                  <c:v>215.96413928740725</c:v>
                </c:pt>
                <c:pt idx="9">
                  <c:v>220.66782675060801</c:v>
                </c:pt>
                <c:pt idx="10">
                  <c:v>215.68809127025511</c:v>
                </c:pt>
                <c:pt idx="11">
                  <c:v>214.18125261791502</c:v>
                </c:pt>
                <c:pt idx="12">
                  <c:v>207.51535060717708</c:v>
                </c:pt>
                <c:pt idx="13">
                  <c:v>205.66704693134383</c:v>
                </c:pt>
                <c:pt idx="14">
                  <c:v>209.16861855485519</c:v>
                </c:pt>
                <c:pt idx="15">
                  <c:v>205.59027463625881</c:v>
                </c:pt>
                <c:pt idx="16">
                  <c:v>212.18814550422218</c:v>
                </c:pt>
                <c:pt idx="17">
                  <c:v>205.25580903791618</c:v>
                </c:pt>
                <c:pt idx="18">
                  <c:v>198.3620469560492</c:v>
                </c:pt>
                <c:pt idx="19">
                  <c:v>195.1040889895892</c:v>
                </c:pt>
                <c:pt idx="20">
                  <c:v>201.81168685443717</c:v>
                </c:pt>
                <c:pt idx="21">
                  <c:v>207.37597780501054</c:v>
                </c:pt>
                <c:pt idx="22">
                  <c:v>213.10172349055912</c:v>
                </c:pt>
                <c:pt idx="23">
                  <c:v>207.63785715023752</c:v>
                </c:pt>
                <c:pt idx="24">
                  <c:v>210.47648660711812</c:v>
                </c:pt>
                <c:pt idx="25">
                  <c:v>218.11829457636355</c:v>
                </c:pt>
                <c:pt idx="26">
                  <c:v>224.19172008905491</c:v>
                </c:pt>
                <c:pt idx="27">
                  <c:v>221.04245897193246</c:v>
                </c:pt>
                <c:pt idx="28">
                  <c:v>217.85973005152667</c:v>
                </c:pt>
                <c:pt idx="29">
                  <c:v>210.37356341986799</c:v>
                </c:pt>
                <c:pt idx="30">
                  <c:v>211.32554170595122</c:v>
                </c:pt>
                <c:pt idx="31">
                  <c:v>216.57935421983339</c:v>
                </c:pt>
                <c:pt idx="32">
                  <c:v>214.43588350415814</c:v>
                </c:pt>
                <c:pt idx="33">
                  <c:v>216.12774769708511</c:v>
                </c:pt>
                <c:pt idx="34">
                  <c:v>211.56008120304688</c:v>
                </c:pt>
                <c:pt idx="35">
                  <c:v>206.5594868085912</c:v>
                </c:pt>
                <c:pt idx="36">
                  <c:v>198.22074338025124</c:v>
                </c:pt>
                <c:pt idx="37">
                  <c:v>194.75122492936347</c:v>
                </c:pt>
                <c:pt idx="38">
                  <c:v>187.78698593430869</c:v>
                </c:pt>
                <c:pt idx="39">
                  <c:v>191.72619147676588</c:v>
                </c:pt>
                <c:pt idx="40">
                  <c:v>196.87379405762735</c:v>
                </c:pt>
                <c:pt idx="41">
                  <c:v>190.7808092448046</c:v>
                </c:pt>
                <c:pt idx="42">
                  <c:v>184.36939603224101</c:v>
                </c:pt>
                <c:pt idx="43">
                  <c:v>181.26182843603817</c:v>
                </c:pt>
                <c:pt idx="44">
                  <c:v>180.24004358170947</c:v>
                </c:pt>
                <c:pt idx="45">
                  <c:v>180.62111006546073</c:v>
                </c:pt>
                <c:pt idx="46">
                  <c:v>174.93244853982389</c:v>
                </c:pt>
                <c:pt idx="47">
                  <c:v>174.20175292236465</c:v>
                </c:pt>
                <c:pt idx="48">
                  <c:v>179.06486995402352</c:v>
                </c:pt>
                <c:pt idx="49">
                  <c:v>176.25892014180388</c:v>
                </c:pt>
                <c:pt idx="50">
                  <c:v>175.18274851216452</c:v>
                </c:pt>
                <c:pt idx="51">
                  <c:v>178.19218349516066</c:v>
                </c:pt>
                <c:pt idx="52">
                  <c:v>178.71790429240028</c:v>
                </c:pt>
                <c:pt idx="53">
                  <c:v>178.13218962267894</c:v>
                </c:pt>
                <c:pt idx="54">
                  <c:v>171.79870023261384</c:v>
                </c:pt>
                <c:pt idx="55">
                  <c:v>171.50379654187611</c:v>
                </c:pt>
                <c:pt idx="56">
                  <c:v>170.81988214127179</c:v>
                </c:pt>
                <c:pt idx="57">
                  <c:v>171.06845846171379</c:v>
                </c:pt>
                <c:pt idx="58">
                  <c:v>176.71447165781905</c:v>
                </c:pt>
                <c:pt idx="59">
                  <c:v>170.6314077198443</c:v>
                </c:pt>
                <c:pt idx="60">
                  <c:v>174.15553196376027</c:v>
                </c:pt>
                <c:pt idx="61">
                  <c:v>175.05311449033974</c:v>
                </c:pt>
                <c:pt idx="62">
                  <c:v>174.62463513558328</c:v>
                </c:pt>
                <c:pt idx="63">
                  <c:v>178.62803598245102</c:v>
                </c:pt>
                <c:pt idx="64">
                  <c:v>176.93126894220859</c:v>
                </c:pt>
                <c:pt idx="65">
                  <c:v>181.65164050214227</c:v>
                </c:pt>
                <c:pt idx="66">
                  <c:v>181.47202435530096</c:v>
                </c:pt>
                <c:pt idx="67">
                  <c:v>181.56242724959264</c:v>
                </c:pt>
                <c:pt idx="68">
                  <c:v>181.2010858627126</c:v>
                </c:pt>
                <c:pt idx="69">
                  <c:v>183.35457568972922</c:v>
                </c:pt>
                <c:pt idx="70">
                  <c:v>177.41502776498069</c:v>
                </c:pt>
                <c:pt idx="71">
                  <c:v>175.89102855590164</c:v>
                </c:pt>
                <c:pt idx="72">
                  <c:v>176.134105348291</c:v>
                </c:pt>
                <c:pt idx="73">
                  <c:v>172.01785374544113</c:v>
                </c:pt>
                <c:pt idx="74">
                  <c:v>167.63794318352177</c:v>
                </c:pt>
                <c:pt idx="75">
                  <c:v>159.17361140110683</c:v>
                </c:pt>
                <c:pt idx="76">
                  <c:v>155.12307174737597</c:v>
                </c:pt>
                <c:pt idx="77">
                  <c:v>155.33403121924718</c:v>
                </c:pt>
                <c:pt idx="78">
                  <c:v>158.40078662390158</c:v>
                </c:pt>
                <c:pt idx="79">
                  <c:v>151.13738039021996</c:v>
                </c:pt>
                <c:pt idx="80">
                  <c:v>141.36735531662947</c:v>
                </c:pt>
                <c:pt idx="81">
                  <c:v>138.57406975772318</c:v>
                </c:pt>
                <c:pt idx="82">
                  <c:v>137.6524873139148</c:v>
                </c:pt>
                <c:pt idx="83">
                  <c:v>138.3730084463441</c:v>
                </c:pt>
                <c:pt idx="84">
                  <c:v>139.4956984065258</c:v>
                </c:pt>
                <c:pt idx="85">
                  <c:v>138.17521809940624</c:v>
                </c:pt>
                <c:pt idx="86">
                  <c:v>136.57366967627189</c:v>
                </c:pt>
                <c:pt idx="87">
                  <c:v>128.11796502513752</c:v>
                </c:pt>
                <c:pt idx="88">
                  <c:v>130.50515801772539</c:v>
                </c:pt>
                <c:pt idx="89">
                  <c:v>130.08558247168594</c:v>
                </c:pt>
                <c:pt idx="90">
                  <c:v>129.88564042865877</c:v>
                </c:pt>
                <c:pt idx="91">
                  <c:v>125.35596126612555</c:v>
                </c:pt>
                <c:pt idx="92">
                  <c:v>123.43504301084435</c:v>
                </c:pt>
                <c:pt idx="93">
                  <c:v>124.57173156768737</c:v>
                </c:pt>
                <c:pt idx="94">
                  <c:v>123.6149283355698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474-FA46-A0A9-E06E8EA2867F}"/>
            </c:ext>
          </c:extLst>
        </c:ser>
        <c:ser>
          <c:idx val="35"/>
          <c:order val="35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'Q6'!$E$37:$CU$37</c:f>
              <c:numCache>
                <c:formatCode>General</c:formatCode>
                <c:ptCount val="95"/>
                <c:pt idx="0">
                  <c:v>222.13</c:v>
                </c:pt>
                <c:pt idx="1">
                  <c:v>225.65984721625333</c:v>
                </c:pt>
                <c:pt idx="2">
                  <c:v>229.23111739844794</c:v>
                </c:pt>
                <c:pt idx="3">
                  <c:v>222.68466982871362</c:v>
                </c:pt>
                <c:pt idx="4">
                  <c:v>218.70704666298201</c:v>
                </c:pt>
                <c:pt idx="5">
                  <c:v>213.2531845541773</c:v>
                </c:pt>
                <c:pt idx="6">
                  <c:v>207.60218001205692</c:v>
                </c:pt>
                <c:pt idx="7">
                  <c:v>211.45211963948526</c:v>
                </c:pt>
                <c:pt idx="8">
                  <c:v>215.12153390439664</c:v>
                </c:pt>
                <c:pt idx="9">
                  <c:v>215.52461745929003</c:v>
                </c:pt>
                <c:pt idx="10">
                  <c:v>215.18985493090148</c:v>
                </c:pt>
                <c:pt idx="11">
                  <c:v>215.61667581702056</c:v>
                </c:pt>
                <c:pt idx="12">
                  <c:v>213.620654784984</c:v>
                </c:pt>
                <c:pt idx="13">
                  <c:v>213.73831714129926</c:v>
                </c:pt>
                <c:pt idx="14">
                  <c:v>214.08938222460162</c:v>
                </c:pt>
                <c:pt idx="15">
                  <c:v>207.63035570147781</c:v>
                </c:pt>
                <c:pt idx="16">
                  <c:v>217.89144436967882</c:v>
                </c:pt>
                <c:pt idx="17">
                  <c:v>222.81502441967908</c:v>
                </c:pt>
                <c:pt idx="18">
                  <c:v>223.36300560706536</c:v>
                </c:pt>
                <c:pt idx="19">
                  <c:v>227.85924120348389</c:v>
                </c:pt>
                <c:pt idx="20">
                  <c:v>228.47251886830122</c:v>
                </c:pt>
                <c:pt idx="21">
                  <c:v>226.1932026064944</c:v>
                </c:pt>
                <c:pt idx="22">
                  <c:v>219.32770457948467</c:v>
                </c:pt>
                <c:pt idx="23">
                  <c:v>215.81045778386587</c:v>
                </c:pt>
                <c:pt idx="24">
                  <c:v>216.95984065489381</c:v>
                </c:pt>
                <c:pt idx="25">
                  <c:v>217.58087950867505</c:v>
                </c:pt>
                <c:pt idx="26">
                  <c:v>213.53850907647768</c:v>
                </c:pt>
                <c:pt idx="27">
                  <c:v>209.66902222188182</c:v>
                </c:pt>
                <c:pt idx="28">
                  <c:v>212.64154011541726</c:v>
                </c:pt>
                <c:pt idx="29">
                  <c:v>212.65393764217299</c:v>
                </c:pt>
                <c:pt idx="30">
                  <c:v>211.32313713688541</c:v>
                </c:pt>
                <c:pt idx="31">
                  <c:v>211.797686409367</c:v>
                </c:pt>
                <c:pt idx="32">
                  <c:v>215.25976691710957</c:v>
                </c:pt>
                <c:pt idx="33">
                  <c:v>209.15913348223964</c:v>
                </c:pt>
                <c:pt idx="34">
                  <c:v>200.35982584471782</c:v>
                </c:pt>
                <c:pt idx="35">
                  <c:v>203.16697207121976</c:v>
                </c:pt>
                <c:pt idx="36">
                  <c:v>203.52975291322451</c:v>
                </c:pt>
                <c:pt idx="37">
                  <c:v>208.51521507135175</c:v>
                </c:pt>
                <c:pt idx="38">
                  <c:v>203.27678028207291</c:v>
                </c:pt>
                <c:pt idx="39">
                  <c:v>206.00396469653751</c:v>
                </c:pt>
                <c:pt idx="40">
                  <c:v>208.04261891877306</c:v>
                </c:pt>
                <c:pt idx="41">
                  <c:v>205.07642151078167</c:v>
                </c:pt>
                <c:pt idx="42">
                  <c:v>205.53777558988602</c:v>
                </c:pt>
                <c:pt idx="43">
                  <c:v>198.9821035637417</c:v>
                </c:pt>
                <c:pt idx="44">
                  <c:v>208.79048131490049</c:v>
                </c:pt>
                <c:pt idx="45">
                  <c:v>219.15211244468514</c:v>
                </c:pt>
                <c:pt idx="46">
                  <c:v>220.39147564046476</c:v>
                </c:pt>
                <c:pt idx="47">
                  <c:v>223.09049314359902</c:v>
                </c:pt>
                <c:pt idx="48">
                  <c:v>224.61078550733887</c:v>
                </c:pt>
                <c:pt idx="49">
                  <c:v>225.62008751104611</c:v>
                </c:pt>
                <c:pt idx="50">
                  <c:v>223.33059270806856</c:v>
                </c:pt>
                <c:pt idx="51">
                  <c:v>232.69431719411051</c:v>
                </c:pt>
                <c:pt idx="52">
                  <c:v>230.68454999554501</c:v>
                </c:pt>
                <c:pt idx="53">
                  <c:v>229.28915858740049</c:v>
                </c:pt>
                <c:pt idx="54">
                  <c:v>227.52381298129723</c:v>
                </c:pt>
                <c:pt idx="55">
                  <c:v>231.85489800945905</c:v>
                </c:pt>
                <c:pt idx="56">
                  <c:v>233.85806397820397</c:v>
                </c:pt>
                <c:pt idx="57">
                  <c:v>236.22856909106457</c:v>
                </c:pt>
                <c:pt idx="58">
                  <c:v>236.86315975483905</c:v>
                </c:pt>
                <c:pt idx="59">
                  <c:v>224.68180930488199</c:v>
                </c:pt>
                <c:pt idx="60">
                  <c:v>223.43788088551358</c:v>
                </c:pt>
                <c:pt idx="61">
                  <c:v>220.28972111574276</c:v>
                </c:pt>
                <c:pt idx="62">
                  <c:v>223.62369526764749</c:v>
                </c:pt>
                <c:pt idx="63">
                  <c:v>226.0044789484221</c:v>
                </c:pt>
                <c:pt idx="64">
                  <c:v>223.26755615935991</c:v>
                </c:pt>
                <c:pt idx="65">
                  <c:v>224.6811157816617</c:v>
                </c:pt>
                <c:pt idx="66">
                  <c:v>231.17319591533308</c:v>
                </c:pt>
                <c:pt idx="67">
                  <c:v>223.33416637134488</c:v>
                </c:pt>
                <c:pt idx="68">
                  <c:v>228.92746573533205</c:v>
                </c:pt>
                <c:pt idx="69">
                  <c:v>232.22284599788767</c:v>
                </c:pt>
                <c:pt idx="70">
                  <c:v>233.81283903061669</c:v>
                </c:pt>
                <c:pt idx="71">
                  <c:v>236.03954616750246</c:v>
                </c:pt>
                <c:pt idx="72">
                  <c:v>226.14433950988013</c:v>
                </c:pt>
                <c:pt idx="73">
                  <c:v>226.25247430265128</c:v>
                </c:pt>
                <c:pt idx="74">
                  <c:v>216.08458881138506</c:v>
                </c:pt>
                <c:pt idx="75">
                  <c:v>208.6710222973314</c:v>
                </c:pt>
                <c:pt idx="76">
                  <c:v>199.13093605462518</c:v>
                </c:pt>
                <c:pt idx="77">
                  <c:v>196.06227770235932</c:v>
                </c:pt>
                <c:pt idx="78">
                  <c:v>200.02139045919589</c:v>
                </c:pt>
                <c:pt idx="79">
                  <c:v>201.75262046683494</c:v>
                </c:pt>
                <c:pt idx="80">
                  <c:v>208.43522685964857</c:v>
                </c:pt>
                <c:pt idx="81">
                  <c:v>209.0927452799659</c:v>
                </c:pt>
                <c:pt idx="82">
                  <c:v>214.82224734152831</c:v>
                </c:pt>
                <c:pt idx="83">
                  <c:v>209.21246806762707</c:v>
                </c:pt>
                <c:pt idx="84">
                  <c:v>210.39869591961332</c:v>
                </c:pt>
                <c:pt idx="85">
                  <c:v>204.22555598862596</c:v>
                </c:pt>
                <c:pt idx="86">
                  <c:v>206.87341279460239</c:v>
                </c:pt>
                <c:pt idx="87">
                  <c:v>210.50862727082551</c:v>
                </c:pt>
                <c:pt idx="88">
                  <c:v>211.0584518657561</c:v>
                </c:pt>
                <c:pt idx="89">
                  <c:v>216.0068112322144</c:v>
                </c:pt>
                <c:pt idx="90">
                  <c:v>213.50835480035062</c:v>
                </c:pt>
                <c:pt idx="91">
                  <c:v>220.91568901283298</c:v>
                </c:pt>
                <c:pt idx="92">
                  <c:v>215.15020390081568</c:v>
                </c:pt>
                <c:pt idx="93">
                  <c:v>217.92912799872499</c:v>
                </c:pt>
                <c:pt idx="94">
                  <c:v>226.41013612372305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8474-FA46-A0A9-E06E8EA2867F}"/>
            </c:ext>
          </c:extLst>
        </c:ser>
        <c:ser>
          <c:idx val="36"/>
          <c:order val="36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'Q6'!$E$38:$CU$38</c:f>
              <c:numCache>
                <c:formatCode>General</c:formatCode>
                <c:ptCount val="95"/>
                <c:pt idx="0">
                  <c:v>222.13</c:v>
                </c:pt>
                <c:pt idx="1">
                  <c:v>220.03236311057481</c:v>
                </c:pt>
                <c:pt idx="2">
                  <c:v>226.21588527965008</c:v>
                </c:pt>
                <c:pt idx="3">
                  <c:v>222.41635206867099</c:v>
                </c:pt>
                <c:pt idx="4">
                  <c:v>220.91700363489022</c:v>
                </c:pt>
                <c:pt idx="5">
                  <c:v>222.78791330234833</c:v>
                </c:pt>
                <c:pt idx="6">
                  <c:v>220.50703810432088</c:v>
                </c:pt>
                <c:pt idx="7">
                  <c:v>218.41864942663221</c:v>
                </c:pt>
                <c:pt idx="8">
                  <c:v>222.2981216112546</c:v>
                </c:pt>
                <c:pt idx="9">
                  <c:v>217.13719251217145</c:v>
                </c:pt>
                <c:pt idx="10">
                  <c:v>219.21257661768269</c:v>
                </c:pt>
                <c:pt idx="11">
                  <c:v>222.41866840385765</c:v>
                </c:pt>
                <c:pt idx="12">
                  <c:v>228.56037661901766</c:v>
                </c:pt>
                <c:pt idx="13">
                  <c:v>225.24992545237123</c:v>
                </c:pt>
                <c:pt idx="14">
                  <c:v>220.65347568744463</c:v>
                </c:pt>
                <c:pt idx="15">
                  <c:v>226.78017445394519</c:v>
                </c:pt>
                <c:pt idx="16">
                  <c:v>229.91351160122773</c:v>
                </c:pt>
                <c:pt idx="17">
                  <c:v>233.08026151989932</c:v>
                </c:pt>
                <c:pt idx="18">
                  <c:v>247.90310726493431</c:v>
                </c:pt>
                <c:pt idx="19">
                  <c:v>254.48414835134867</c:v>
                </c:pt>
                <c:pt idx="20">
                  <c:v>254.36219927335847</c:v>
                </c:pt>
                <c:pt idx="21">
                  <c:v>258.72669255565989</c:v>
                </c:pt>
                <c:pt idx="22">
                  <c:v>255.61869803783526</c:v>
                </c:pt>
                <c:pt idx="23">
                  <c:v>266.34985939618593</c:v>
                </c:pt>
                <c:pt idx="24">
                  <c:v>262.47139990643541</c:v>
                </c:pt>
                <c:pt idx="25">
                  <c:v>256.19895169699305</c:v>
                </c:pt>
                <c:pt idx="26">
                  <c:v>255.51727760157232</c:v>
                </c:pt>
                <c:pt idx="27">
                  <c:v>246.22406262686562</c:v>
                </c:pt>
                <c:pt idx="28">
                  <c:v>244.2116945907008</c:v>
                </c:pt>
                <c:pt idx="29">
                  <c:v>246.69188894120407</c:v>
                </c:pt>
                <c:pt idx="30">
                  <c:v>242.25007031120907</c:v>
                </c:pt>
                <c:pt idx="31">
                  <c:v>236.98544473777403</c:v>
                </c:pt>
                <c:pt idx="32">
                  <c:v>234.0649745818784</c:v>
                </c:pt>
                <c:pt idx="33">
                  <c:v>239.14189720317077</c:v>
                </c:pt>
                <c:pt idx="34">
                  <c:v>250.04587886646246</c:v>
                </c:pt>
                <c:pt idx="35">
                  <c:v>243.42229656945253</c:v>
                </c:pt>
                <c:pt idx="36">
                  <c:v>245.83294807734836</c:v>
                </c:pt>
                <c:pt idx="37">
                  <c:v>245.84669579435652</c:v>
                </c:pt>
                <c:pt idx="38">
                  <c:v>247.52424005560141</c:v>
                </c:pt>
                <c:pt idx="39">
                  <c:v>253.26124225148178</c:v>
                </c:pt>
                <c:pt idx="40">
                  <c:v>252.42758213019914</c:v>
                </c:pt>
                <c:pt idx="41">
                  <c:v>256.13430452493355</c:v>
                </c:pt>
                <c:pt idx="42">
                  <c:v>254.13535325391683</c:v>
                </c:pt>
                <c:pt idx="43">
                  <c:v>270.32077750021347</c:v>
                </c:pt>
                <c:pt idx="44">
                  <c:v>272.03137614891125</c:v>
                </c:pt>
                <c:pt idx="45">
                  <c:v>270.46216031658543</c:v>
                </c:pt>
                <c:pt idx="46">
                  <c:v>266.62373200345405</c:v>
                </c:pt>
                <c:pt idx="47">
                  <c:v>275.48225758151375</c:v>
                </c:pt>
                <c:pt idx="48">
                  <c:v>277.19589030961816</c:v>
                </c:pt>
                <c:pt idx="49">
                  <c:v>271.64293353034537</c:v>
                </c:pt>
                <c:pt idx="50">
                  <c:v>268.88722934540726</c:v>
                </c:pt>
                <c:pt idx="51">
                  <c:v>273.27158646944105</c:v>
                </c:pt>
                <c:pt idx="52">
                  <c:v>268.09135051590619</c:v>
                </c:pt>
                <c:pt idx="53">
                  <c:v>270.47783271288938</c:v>
                </c:pt>
                <c:pt idx="54">
                  <c:v>270.6625916824899</c:v>
                </c:pt>
                <c:pt idx="55">
                  <c:v>260.61247994202409</c:v>
                </c:pt>
                <c:pt idx="56">
                  <c:v>251.15749718458281</c:v>
                </c:pt>
                <c:pt idx="57">
                  <c:v>238.22346066519904</c:v>
                </c:pt>
                <c:pt idx="58">
                  <c:v>244.39143952253249</c:v>
                </c:pt>
                <c:pt idx="59">
                  <c:v>247.82693779092574</c:v>
                </c:pt>
                <c:pt idx="60">
                  <c:v>246.54782633803939</c:v>
                </c:pt>
                <c:pt idx="61">
                  <c:v>249.75212352041322</c:v>
                </c:pt>
                <c:pt idx="62">
                  <c:v>248.87428229076144</c:v>
                </c:pt>
                <c:pt idx="63">
                  <c:v>252.06629601326452</c:v>
                </c:pt>
                <c:pt idx="64">
                  <c:v>262.2647844051877</c:v>
                </c:pt>
                <c:pt idx="65">
                  <c:v>265.92008862866294</c:v>
                </c:pt>
                <c:pt idx="66">
                  <c:v>265.57326331714449</c:v>
                </c:pt>
                <c:pt idx="67">
                  <c:v>269.22451067497292</c:v>
                </c:pt>
                <c:pt idx="68">
                  <c:v>275.9172658577229</c:v>
                </c:pt>
                <c:pt idx="69">
                  <c:v>286.97602230783252</c:v>
                </c:pt>
                <c:pt idx="70">
                  <c:v>283.10092364325914</c:v>
                </c:pt>
                <c:pt idx="71">
                  <c:v>284.45730846748972</c:v>
                </c:pt>
                <c:pt idx="72">
                  <c:v>289.6354544545112</c:v>
                </c:pt>
                <c:pt idx="73">
                  <c:v>303.2322140081659</c:v>
                </c:pt>
                <c:pt idx="74">
                  <c:v>302.12385687932971</c:v>
                </c:pt>
                <c:pt idx="75">
                  <c:v>302.29715709324068</c:v>
                </c:pt>
                <c:pt idx="76">
                  <c:v>308.05483267393441</c:v>
                </c:pt>
                <c:pt idx="77">
                  <c:v>312.70729345811714</c:v>
                </c:pt>
                <c:pt idx="78">
                  <c:v>320.72037094411797</c:v>
                </c:pt>
                <c:pt idx="79">
                  <c:v>313.51065713264188</c:v>
                </c:pt>
                <c:pt idx="80">
                  <c:v>314.93552968283109</c:v>
                </c:pt>
                <c:pt idx="81">
                  <c:v>317.3089836060978</c:v>
                </c:pt>
                <c:pt idx="82">
                  <c:v>340.25322839594901</c:v>
                </c:pt>
                <c:pt idx="83">
                  <c:v>336.10471035310604</c:v>
                </c:pt>
                <c:pt idx="84">
                  <c:v>337.80911254559385</c:v>
                </c:pt>
                <c:pt idx="85">
                  <c:v>324.51510241711054</c:v>
                </c:pt>
                <c:pt idx="86">
                  <c:v>333.83397923503202</c:v>
                </c:pt>
                <c:pt idx="87">
                  <c:v>328.12372945844521</c:v>
                </c:pt>
                <c:pt idx="88">
                  <c:v>321.76287086794014</c:v>
                </c:pt>
                <c:pt idx="89">
                  <c:v>327.3834662561149</c:v>
                </c:pt>
                <c:pt idx="90">
                  <c:v>319.42300727149672</c:v>
                </c:pt>
                <c:pt idx="91">
                  <c:v>330.52284108059297</c:v>
                </c:pt>
                <c:pt idx="92">
                  <c:v>328.69712490399985</c:v>
                </c:pt>
                <c:pt idx="93">
                  <c:v>331.74836120016113</c:v>
                </c:pt>
                <c:pt idx="94">
                  <c:v>336.76596774243887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8474-FA46-A0A9-E06E8EA2867F}"/>
            </c:ext>
          </c:extLst>
        </c:ser>
        <c:ser>
          <c:idx val="37"/>
          <c:order val="37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'Q6'!$E$39:$CU$39</c:f>
              <c:numCache>
                <c:formatCode>General</c:formatCode>
                <c:ptCount val="95"/>
                <c:pt idx="0">
                  <c:v>222.13</c:v>
                </c:pt>
                <c:pt idx="1">
                  <c:v>219.85247811743452</c:v>
                </c:pt>
                <c:pt idx="2">
                  <c:v>217.57692614222714</c:v>
                </c:pt>
                <c:pt idx="3">
                  <c:v>215.77055789159641</c:v>
                </c:pt>
                <c:pt idx="4">
                  <c:v>210.12286132002052</c:v>
                </c:pt>
                <c:pt idx="5">
                  <c:v>212.78460543804155</c:v>
                </c:pt>
                <c:pt idx="6">
                  <c:v>207.50543035528523</c:v>
                </c:pt>
                <c:pt idx="7">
                  <c:v>212.99394121589276</c:v>
                </c:pt>
                <c:pt idx="8">
                  <c:v>212.04225275440888</c:v>
                </c:pt>
                <c:pt idx="9">
                  <c:v>213.78602399138219</c:v>
                </c:pt>
                <c:pt idx="10">
                  <c:v>214.09333442298009</c:v>
                </c:pt>
                <c:pt idx="11">
                  <c:v>223.91661783373331</c:v>
                </c:pt>
                <c:pt idx="12">
                  <c:v>217.35885227737219</c:v>
                </c:pt>
                <c:pt idx="13">
                  <c:v>217.57789839177497</c:v>
                </c:pt>
                <c:pt idx="14">
                  <c:v>222.38002410745412</c:v>
                </c:pt>
                <c:pt idx="15">
                  <c:v>224.62178318062789</c:v>
                </c:pt>
                <c:pt idx="16">
                  <c:v>231.29450922581077</c:v>
                </c:pt>
                <c:pt idx="17">
                  <c:v>231.15203401752089</c:v>
                </c:pt>
                <c:pt idx="18">
                  <c:v>224.09240398491892</c:v>
                </c:pt>
                <c:pt idx="19">
                  <c:v>224.20534653819703</c:v>
                </c:pt>
                <c:pt idx="20">
                  <c:v>222.05855951138631</c:v>
                </c:pt>
                <c:pt idx="21">
                  <c:v>231.20923986767576</c:v>
                </c:pt>
                <c:pt idx="22">
                  <c:v>233.41675338910576</c:v>
                </c:pt>
                <c:pt idx="23">
                  <c:v>233.11395505428564</c:v>
                </c:pt>
                <c:pt idx="24">
                  <c:v>231.97571207420049</c:v>
                </c:pt>
                <c:pt idx="25">
                  <c:v>221.52181478904976</c:v>
                </c:pt>
                <c:pt idx="26">
                  <c:v>219.97147010634998</c:v>
                </c:pt>
                <c:pt idx="27">
                  <c:v>215.89135694582453</c:v>
                </c:pt>
                <c:pt idx="28">
                  <c:v>217.86408726976424</c:v>
                </c:pt>
                <c:pt idx="29">
                  <c:v>221.63106771937927</c:v>
                </c:pt>
                <c:pt idx="30">
                  <c:v>227.45462423380874</c:v>
                </c:pt>
                <c:pt idx="31">
                  <c:v>232.22909528512182</c:v>
                </c:pt>
                <c:pt idx="32">
                  <c:v>234.692467376005</c:v>
                </c:pt>
                <c:pt idx="33">
                  <c:v>242.83792016931687</c:v>
                </c:pt>
                <c:pt idx="34">
                  <c:v>242.15477472581577</c:v>
                </c:pt>
                <c:pt idx="35">
                  <c:v>239.96854936955398</c:v>
                </c:pt>
                <c:pt idx="36">
                  <c:v>241.3279702696118</c:v>
                </c:pt>
                <c:pt idx="37">
                  <c:v>237.86397370460318</c:v>
                </c:pt>
                <c:pt idx="38">
                  <c:v>244.83328265943126</c:v>
                </c:pt>
                <c:pt idx="39">
                  <c:v>241.94965160971884</c:v>
                </c:pt>
                <c:pt idx="40">
                  <c:v>238.93281754454213</c:v>
                </c:pt>
                <c:pt idx="41">
                  <c:v>240.0605463501372</c:v>
                </c:pt>
                <c:pt idx="42">
                  <c:v>247.45594689300933</c:v>
                </c:pt>
                <c:pt idx="43">
                  <c:v>248.21230157953914</c:v>
                </c:pt>
                <c:pt idx="44">
                  <c:v>250.07504605041629</c:v>
                </c:pt>
                <c:pt idx="45">
                  <c:v>258.05109351041659</c:v>
                </c:pt>
                <c:pt idx="46">
                  <c:v>257.678524283108</c:v>
                </c:pt>
                <c:pt idx="47">
                  <c:v>250.74471486881797</c:v>
                </c:pt>
                <c:pt idx="48">
                  <c:v>249.8174920671502</c:v>
                </c:pt>
                <c:pt idx="49">
                  <c:v>251.65281865981439</c:v>
                </c:pt>
                <c:pt idx="50">
                  <c:v>255.06245781018924</c:v>
                </c:pt>
                <c:pt idx="51">
                  <c:v>256.44693542600265</c:v>
                </c:pt>
                <c:pt idx="52">
                  <c:v>258.89569816289537</c:v>
                </c:pt>
                <c:pt idx="53">
                  <c:v>258.4190553663899</c:v>
                </c:pt>
                <c:pt idx="54">
                  <c:v>253.19668603278984</c:v>
                </c:pt>
                <c:pt idx="55">
                  <c:v>256.75135611154172</c:v>
                </c:pt>
                <c:pt idx="56">
                  <c:v>255.41525211649653</c:v>
                </c:pt>
                <c:pt idx="57">
                  <c:v>253.75207677650144</c:v>
                </c:pt>
                <c:pt idx="58">
                  <c:v>261.6146491696158</c:v>
                </c:pt>
                <c:pt idx="59">
                  <c:v>260.14758723673179</c:v>
                </c:pt>
                <c:pt idx="60">
                  <c:v>252.60859171766364</c:v>
                </c:pt>
                <c:pt idx="61">
                  <c:v>262.35975330698426</c:v>
                </c:pt>
                <c:pt idx="62">
                  <c:v>262.2447508662529</c:v>
                </c:pt>
                <c:pt idx="63">
                  <c:v>254.92723207340973</c:v>
                </c:pt>
                <c:pt idx="64">
                  <c:v>236.43171452747376</c:v>
                </c:pt>
                <c:pt idx="65">
                  <c:v>244.13543555651472</c:v>
                </c:pt>
                <c:pt idx="66">
                  <c:v>240.72059134324851</c:v>
                </c:pt>
                <c:pt idx="67">
                  <c:v>244.07193889307271</c:v>
                </c:pt>
                <c:pt idx="68">
                  <c:v>247.86705380198836</c:v>
                </c:pt>
                <c:pt idx="69">
                  <c:v>253.18435233869712</c:v>
                </c:pt>
                <c:pt idx="70">
                  <c:v>263.99733974131243</c:v>
                </c:pt>
                <c:pt idx="71">
                  <c:v>271.01184831535801</c:v>
                </c:pt>
                <c:pt idx="72">
                  <c:v>267.35285047523763</c:v>
                </c:pt>
                <c:pt idx="73">
                  <c:v>267.83616475879791</c:v>
                </c:pt>
                <c:pt idx="74">
                  <c:v>268.03774943674563</c:v>
                </c:pt>
                <c:pt idx="75">
                  <c:v>266.44995183343991</c:v>
                </c:pt>
                <c:pt idx="76">
                  <c:v>264.75205870434587</c:v>
                </c:pt>
                <c:pt idx="77">
                  <c:v>265.84481338747224</c:v>
                </c:pt>
                <c:pt idx="78">
                  <c:v>273.75655726967074</c:v>
                </c:pt>
                <c:pt idx="79">
                  <c:v>273.4963475460674</c:v>
                </c:pt>
                <c:pt idx="80">
                  <c:v>275.52689564614343</c:v>
                </c:pt>
                <c:pt idx="81">
                  <c:v>274.89137363107534</c:v>
                </c:pt>
                <c:pt idx="82">
                  <c:v>280.83693169159693</c:v>
                </c:pt>
                <c:pt idx="83">
                  <c:v>271.37530131591404</c:v>
                </c:pt>
                <c:pt idx="84">
                  <c:v>270.304733814195</c:v>
                </c:pt>
                <c:pt idx="85">
                  <c:v>266.73079908493639</c:v>
                </c:pt>
                <c:pt idx="86">
                  <c:v>255.7046371384757</c:v>
                </c:pt>
                <c:pt idx="87">
                  <c:v>260.75543585376613</c:v>
                </c:pt>
                <c:pt idx="88">
                  <c:v>259.45967757456759</c:v>
                </c:pt>
                <c:pt idx="89">
                  <c:v>253.22912166020217</c:v>
                </c:pt>
                <c:pt idx="90">
                  <c:v>260.28000047636596</c:v>
                </c:pt>
                <c:pt idx="91">
                  <c:v>266.45724926229389</c:v>
                </c:pt>
                <c:pt idx="92">
                  <c:v>264.83658161370545</c:v>
                </c:pt>
                <c:pt idx="93">
                  <c:v>265.90037364944101</c:v>
                </c:pt>
                <c:pt idx="94">
                  <c:v>271.68275709287639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8474-FA46-A0A9-E06E8EA2867F}"/>
            </c:ext>
          </c:extLst>
        </c:ser>
        <c:ser>
          <c:idx val="38"/>
          <c:order val="38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'Q6'!$E$40:$CU$40</c:f>
              <c:numCache>
                <c:formatCode>General</c:formatCode>
                <c:ptCount val="95"/>
                <c:pt idx="0">
                  <c:v>222.13</c:v>
                </c:pt>
                <c:pt idx="1">
                  <c:v>217.70612865945895</c:v>
                </c:pt>
                <c:pt idx="2">
                  <c:v>221.73132274362598</c:v>
                </c:pt>
                <c:pt idx="3">
                  <c:v>216.13100290011727</c:v>
                </c:pt>
                <c:pt idx="4">
                  <c:v>220.91301146256475</c:v>
                </c:pt>
                <c:pt idx="5">
                  <c:v>220.39376380853776</c:v>
                </c:pt>
                <c:pt idx="6">
                  <c:v>211.15655648044779</c:v>
                </c:pt>
                <c:pt idx="7">
                  <c:v>205.32029107290663</c:v>
                </c:pt>
                <c:pt idx="8">
                  <c:v>193.87634044512208</c:v>
                </c:pt>
                <c:pt idx="9">
                  <c:v>195.97454672052481</c:v>
                </c:pt>
                <c:pt idx="10">
                  <c:v>203.80213829972394</c:v>
                </c:pt>
                <c:pt idx="11">
                  <c:v>201.37610195207512</c:v>
                </c:pt>
                <c:pt idx="12">
                  <c:v>202.82823377247854</c:v>
                </c:pt>
                <c:pt idx="13">
                  <c:v>204.86834314901043</c:v>
                </c:pt>
                <c:pt idx="14">
                  <c:v>203.35380880733186</c:v>
                </c:pt>
                <c:pt idx="15">
                  <c:v>204.51317701967361</c:v>
                </c:pt>
                <c:pt idx="16">
                  <c:v>210.76870535091382</c:v>
                </c:pt>
                <c:pt idx="17">
                  <c:v>219.088396310467</c:v>
                </c:pt>
                <c:pt idx="18">
                  <c:v>222.77770125711174</c:v>
                </c:pt>
                <c:pt idx="19">
                  <c:v>225.38760539782436</c:v>
                </c:pt>
                <c:pt idx="20">
                  <c:v>226.87767715723123</c:v>
                </c:pt>
                <c:pt idx="21">
                  <c:v>220.87272429074469</c:v>
                </c:pt>
                <c:pt idx="22">
                  <c:v>226.78647843457244</c:v>
                </c:pt>
                <c:pt idx="23">
                  <c:v>221.68769108086525</c:v>
                </c:pt>
                <c:pt idx="24">
                  <c:v>217.64251420714442</c:v>
                </c:pt>
                <c:pt idx="25">
                  <c:v>209.89213437615766</c:v>
                </c:pt>
                <c:pt idx="26">
                  <c:v>210.84525269072691</c:v>
                </c:pt>
                <c:pt idx="27">
                  <c:v>202.84195314330393</c:v>
                </c:pt>
                <c:pt idx="28">
                  <c:v>200.2142214746217</c:v>
                </c:pt>
                <c:pt idx="29">
                  <c:v>210.78515970578974</c:v>
                </c:pt>
                <c:pt idx="30">
                  <c:v>211.48199496022534</c:v>
                </c:pt>
                <c:pt idx="31">
                  <c:v>208.40674683452957</c:v>
                </c:pt>
                <c:pt idx="32">
                  <c:v>200.66607332107768</c:v>
                </c:pt>
                <c:pt idx="33">
                  <c:v>204.70058402418545</c:v>
                </c:pt>
                <c:pt idx="34">
                  <c:v>205.15747153082913</c:v>
                </c:pt>
                <c:pt idx="35">
                  <c:v>209.37203161861379</c:v>
                </c:pt>
                <c:pt idx="36">
                  <c:v>205.22290735873</c:v>
                </c:pt>
                <c:pt idx="37">
                  <c:v>208.87900584785245</c:v>
                </c:pt>
                <c:pt idx="38">
                  <c:v>206.51875422612278</c:v>
                </c:pt>
                <c:pt idx="39">
                  <c:v>210.97883001694953</c:v>
                </c:pt>
                <c:pt idx="40">
                  <c:v>218.19969121044775</c:v>
                </c:pt>
                <c:pt idx="41">
                  <c:v>214.80619879585876</c:v>
                </c:pt>
                <c:pt idx="42">
                  <c:v>218.28443195103213</c:v>
                </c:pt>
                <c:pt idx="43">
                  <c:v>230.15096659015595</c:v>
                </c:pt>
                <c:pt idx="44">
                  <c:v>222.14326035018047</c:v>
                </c:pt>
                <c:pt idx="45">
                  <c:v>224.66043180457021</c:v>
                </c:pt>
                <c:pt idx="46">
                  <c:v>220.70559895463887</c:v>
                </c:pt>
                <c:pt idx="47">
                  <c:v>220.78685095821206</c:v>
                </c:pt>
                <c:pt idx="48">
                  <c:v>223.29952818438136</c:v>
                </c:pt>
                <c:pt idx="49">
                  <c:v>226.63015041826026</c:v>
                </c:pt>
                <c:pt idx="50">
                  <c:v>232.18081547420192</c:v>
                </c:pt>
                <c:pt idx="51">
                  <c:v>230.43530244944654</c:v>
                </c:pt>
                <c:pt idx="52">
                  <c:v>235.31053708643822</c:v>
                </c:pt>
                <c:pt idx="53">
                  <c:v>237.89240028514894</c:v>
                </c:pt>
                <c:pt idx="54">
                  <c:v>244.80469020508659</c:v>
                </c:pt>
                <c:pt idx="55">
                  <c:v>245.498690468051</c:v>
                </c:pt>
                <c:pt idx="56">
                  <c:v>239.48402193026138</c:v>
                </c:pt>
                <c:pt idx="57">
                  <c:v>239.03737731619717</c:v>
                </c:pt>
                <c:pt idx="58">
                  <c:v>236.49699280220858</c:v>
                </c:pt>
                <c:pt idx="59">
                  <c:v>230.99230392685411</c:v>
                </c:pt>
                <c:pt idx="60">
                  <c:v>235.08996361555455</c:v>
                </c:pt>
                <c:pt idx="61">
                  <c:v>229.06462907258171</c:v>
                </c:pt>
                <c:pt idx="62">
                  <c:v>230.46774100434055</c:v>
                </c:pt>
                <c:pt idx="63">
                  <c:v>219.64099598004884</c:v>
                </c:pt>
                <c:pt idx="64">
                  <c:v>225.9171407682685</c:v>
                </c:pt>
                <c:pt idx="65">
                  <c:v>221.2610096968632</c:v>
                </c:pt>
                <c:pt idx="66">
                  <c:v>214.06658515369688</c:v>
                </c:pt>
                <c:pt idx="67">
                  <c:v>209.31510989188047</c:v>
                </c:pt>
                <c:pt idx="68">
                  <c:v>212.23677111894091</c:v>
                </c:pt>
                <c:pt idx="69">
                  <c:v>205.9158852372112</c:v>
                </c:pt>
                <c:pt idx="70">
                  <c:v>213.22848897592027</c:v>
                </c:pt>
                <c:pt idx="71">
                  <c:v>213.77191347709913</c:v>
                </c:pt>
                <c:pt idx="72">
                  <c:v>212.0172642814733</c:v>
                </c:pt>
                <c:pt idx="73">
                  <c:v>214.64645174052643</c:v>
                </c:pt>
                <c:pt idx="74">
                  <c:v>214.95523622192985</c:v>
                </c:pt>
                <c:pt idx="75">
                  <c:v>210.45561524858792</c:v>
                </c:pt>
                <c:pt idx="76">
                  <c:v>219.14708350809408</c:v>
                </c:pt>
                <c:pt idx="77">
                  <c:v>220.68904687522658</c:v>
                </c:pt>
                <c:pt idx="78">
                  <c:v>214.86758263403701</c:v>
                </c:pt>
                <c:pt idx="79">
                  <c:v>218.88979708963535</c:v>
                </c:pt>
                <c:pt idx="80">
                  <c:v>219.33843052546661</c:v>
                </c:pt>
                <c:pt idx="81">
                  <c:v>215.78868992900635</c:v>
                </c:pt>
                <c:pt idx="82">
                  <c:v>215.11313308026229</c:v>
                </c:pt>
                <c:pt idx="83">
                  <c:v>223.74690494642448</c:v>
                </c:pt>
                <c:pt idx="84">
                  <c:v>220.54626251180849</c:v>
                </c:pt>
                <c:pt idx="85">
                  <c:v>223.0361452074512</c:v>
                </c:pt>
                <c:pt idx="86">
                  <c:v>213.8584801923063</c:v>
                </c:pt>
                <c:pt idx="87">
                  <c:v>214.23265090224061</c:v>
                </c:pt>
                <c:pt idx="88">
                  <c:v>212.71345234733968</c:v>
                </c:pt>
                <c:pt idx="89">
                  <c:v>208.81552856663063</c:v>
                </c:pt>
                <c:pt idx="90">
                  <c:v>209.81144130708776</c:v>
                </c:pt>
                <c:pt idx="91">
                  <c:v>210.46530371376826</c:v>
                </c:pt>
                <c:pt idx="92">
                  <c:v>215.50804210073079</c:v>
                </c:pt>
                <c:pt idx="93">
                  <c:v>217.87550480258056</c:v>
                </c:pt>
                <c:pt idx="94">
                  <c:v>216.00917750189325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8474-FA46-A0A9-E06E8EA2867F}"/>
            </c:ext>
          </c:extLst>
        </c:ser>
        <c:ser>
          <c:idx val="39"/>
          <c:order val="39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'Q6'!$E$41:$CU$41</c:f>
              <c:numCache>
                <c:formatCode>General</c:formatCode>
                <c:ptCount val="95"/>
                <c:pt idx="0">
                  <c:v>222.13</c:v>
                </c:pt>
                <c:pt idx="1">
                  <c:v>222.15780549241552</c:v>
                </c:pt>
                <c:pt idx="2">
                  <c:v>228.29086874264883</c:v>
                </c:pt>
                <c:pt idx="3">
                  <c:v>230.76430098095719</c:v>
                </c:pt>
                <c:pt idx="4">
                  <c:v>215.74164445928915</c:v>
                </c:pt>
                <c:pt idx="5">
                  <c:v>214.44955517149026</c:v>
                </c:pt>
                <c:pt idx="6">
                  <c:v>218.58872695271972</c:v>
                </c:pt>
                <c:pt idx="7">
                  <c:v>212.35609198589373</c:v>
                </c:pt>
                <c:pt idx="8">
                  <c:v>210.48315717747332</c:v>
                </c:pt>
                <c:pt idx="9">
                  <c:v>202.03546891450887</c:v>
                </c:pt>
                <c:pt idx="10">
                  <c:v>203.68586887517029</c:v>
                </c:pt>
                <c:pt idx="11">
                  <c:v>202.98500846254106</c:v>
                </c:pt>
                <c:pt idx="12">
                  <c:v>196.7443605321148</c:v>
                </c:pt>
                <c:pt idx="13">
                  <c:v>194.99522094853307</c:v>
                </c:pt>
                <c:pt idx="14">
                  <c:v>184.10046283142378</c:v>
                </c:pt>
                <c:pt idx="15">
                  <c:v>182.03872518832966</c:v>
                </c:pt>
                <c:pt idx="16">
                  <c:v>179.82871902344931</c:v>
                </c:pt>
                <c:pt idx="17">
                  <c:v>178.74851541519999</c:v>
                </c:pt>
                <c:pt idx="18">
                  <c:v>178.63796171493939</c:v>
                </c:pt>
                <c:pt idx="19">
                  <c:v>184.3682267288381</c:v>
                </c:pt>
                <c:pt idx="20">
                  <c:v>186.9233351098662</c:v>
                </c:pt>
                <c:pt idx="21">
                  <c:v>188.61425662551534</c:v>
                </c:pt>
                <c:pt idx="22">
                  <c:v>185.24597643964518</c:v>
                </c:pt>
                <c:pt idx="23">
                  <c:v>184.85593346345249</c:v>
                </c:pt>
                <c:pt idx="24">
                  <c:v>178.86426254925198</c:v>
                </c:pt>
                <c:pt idx="25">
                  <c:v>181.59638382157598</c:v>
                </c:pt>
                <c:pt idx="26">
                  <c:v>184.69223421779543</c:v>
                </c:pt>
                <c:pt idx="27">
                  <c:v>188.88117907508391</c:v>
                </c:pt>
                <c:pt idx="28">
                  <c:v>197.39261624997505</c:v>
                </c:pt>
                <c:pt idx="29">
                  <c:v>188.01710124092085</c:v>
                </c:pt>
                <c:pt idx="30">
                  <c:v>178.368417988213</c:v>
                </c:pt>
                <c:pt idx="31">
                  <c:v>180.2188771944227</c:v>
                </c:pt>
                <c:pt idx="32">
                  <c:v>181.63094036276712</c:v>
                </c:pt>
                <c:pt idx="33">
                  <c:v>184.03025254429562</c:v>
                </c:pt>
                <c:pt idx="34">
                  <c:v>186.93981674570841</c:v>
                </c:pt>
                <c:pt idx="35">
                  <c:v>192.71420461785331</c:v>
                </c:pt>
                <c:pt idx="36">
                  <c:v>185.76456375017216</c:v>
                </c:pt>
                <c:pt idx="37">
                  <c:v>182.53160468196864</c:v>
                </c:pt>
                <c:pt idx="38">
                  <c:v>188.4254637996001</c:v>
                </c:pt>
                <c:pt idx="39">
                  <c:v>182.69271142385659</c:v>
                </c:pt>
                <c:pt idx="40">
                  <c:v>180.96412970844267</c:v>
                </c:pt>
                <c:pt idx="41">
                  <c:v>183.14206449831363</c:v>
                </c:pt>
                <c:pt idx="42">
                  <c:v>181.54561716938733</c:v>
                </c:pt>
                <c:pt idx="43">
                  <c:v>184.25684473916291</c:v>
                </c:pt>
                <c:pt idx="44">
                  <c:v>182.33930709902458</c:v>
                </c:pt>
                <c:pt idx="45">
                  <c:v>187.7251749733056</c:v>
                </c:pt>
                <c:pt idx="46">
                  <c:v>180.77672361280639</c:v>
                </c:pt>
                <c:pt idx="47">
                  <c:v>179.62164015014545</c:v>
                </c:pt>
                <c:pt idx="48">
                  <c:v>169.99370189154882</c:v>
                </c:pt>
                <c:pt idx="49">
                  <c:v>172.01331009595438</c:v>
                </c:pt>
                <c:pt idx="50">
                  <c:v>178.60892242496664</c:v>
                </c:pt>
                <c:pt idx="51">
                  <c:v>179.39351080201416</c:v>
                </c:pt>
                <c:pt idx="52">
                  <c:v>181.97068400819396</c:v>
                </c:pt>
                <c:pt idx="53">
                  <c:v>176.72958912660329</c:v>
                </c:pt>
                <c:pt idx="54">
                  <c:v>173.60833726417954</c:v>
                </c:pt>
                <c:pt idx="55">
                  <c:v>169.65303267559591</c:v>
                </c:pt>
                <c:pt idx="56">
                  <c:v>165.96500568616142</c:v>
                </c:pt>
                <c:pt idx="57">
                  <c:v>163.90098862367279</c:v>
                </c:pt>
                <c:pt idx="58">
                  <c:v>158.6035868307363</c:v>
                </c:pt>
                <c:pt idx="59">
                  <c:v>155.33012136529973</c:v>
                </c:pt>
                <c:pt idx="60">
                  <c:v>151.80160649048401</c:v>
                </c:pt>
                <c:pt idx="61">
                  <c:v>164.49134387142993</c:v>
                </c:pt>
                <c:pt idx="62">
                  <c:v>170.19665441795323</c:v>
                </c:pt>
                <c:pt idx="63">
                  <c:v>166.37608625257687</c:v>
                </c:pt>
                <c:pt idx="64">
                  <c:v>168.03709304881573</c:v>
                </c:pt>
                <c:pt idx="65">
                  <c:v>167.44392016860061</c:v>
                </c:pt>
                <c:pt idx="66">
                  <c:v>163.81990058807534</c:v>
                </c:pt>
                <c:pt idx="67">
                  <c:v>162.87733187958872</c:v>
                </c:pt>
                <c:pt idx="68">
                  <c:v>166.81424196861369</c:v>
                </c:pt>
                <c:pt idx="69">
                  <c:v>162.90504504859538</c:v>
                </c:pt>
                <c:pt idx="70">
                  <c:v>163.4172475659561</c:v>
                </c:pt>
                <c:pt idx="71">
                  <c:v>168.10231516070502</c:v>
                </c:pt>
                <c:pt idx="72">
                  <c:v>168.27034216471486</c:v>
                </c:pt>
                <c:pt idx="73">
                  <c:v>167.78443512898036</c:v>
                </c:pt>
                <c:pt idx="74">
                  <c:v>178.07104143487317</c:v>
                </c:pt>
                <c:pt idx="75">
                  <c:v>178.13390364770848</c:v>
                </c:pt>
                <c:pt idx="76">
                  <c:v>182.14078115935348</c:v>
                </c:pt>
                <c:pt idx="77">
                  <c:v>179.00280393690451</c:v>
                </c:pt>
                <c:pt idx="78">
                  <c:v>181.5064675189175</c:v>
                </c:pt>
                <c:pt idx="79">
                  <c:v>177.80864918056074</c:v>
                </c:pt>
                <c:pt idx="80">
                  <c:v>179.02757721327404</c:v>
                </c:pt>
                <c:pt idx="81">
                  <c:v>182.54406408965821</c:v>
                </c:pt>
                <c:pt idx="82">
                  <c:v>178.84672136178722</c:v>
                </c:pt>
                <c:pt idx="83">
                  <c:v>180.64792703735489</c:v>
                </c:pt>
                <c:pt idx="84">
                  <c:v>175.27061965645629</c:v>
                </c:pt>
                <c:pt idx="85">
                  <c:v>178.07361330584231</c:v>
                </c:pt>
                <c:pt idx="86">
                  <c:v>185.07002531962016</c:v>
                </c:pt>
                <c:pt idx="87">
                  <c:v>182.60982173197971</c:v>
                </c:pt>
                <c:pt idx="88">
                  <c:v>183.71642474259903</c:v>
                </c:pt>
                <c:pt idx="89">
                  <c:v>183.75703220065392</c:v>
                </c:pt>
                <c:pt idx="90">
                  <c:v>183.85076539612444</c:v>
                </c:pt>
                <c:pt idx="91">
                  <c:v>181.05709696034558</c:v>
                </c:pt>
                <c:pt idx="92">
                  <c:v>176.42975268413392</c:v>
                </c:pt>
                <c:pt idx="93">
                  <c:v>171.42166929788792</c:v>
                </c:pt>
                <c:pt idx="94">
                  <c:v>171.10806765624011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8474-FA46-A0A9-E06E8EA2867F}"/>
            </c:ext>
          </c:extLst>
        </c:ser>
        <c:ser>
          <c:idx val="40"/>
          <c:order val="40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'Q6'!$E$42:$CU$42</c:f>
              <c:numCache>
                <c:formatCode>General</c:formatCode>
                <c:ptCount val="95"/>
                <c:pt idx="0">
                  <c:v>222.13</c:v>
                </c:pt>
                <c:pt idx="1">
                  <c:v>222.6881082893498</c:v>
                </c:pt>
                <c:pt idx="2">
                  <c:v>220.65011199444234</c:v>
                </c:pt>
                <c:pt idx="3">
                  <c:v>227.91227571558659</c:v>
                </c:pt>
                <c:pt idx="4">
                  <c:v>232.30267212830356</c:v>
                </c:pt>
                <c:pt idx="5">
                  <c:v>231.08291137587941</c:v>
                </c:pt>
                <c:pt idx="6">
                  <c:v>228.65887233904985</c:v>
                </c:pt>
                <c:pt idx="7">
                  <c:v>223.72345279264414</c:v>
                </c:pt>
                <c:pt idx="8">
                  <c:v>221.59221415442963</c:v>
                </c:pt>
                <c:pt idx="9">
                  <c:v>209.60085570252861</c:v>
                </c:pt>
                <c:pt idx="10">
                  <c:v>215.45268933245038</c:v>
                </c:pt>
                <c:pt idx="11">
                  <c:v>220.89426582004737</c:v>
                </c:pt>
                <c:pt idx="12">
                  <c:v>217.77287922381959</c:v>
                </c:pt>
                <c:pt idx="13">
                  <c:v>221.0148687095664</c:v>
                </c:pt>
                <c:pt idx="14">
                  <c:v>221.99065120122802</c:v>
                </c:pt>
                <c:pt idx="15">
                  <c:v>222.32773469308009</c:v>
                </c:pt>
                <c:pt idx="16">
                  <c:v>227.2944558741016</c:v>
                </c:pt>
                <c:pt idx="17">
                  <c:v>224.8959576190808</c:v>
                </c:pt>
                <c:pt idx="18">
                  <c:v>225.74670256703516</c:v>
                </c:pt>
                <c:pt idx="19">
                  <c:v>231.87237376302573</c:v>
                </c:pt>
                <c:pt idx="20">
                  <c:v>231.80709134861692</c:v>
                </c:pt>
                <c:pt idx="21">
                  <c:v>231.23188470541083</c:v>
                </c:pt>
                <c:pt idx="22">
                  <c:v>221.79138859353222</c:v>
                </c:pt>
                <c:pt idx="23">
                  <c:v>221.11331259966985</c:v>
                </c:pt>
                <c:pt idx="24">
                  <c:v>220.72178211833432</c:v>
                </c:pt>
                <c:pt idx="25">
                  <c:v>217.36918356010935</c:v>
                </c:pt>
                <c:pt idx="26">
                  <c:v>214.29745566497542</c:v>
                </c:pt>
                <c:pt idx="27">
                  <c:v>215.23688233982196</c:v>
                </c:pt>
                <c:pt idx="28">
                  <c:v>220.99675939594627</c:v>
                </c:pt>
                <c:pt idx="29">
                  <c:v>218.38830428634893</c:v>
                </c:pt>
                <c:pt idx="30">
                  <c:v>218.82890032985313</c:v>
                </c:pt>
                <c:pt idx="31">
                  <c:v>215.59139231481598</c:v>
                </c:pt>
                <c:pt idx="32">
                  <c:v>206.57748101896243</c:v>
                </c:pt>
                <c:pt idx="33">
                  <c:v>202.2908322859351</c:v>
                </c:pt>
                <c:pt idx="34">
                  <c:v>212.73423118322259</c:v>
                </c:pt>
                <c:pt idx="35">
                  <c:v>206.25930758072684</c:v>
                </c:pt>
                <c:pt idx="36">
                  <c:v>216.48214598036296</c:v>
                </c:pt>
                <c:pt idx="37">
                  <c:v>213.31724014180631</c:v>
                </c:pt>
                <c:pt idx="38">
                  <c:v>213.29273803741799</c:v>
                </c:pt>
                <c:pt idx="39">
                  <c:v>212.6192771277544</c:v>
                </c:pt>
                <c:pt idx="40">
                  <c:v>210.38184365163082</c:v>
                </c:pt>
                <c:pt idx="41">
                  <c:v>216.22602653746998</c:v>
                </c:pt>
                <c:pt idx="42">
                  <c:v>203.82997205370538</c:v>
                </c:pt>
                <c:pt idx="43">
                  <c:v>208.67294770734219</c:v>
                </c:pt>
                <c:pt idx="44">
                  <c:v>206.94508468798816</c:v>
                </c:pt>
                <c:pt idx="45">
                  <c:v>203.51270246491902</c:v>
                </c:pt>
                <c:pt idx="46">
                  <c:v>205.0233441304743</c:v>
                </c:pt>
                <c:pt idx="47">
                  <c:v>204.44210226419187</c:v>
                </c:pt>
                <c:pt idx="48">
                  <c:v>204.05932444399761</c:v>
                </c:pt>
                <c:pt idx="49">
                  <c:v>205.87507669330139</c:v>
                </c:pt>
                <c:pt idx="50">
                  <c:v>207.56906391119765</c:v>
                </c:pt>
                <c:pt idx="51">
                  <c:v>205.2167547619664</c:v>
                </c:pt>
                <c:pt idx="52">
                  <c:v>208.15118586360012</c:v>
                </c:pt>
                <c:pt idx="53">
                  <c:v>208.74436976131355</c:v>
                </c:pt>
                <c:pt idx="54">
                  <c:v>199.03358347582528</c:v>
                </c:pt>
                <c:pt idx="55">
                  <c:v>199.36243637927845</c:v>
                </c:pt>
                <c:pt idx="56">
                  <c:v>201.97388884258277</c:v>
                </c:pt>
                <c:pt idx="57">
                  <c:v>199.06645195433495</c:v>
                </c:pt>
                <c:pt idx="58">
                  <c:v>194.75595278635362</c:v>
                </c:pt>
                <c:pt idx="59">
                  <c:v>200.14520022828694</c:v>
                </c:pt>
                <c:pt idx="60">
                  <c:v>194.82636001810732</c:v>
                </c:pt>
                <c:pt idx="61">
                  <c:v>196.53832453225365</c:v>
                </c:pt>
                <c:pt idx="62">
                  <c:v>196.56801910281843</c:v>
                </c:pt>
                <c:pt idx="63">
                  <c:v>201.91284852381293</c:v>
                </c:pt>
                <c:pt idx="64">
                  <c:v>200.25549110352006</c:v>
                </c:pt>
                <c:pt idx="65">
                  <c:v>202.40984903583825</c:v>
                </c:pt>
                <c:pt idx="66">
                  <c:v>200.01405782332108</c:v>
                </c:pt>
                <c:pt idx="67">
                  <c:v>203.86031493908533</c:v>
                </c:pt>
                <c:pt idx="68">
                  <c:v>203.73105936683874</c:v>
                </c:pt>
                <c:pt idx="69">
                  <c:v>196.45723985567383</c:v>
                </c:pt>
                <c:pt idx="70">
                  <c:v>194.32523041034872</c:v>
                </c:pt>
                <c:pt idx="71">
                  <c:v>189.07509935460467</c:v>
                </c:pt>
                <c:pt idx="72">
                  <c:v>185.33316203220642</c:v>
                </c:pt>
                <c:pt idx="73">
                  <c:v>177.92384644052694</c:v>
                </c:pt>
                <c:pt idx="74">
                  <c:v>179.95080187376263</c:v>
                </c:pt>
                <c:pt idx="75">
                  <c:v>181.71025477834269</c:v>
                </c:pt>
                <c:pt idx="76">
                  <c:v>185.4420023508973</c:v>
                </c:pt>
                <c:pt idx="77">
                  <c:v>189.53721672873201</c:v>
                </c:pt>
                <c:pt idx="78">
                  <c:v>187.88417841843142</c:v>
                </c:pt>
                <c:pt idx="79">
                  <c:v>189.29846059742167</c:v>
                </c:pt>
                <c:pt idx="80">
                  <c:v>186.462371811483</c:v>
                </c:pt>
                <c:pt idx="81">
                  <c:v>191.61097805068673</c:v>
                </c:pt>
                <c:pt idx="82">
                  <c:v>184.94985011198767</c:v>
                </c:pt>
                <c:pt idx="83">
                  <c:v>183.89251400220593</c:v>
                </c:pt>
                <c:pt idx="84">
                  <c:v>178.88814642180384</c:v>
                </c:pt>
                <c:pt idx="85">
                  <c:v>192.83620607411839</c:v>
                </c:pt>
                <c:pt idx="86">
                  <c:v>189.7177840424618</c:v>
                </c:pt>
                <c:pt idx="87">
                  <c:v>194.22207224033261</c:v>
                </c:pt>
                <c:pt idx="88">
                  <c:v>197.23152300908021</c:v>
                </c:pt>
                <c:pt idx="89">
                  <c:v>199.88519677611174</c:v>
                </c:pt>
                <c:pt idx="90">
                  <c:v>199.46999026401883</c:v>
                </c:pt>
                <c:pt idx="91">
                  <c:v>203.43483826620363</c:v>
                </c:pt>
                <c:pt idx="92">
                  <c:v>206.56410732076984</c:v>
                </c:pt>
                <c:pt idx="93">
                  <c:v>199.06421324920325</c:v>
                </c:pt>
                <c:pt idx="94">
                  <c:v>208.69169366285658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8474-FA46-A0A9-E06E8EA2867F}"/>
            </c:ext>
          </c:extLst>
        </c:ser>
        <c:ser>
          <c:idx val="41"/>
          <c:order val="41"/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'Q6'!$E$43:$CU$43</c:f>
              <c:numCache>
                <c:formatCode>General</c:formatCode>
                <c:ptCount val="95"/>
                <c:pt idx="0">
                  <c:v>222.13</c:v>
                </c:pt>
                <c:pt idx="1">
                  <c:v>213.74976484920893</c:v>
                </c:pt>
                <c:pt idx="2">
                  <c:v>208.27026023449329</c:v>
                </c:pt>
                <c:pt idx="3">
                  <c:v>207.11219238989742</c:v>
                </c:pt>
                <c:pt idx="4">
                  <c:v>207.34020916119675</c:v>
                </c:pt>
                <c:pt idx="5">
                  <c:v>215.57887557098925</c:v>
                </c:pt>
                <c:pt idx="6">
                  <c:v>218.7695342562908</c:v>
                </c:pt>
                <c:pt idx="7">
                  <c:v>222.49766134909271</c:v>
                </c:pt>
                <c:pt idx="8">
                  <c:v>214.5554797517886</c:v>
                </c:pt>
                <c:pt idx="9">
                  <c:v>209.08100768384784</c:v>
                </c:pt>
                <c:pt idx="10">
                  <c:v>207.89937031103241</c:v>
                </c:pt>
                <c:pt idx="11">
                  <c:v>211.10262155565221</c:v>
                </c:pt>
                <c:pt idx="12">
                  <c:v>205.20562906794135</c:v>
                </c:pt>
                <c:pt idx="13">
                  <c:v>209.78060285524217</c:v>
                </c:pt>
                <c:pt idx="14">
                  <c:v>206.94430501547228</c:v>
                </c:pt>
                <c:pt idx="15">
                  <c:v>207.14122324819218</c:v>
                </c:pt>
                <c:pt idx="16">
                  <c:v>205.52708991535903</c:v>
                </c:pt>
                <c:pt idx="17">
                  <c:v>205.67294805877611</c:v>
                </c:pt>
                <c:pt idx="18">
                  <c:v>203.5403917602319</c:v>
                </c:pt>
                <c:pt idx="19">
                  <c:v>204.53714427807813</c:v>
                </c:pt>
                <c:pt idx="20">
                  <c:v>209.9439735661885</c:v>
                </c:pt>
                <c:pt idx="21">
                  <c:v>205.60753066556899</c:v>
                </c:pt>
                <c:pt idx="22">
                  <c:v>195.89953124693909</c:v>
                </c:pt>
                <c:pt idx="23">
                  <c:v>205.49331874557532</c:v>
                </c:pt>
                <c:pt idx="24">
                  <c:v>201.73645015846444</c:v>
                </c:pt>
                <c:pt idx="25">
                  <c:v>198.87915056011875</c:v>
                </c:pt>
                <c:pt idx="26">
                  <c:v>194.53177785252117</c:v>
                </c:pt>
                <c:pt idx="27">
                  <c:v>190.33295580272264</c:v>
                </c:pt>
                <c:pt idx="28">
                  <c:v>196.60330506765825</c:v>
                </c:pt>
                <c:pt idx="29">
                  <c:v>195.6960851615305</c:v>
                </c:pt>
                <c:pt idx="30">
                  <c:v>193.9971873485778</c:v>
                </c:pt>
                <c:pt idx="31">
                  <c:v>189.78684229757181</c:v>
                </c:pt>
                <c:pt idx="32">
                  <c:v>193.21915207892312</c:v>
                </c:pt>
                <c:pt idx="33">
                  <c:v>193.15689854525851</c:v>
                </c:pt>
                <c:pt idx="34">
                  <c:v>188.99545001421723</c:v>
                </c:pt>
                <c:pt idx="35">
                  <c:v>191.26239251680303</c:v>
                </c:pt>
                <c:pt idx="36">
                  <c:v>195.67083739946077</c:v>
                </c:pt>
                <c:pt idx="37">
                  <c:v>190.62203224588183</c:v>
                </c:pt>
                <c:pt idx="38">
                  <c:v>185.03390158887777</c:v>
                </c:pt>
                <c:pt idx="39">
                  <c:v>188.62752554009754</c:v>
                </c:pt>
                <c:pt idx="40">
                  <c:v>178.39984230419125</c:v>
                </c:pt>
                <c:pt idx="41">
                  <c:v>179.49604215683178</c:v>
                </c:pt>
                <c:pt idx="42">
                  <c:v>170.32005472523403</c:v>
                </c:pt>
                <c:pt idx="43">
                  <c:v>164.53911038318191</c:v>
                </c:pt>
                <c:pt idx="44">
                  <c:v>162.67678513715416</c:v>
                </c:pt>
                <c:pt idx="45">
                  <c:v>160.91213234089957</c:v>
                </c:pt>
                <c:pt idx="46">
                  <c:v>163.89018395795952</c:v>
                </c:pt>
                <c:pt idx="47">
                  <c:v>168.4286131381954</c:v>
                </c:pt>
                <c:pt idx="48">
                  <c:v>168.26784382836681</c:v>
                </c:pt>
                <c:pt idx="49">
                  <c:v>165.81623148323754</c:v>
                </c:pt>
                <c:pt idx="50">
                  <c:v>160.72525877815102</c:v>
                </c:pt>
                <c:pt idx="51">
                  <c:v>154.54125937202704</c:v>
                </c:pt>
                <c:pt idx="52">
                  <c:v>156.13584647166618</c:v>
                </c:pt>
                <c:pt idx="53">
                  <c:v>152.79079849639115</c:v>
                </c:pt>
                <c:pt idx="54">
                  <c:v>151.11612492891777</c:v>
                </c:pt>
                <c:pt idx="55">
                  <c:v>147.26836991553043</c:v>
                </c:pt>
                <c:pt idx="56">
                  <c:v>152.25702271644283</c:v>
                </c:pt>
                <c:pt idx="57">
                  <c:v>155.09642182341398</c:v>
                </c:pt>
                <c:pt idx="58">
                  <c:v>149.16340419816717</c:v>
                </c:pt>
                <c:pt idx="59">
                  <c:v>153.42053618470209</c:v>
                </c:pt>
                <c:pt idx="60">
                  <c:v>146.2436821060052</c:v>
                </c:pt>
                <c:pt idx="61">
                  <c:v>148.8682545394839</c:v>
                </c:pt>
                <c:pt idx="62">
                  <c:v>148.82551721979456</c:v>
                </c:pt>
                <c:pt idx="63">
                  <c:v>150.05921773060285</c:v>
                </c:pt>
                <c:pt idx="64">
                  <c:v>150.55714720428912</c:v>
                </c:pt>
                <c:pt idx="65">
                  <c:v>149.78780142527395</c:v>
                </c:pt>
                <c:pt idx="66">
                  <c:v>151.54718085549911</c:v>
                </c:pt>
                <c:pt idx="67">
                  <c:v>153.27066184756637</c:v>
                </c:pt>
                <c:pt idx="68">
                  <c:v>151.6070726419733</c:v>
                </c:pt>
                <c:pt idx="69">
                  <c:v>144.02098852093761</c:v>
                </c:pt>
                <c:pt idx="70">
                  <c:v>149.67310512818042</c:v>
                </c:pt>
                <c:pt idx="71">
                  <c:v>151.96033811476818</c:v>
                </c:pt>
                <c:pt idx="72">
                  <c:v>148.53034465525312</c:v>
                </c:pt>
                <c:pt idx="73">
                  <c:v>148.6470202557469</c:v>
                </c:pt>
                <c:pt idx="74">
                  <c:v>148.4298745176595</c:v>
                </c:pt>
                <c:pt idx="75">
                  <c:v>150.12121633261171</c:v>
                </c:pt>
                <c:pt idx="76">
                  <c:v>153.85058164345236</c:v>
                </c:pt>
                <c:pt idx="77">
                  <c:v>152.38859421794515</c:v>
                </c:pt>
                <c:pt idx="78">
                  <c:v>148.10577225860007</c:v>
                </c:pt>
                <c:pt idx="79">
                  <c:v>152.13416144543356</c:v>
                </c:pt>
                <c:pt idx="80">
                  <c:v>150.58510269557962</c:v>
                </c:pt>
                <c:pt idx="81">
                  <c:v>149.88204737496025</c:v>
                </c:pt>
                <c:pt idx="82">
                  <c:v>155.02644532172633</c:v>
                </c:pt>
                <c:pt idx="83">
                  <c:v>150.63579983341762</c:v>
                </c:pt>
                <c:pt idx="84">
                  <c:v>150.53363967161755</c:v>
                </c:pt>
                <c:pt idx="85">
                  <c:v>143.90879610338925</c:v>
                </c:pt>
                <c:pt idx="86">
                  <c:v>145.75889653810773</c:v>
                </c:pt>
                <c:pt idx="87">
                  <c:v>148.92067669660588</c:v>
                </c:pt>
                <c:pt idx="88">
                  <c:v>142.856296823348</c:v>
                </c:pt>
                <c:pt idx="89">
                  <c:v>141.36543272981157</c:v>
                </c:pt>
                <c:pt idx="90">
                  <c:v>139.06686689506537</c:v>
                </c:pt>
                <c:pt idx="91">
                  <c:v>131.83331232861946</c:v>
                </c:pt>
                <c:pt idx="92">
                  <c:v>133.29741829880697</c:v>
                </c:pt>
                <c:pt idx="93">
                  <c:v>131.21934201063243</c:v>
                </c:pt>
                <c:pt idx="94">
                  <c:v>124.07686508389082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8474-FA46-A0A9-E06E8EA2867F}"/>
            </c:ext>
          </c:extLst>
        </c:ser>
        <c:ser>
          <c:idx val="42"/>
          <c:order val="42"/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'Q6'!$E$44:$CU$44</c:f>
              <c:numCache>
                <c:formatCode>General</c:formatCode>
                <c:ptCount val="95"/>
                <c:pt idx="0">
                  <c:v>222.13</c:v>
                </c:pt>
                <c:pt idx="1">
                  <c:v>234.23070208148738</c:v>
                </c:pt>
                <c:pt idx="2">
                  <c:v>235.55707404752243</c:v>
                </c:pt>
                <c:pt idx="3">
                  <c:v>232.28110928544629</c:v>
                </c:pt>
                <c:pt idx="4">
                  <c:v>232.43595912138875</c:v>
                </c:pt>
                <c:pt idx="5">
                  <c:v>231.80320081651311</c:v>
                </c:pt>
                <c:pt idx="6">
                  <c:v>234.82506304254645</c:v>
                </c:pt>
                <c:pt idx="7">
                  <c:v>229.12218141174648</c:v>
                </c:pt>
                <c:pt idx="8">
                  <c:v>231.26782356987124</c:v>
                </c:pt>
                <c:pt idx="9">
                  <c:v>232.670672221454</c:v>
                </c:pt>
                <c:pt idx="10">
                  <c:v>227.75373220823772</c:v>
                </c:pt>
                <c:pt idx="11">
                  <c:v>226.92817953185957</c:v>
                </c:pt>
                <c:pt idx="12">
                  <c:v>224.44774542719125</c:v>
                </c:pt>
                <c:pt idx="13">
                  <c:v>216.683261170093</c:v>
                </c:pt>
                <c:pt idx="14">
                  <c:v>215.67454417783335</c:v>
                </c:pt>
                <c:pt idx="15">
                  <c:v>219.91768602479823</c:v>
                </c:pt>
                <c:pt idx="16">
                  <c:v>222.87157613392378</c:v>
                </c:pt>
                <c:pt idx="17">
                  <c:v>235.35953228759954</c:v>
                </c:pt>
                <c:pt idx="18">
                  <c:v>237.01541663204614</c:v>
                </c:pt>
                <c:pt idx="19">
                  <c:v>235.78620397969726</c:v>
                </c:pt>
                <c:pt idx="20">
                  <c:v>226.86652763901483</c:v>
                </c:pt>
                <c:pt idx="21">
                  <c:v>224.45774037868821</c:v>
                </c:pt>
                <c:pt idx="22">
                  <c:v>214.72368217778103</c:v>
                </c:pt>
                <c:pt idx="23">
                  <c:v>214.43760224789318</c:v>
                </c:pt>
                <c:pt idx="24">
                  <c:v>221.71756913984439</c:v>
                </c:pt>
                <c:pt idx="25">
                  <c:v>220.65771142843195</c:v>
                </c:pt>
                <c:pt idx="26">
                  <c:v>215.12890557398902</c:v>
                </c:pt>
                <c:pt idx="27">
                  <c:v>208.23864221780062</c:v>
                </c:pt>
                <c:pt idx="28">
                  <c:v>213.01317263567984</c:v>
                </c:pt>
                <c:pt idx="29">
                  <c:v>213.18804007051421</c:v>
                </c:pt>
                <c:pt idx="30">
                  <c:v>213.34465883572145</c:v>
                </c:pt>
                <c:pt idx="31">
                  <c:v>214.82834778460636</c:v>
                </c:pt>
                <c:pt idx="32">
                  <c:v>214.60643435564697</c:v>
                </c:pt>
                <c:pt idx="33">
                  <c:v>213.95809224089712</c:v>
                </c:pt>
                <c:pt idx="34">
                  <c:v>214.322931339695</c:v>
                </c:pt>
                <c:pt idx="35">
                  <c:v>215.0665828452606</c:v>
                </c:pt>
                <c:pt idx="36">
                  <c:v>216.16571703455025</c:v>
                </c:pt>
                <c:pt idx="37">
                  <c:v>226.1717390147588</c:v>
                </c:pt>
                <c:pt idx="38">
                  <c:v>228.2975394110222</c:v>
                </c:pt>
                <c:pt idx="39">
                  <c:v>225.16325467083055</c:v>
                </c:pt>
                <c:pt idx="40">
                  <c:v>213.7792525489198</c:v>
                </c:pt>
                <c:pt idx="41">
                  <c:v>209.53734506816767</c:v>
                </c:pt>
                <c:pt idx="42">
                  <c:v>215.28118167781943</c:v>
                </c:pt>
                <c:pt idx="43">
                  <c:v>214.69317797548914</c:v>
                </c:pt>
                <c:pt idx="44">
                  <c:v>214.72580783265832</c:v>
                </c:pt>
                <c:pt idx="45">
                  <c:v>214.52921494601642</c:v>
                </c:pt>
                <c:pt idx="46">
                  <c:v>219.13549581880361</c:v>
                </c:pt>
                <c:pt idx="47">
                  <c:v>225.85031855887962</c:v>
                </c:pt>
                <c:pt idx="48">
                  <c:v>231.99328294442054</c:v>
                </c:pt>
                <c:pt idx="49">
                  <c:v>232.57609040781978</c:v>
                </c:pt>
                <c:pt idx="50">
                  <c:v>230.79639008408498</c:v>
                </c:pt>
                <c:pt idx="51">
                  <c:v>237.6730347490674</c:v>
                </c:pt>
                <c:pt idx="52">
                  <c:v>236.80075586565323</c:v>
                </c:pt>
                <c:pt idx="53">
                  <c:v>229.15910766860159</c:v>
                </c:pt>
                <c:pt idx="54">
                  <c:v>230.11344319427045</c:v>
                </c:pt>
                <c:pt idx="55">
                  <c:v>230.66722443201883</c:v>
                </c:pt>
                <c:pt idx="56">
                  <c:v>233.45657762486655</c:v>
                </c:pt>
                <c:pt idx="57">
                  <c:v>226.68659493525394</c:v>
                </c:pt>
                <c:pt idx="58">
                  <c:v>222.43734802727909</c:v>
                </c:pt>
                <c:pt idx="59">
                  <c:v>219.35098273172903</c:v>
                </c:pt>
                <c:pt idx="60">
                  <c:v>217.38719414666485</c:v>
                </c:pt>
                <c:pt idx="61">
                  <c:v>213.33340304866599</c:v>
                </c:pt>
                <c:pt idx="62">
                  <c:v>211.47782143062173</c:v>
                </c:pt>
                <c:pt idx="63">
                  <c:v>214.25156245449296</c:v>
                </c:pt>
                <c:pt idx="64">
                  <c:v>216.64778135475484</c:v>
                </c:pt>
                <c:pt idx="65">
                  <c:v>215.49224949862435</c:v>
                </c:pt>
                <c:pt idx="66">
                  <c:v>218.58317597606649</c:v>
                </c:pt>
                <c:pt idx="67">
                  <c:v>213.5480234702967</c:v>
                </c:pt>
                <c:pt idx="68">
                  <c:v>213.34177535971048</c:v>
                </c:pt>
                <c:pt idx="69">
                  <c:v>216.9037429675748</c:v>
                </c:pt>
                <c:pt idx="70">
                  <c:v>219.14352307680215</c:v>
                </c:pt>
                <c:pt idx="71">
                  <c:v>224.40753590528897</c:v>
                </c:pt>
                <c:pt idx="72">
                  <c:v>216.54284175410692</c:v>
                </c:pt>
                <c:pt idx="73">
                  <c:v>217.68681702396484</c:v>
                </c:pt>
                <c:pt idx="74">
                  <c:v>224.01822801723745</c:v>
                </c:pt>
                <c:pt idx="75">
                  <c:v>221.01247140891093</c:v>
                </c:pt>
                <c:pt idx="76">
                  <c:v>218.51985548949332</c:v>
                </c:pt>
                <c:pt idx="77">
                  <c:v>215.12553194537415</c:v>
                </c:pt>
                <c:pt idx="78">
                  <c:v>207.77039792329518</c:v>
                </c:pt>
                <c:pt idx="79">
                  <c:v>213.57198409854212</c:v>
                </c:pt>
                <c:pt idx="80">
                  <c:v>212.34065225036545</c:v>
                </c:pt>
                <c:pt idx="81">
                  <c:v>213.59612550842249</c:v>
                </c:pt>
                <c:pt idx="82">
                  <c:v>217.56113480884568</c:v>
                </c:pt>
                <c:pt idx="83">
                  <c:v>222.91257980565715</c:v>
                </c:pt>
                <c:pt idx="84">
                  <c:v>230.29784147603439</c:v>
                </c:pt>
                <c:pt idx="85">
                  <c:v>226.28723223690477</c:v>
                </c:pt>
                <c:pt idx="86">
                  <c:v>231.25146334008463</c:v>
                </c:pt>
                <c:pt idx="87">
                  <c:v>240.3195527588729</c:v>
                </c:pt>
                <c:pt idx="88">
                  <c:v>244.7428215452787</c:v>
                </c:pt>
                <c:pt idx="89">
                  <c:v>245.58842042781228</c:v>
                </c:pt>
                <c:pt idx="90">
                  <c:v>248.98140363364126</c:v>
                </c:pt>
                <c:pt idx="91">
                  <c:v>246.82371974955399</c:v>
                </c:pt>
                <c:pt idx="92">
                  <c:v>252.94351182344715</c:v>
                </c:pt>
                <c:pt idx="93">
                  <c:v>255.89384362496048</c:v>
                </c:pt>
                <c:pt idx="94">
                  <c:v>253.78216998193423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8474-FA46-A0A9-E06E8EA2867F}"/>
            </c:ext>
          </c:extLst>
        </c:ser>
        <c:ser>
          <c:idx val="43"/>
          <c:order val="43"/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'Q6'!$E$45:$CU$45</c:f>
              <c:numCache>
                <c:formatCode>General</c:formatCode>
                <c:ptCount val="95"/>
                <c:pt idx="0">
                  <c:v>222.13</c:v>
                </c:pt>
                <c:pt idx="1">
                  <c:v>234.0441364719795</c:v>
                </c:pt>
                <c:pt idx="2">
                  <c:v>230.54214695481463</c:v>
                </c:pt>
                <c:pt idx="3">
                  <c:v>233.5172082789199</c:v>
                </c:pt>
                <c:pt idx="4">
                  <c:v>235.48402072555891</c:v>
                </c:pt>
                <c:pt idx="5">
                  <c:v>235.02295986688173</c:v>
                </c:pt>
                <c:pt idx="6">
                  <c:v>241.99887301548682</c:v>
                </c:pt>
                <c:pt idx="7">
                  <c:v>253.62323733445919</c:v>
                </c:pt>
                <c:pt idx="8">
                  <c:v>258.76511639252186</c:v>
                </c:pt>
                <c:pt idx="9">
                  <c:v>256.15605658671785</c:v>
                </c:pt>
                <c:pt idx="10">
                  <c:v>256.89549192534793</c:v>
                </c:pt>
                <c:pt idx="11">
                  <c:v>260.46402305250575</c:v>
                </c:pt>
                <c:pt idx="12">
                  <c:v>266.36694026401858</c:v>
                </c:pt>
                <c:pt idx="13">
                  <c:v>253.43980182783622</c:v>
                </c:pt>
                <c:pt idx="14">
                  <c:v>257.16580113395094</c:v>
                </c:pt>
                <c:pt idx="15">
                  <c:v>273.25504173866636</c:v>
                </c:pt>
                <c:pt idx="16">
                  <c:v>260.34214299311691</c:v>
                </c:pt>
                <c:pt idx="17">
                  <c:v>255.82493500441248</c:v>
                </c:pt>
                <c:pt idx="18">
                  <c:v>250.54614221312769</c:v>
                </c:pt>
                <c:pt idx="19">
                  <c:v>249.69356129043584</c:v>
                </c:pt>
                <c:pt idx="20">
                  <c:v>245.455844170083</c:v>
                </c:pt>
                <c:pt idx="21">
                  <c:v>247.82477966779291</c:v>
                </c:pt>
                <c:pt idx="22">
                  <c:v>246.31616740995261</c:v>
                </c:pt>
                <c:pt idx="23">
                  <c:v>250.45251198337863</c:v>
                </c:pt>
                <c:pt idx="24">
                  <c:v>248.33529015716559</c:v>
                </c:pt>
                <c:pt idx="25">
                  <c:v>249.60239819583319</c:v>
                </c:pt>
                <c:pt idx="26">
                  <c:v>242.75818250113679</c:v>
                </c:pt>
                <c:pt idx="27">
                  <c:v>247.41737299144307</c:v>
                </c:pt>
                <c:pt idx="28">
                  <c:v>249.30863534550241</c:v>
                </c:pt>
                <c:pt idx="29">
                  <c:v>245.10944141130972</c:v>
                </c:pt>
                <c:pt idx="30">
                  <c:v>238.32353372014646</c:v>
                </c:pt>
                <c:pt idx="31">
                  <c:v>239.6434753035073</c:v>
                </c:pt>
                <c:pt idx="32">
                  <c:v>233.822776044737</c:v>
                </c:pt>
                <c:pt idx="33">
                  <c:v>246.89152595632402</c:v>
                </c:pt>
                <c:pt idx="34">
                  <c:v>256.41590719374767</c:v>
                </c:pt>
                <c:pt idx="35">
                  <c:v>247.79215161932845</c:v>
                </c:pt>
                <c:pt idx="36">
                  <c:v>250.73267096849378</c:v>
                </c:pt>
                <c:pt idx="37">
                  <c:v>250.09573992696775</c:v>
                </c:pt>
                <c:pt idx="38">
                  <c:v>246.95016218099985</c:v>
                </c:pt>
                <c:pt idx="39">
                  <c:v>251.4312753185261</c:v>
                </c:pt>
                <c:pt idx="40">
                  <c:v>251.36144002314003</c:v>
                </c:pt>
                <c:pt idx="41">
                  <c:v>251.25191328567627</c:v>
                </c:pt>
                <c:pt idx="42">
                  <c:v>259.20524879769204</c:v>
                </c:pt>
                <c:pt idx="43">
                  <c:v>260.2463988998523</c:v>
                </c:pt>
                <c:pt idx="44">
                  <c:v>269.18675353532194</c:v>
                </c:pt>
                <c:pt idx="45">
                  <c:v>268.18102756108061</c:v>
                </c:pt>
                <c:pt idx="46">
                  <c:v>265.15811712817305</c:v>
                </c:pt>
                <c:pt idx="47">
                  <c:v>263.6015770990756</c:v>
                </c:pt>
                <c:pt idx="48">
                  <c:v>261.1309953585706</c:v>
                </c:pt>
                <c:pt idx="49">
                  <c:v>276.72664245806573</c:v>
                </c:pt>
                <c:pt idx="50">
                  <c:v>273.82374932267396</c:v>
                </c:pt>
                <c:pt idx="51">
                  <c:v>268.19021795922271</c:v>
                </c:pt>
                <c:pt idx="52">
                  <c:v>267.70509819661038</c:v>
                </c:pt>
                <c:pt idx="53">
                  <c:v>259.51314063749555</c:v>
                </c:pt>
                <c:pt idx="54">
                  <c:v>265.65283905683657</c:v>
                </c:pt>
                <c:pt idx="55">
                  <c:v>276.17722945919161</c:v>
                </c:pt>
                <c:pt idx="56">
                  <c:v>268.46530152143572</c:v>
                </c:pt>
                <c:pt idx="57">
                  <c:v>268.62336306597172</c:v>
                </c:pt>
                <c:pt idx="58">
                  <c:v>267.08047654002348</c:v>
                </c:pt>
                <c:pt idx="59">
                  <c:v>262.27639574529815</c:v>
                </c:pt>
                <c:pt idx="60">
                  <c:v>258.72939468444929</c:v>
                </c:pt>
                <c:pt idx="61">
                  <c:v>252.9462517203927</c:v>
                </c:pt>
                <c:pt idx="62">
                  <c:v>250.2506195596641</c:v>
                </c:pt>
                <c:pt idx="63">
                  <c:v>245.16907423777417</c:v>
                </c:pt>
                <c:pt idx="64">
                  <c:v>247.27443796410864</c:v>
                </c:pt>
                <c:pt idx="65">
                  <c:v>245.62402857179046</c:v>
                </c:pt>
                <c:pt idx="66">
                  <c:v>235.32870479260478</c:v>
                </c:pt>
                <c:pt idx="67">
                  <c:v>234.76878444325627</c:v>
                </c:pt>
                <c:pt idx="68">
                  <c:v>240.47623362666147</c:v>
                </c:pt>
                <c:pt idx="69">
                  <c:v>240.83162894989511</c:v>
                </c:pt>
                <c:pt idx="70">
                  <c:v>249.59929608621596</c:v>
                </c:pt>
                <c:pt idx="71">
                  <c:v>256.04120662498428</c:v>
                </c:pt>
                <c:pt idx="72">
                  <c:v>257.05877548706991</c:v>
                </c:pt>
                <c:pt idx="73">
                  <c:v>261.27279914568408</c:v>
                </c:pt>
                <c:pt idx="74">
                  <c:v>268.62241631503088</c:v>
                </c:pt>
                <c:pt idx="75">
                  <c:v>266.5595558551625</c:v>
                </c:pt>
                <c:pt idx="76">
                  <c:v>269.25986999227223</c:v>
                </c:pt>
                <c:pt idx="77">
                  <c:v>266.15192727312541</c:v>
                </c:pt>
                <c:pt idx="78">
                  <c:v>268.53732091540797</c:v>
                </c:pt>
                <c:pt idx="79">
                  <c:v>267.32145595450157</c:v>
                </c:pt>
                <c:pt idx="80">
                  <c:v>275.4603464922659</c:v>
                </c:pt>
                <c:pt idx="81">
                  <c:v>280.30240940376461</c:v>
                </c:pt>
                <c:pt idx="82">
                  <c:v>283.42646561859317</c:v>
                </c:pt>
                <c:pt idx="83">
                  <c:v>281.48081407991771</c:v>
                </c:pt>
                <c:pt idx="84">
                  <c:v>283.22288342278182</c:v>
                </c:pt>
                <c:pt idx="85">
                  <c:v>281.23882116882703</c:v>
                </c:pt>
                <c:pt idx="86">
                  <c:v>290.99218030425942</c:v>
                </c:pt>
                <c:pt idx="87">
                  <c:v>283.54599651048062</c:v>
                </c:pt>
                <c:pt idx="88">
                  <c:v>278.44434162282801</c:v>
                </c:pt>
                <c:pt idx="89">
                  <c:v>276.28486478881376</c:v>
                </c:pt>
                <c:pt idx="90">
                  <c:v>271.17596599667337</c:v>
                </c:pt>
                <c:pt idx="91">
                  <c:v>267.64009108310285</c:v>
                </c:pt>
                <c:pt idx="92">
                  <c:v>268.58441628430853</c:v>
                </c:pt>
                <c:pt idx="93">
                  <c:v>264.94163805887325</c:v>
                </c:pt>
                <c:pt idx="94">
                  <c:v>267.71203872326487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8474-FA46-A0A9-E06E8EA2867F}"/>
            </c:ext>
          </c:extLst>
        </c:ser>
        <c:ser>
          <c:idx val="44"/>
          <c:order val="44"/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'Q6'!$E$46:$CU$46</c:f>
              <c:numCache>
                <c:formatCode>General</c:formatCode>
                <c:ptCount val="95"/>
                <c:pt idx="0">
                  <c:v>222.13</c:v>
                </c:pt>
                <c:pt idx="1">
                  <c:v>219.05346963158067</c:v>
                </c:pt>
                <c:pt idx="2">
                  <c:v>214.40587353497506</c:v>
                </c:pt>
                <c:pt idx="3">
                  <c:v>215.12382311493604</c:v>
                </c:pt>
                <c:pt idx="4">
                  <c:v>213.80410231490472</c:v>
                </c:pt>
                <c:pt idx="5">
                  <c:v>215.94100925735776</c:v>
                </c:pt>
                <c:pt idx="6">
                  <c:v>220.32531993034758</c:v>
                </c:pt>
                <c:pt idx="7">
                  <c:v>219.46678732823509</c:v>
                </c:pt>
                <c:pt idx="8">
                  <c:v>217.08981880447047</c:v>
                </c:pt>
                <c:pt idx="9">
                  <c:v>221.54588354887389</c:v>
                </c:pt>
                <c:pt idx="10">
                  <c:v>221.89996499229832</c:v>
                </c:pt>
                <c:pt idx="11">
                  <c:v>220.40375489163387</c:v>
                </c:pt>
                <c:pt idx="12">
                  <c:v>219.96495520996712</c:v>
                </c:pt>
                <c:pt idx="13">
                  <c:v>213.20329917668528</c:v>
                </c:pt>
                <c:pt idx="14">
                  <c:v>216.15638909701858</c:v>
                </c:pt>
                <c:pt idx="15">
                  <c:v>214.93909771088516</c:v>
                </c:pt>
                <c:pt idx="16">
                  <c:v>206.01575000443376</c:v>
                </c:pt>
                <c:pt idx="17">
                  <c:v>206.5435527317546</c:v>
                </c:pt>
                <c:pt idx="18">
                  <c:v>200.99480673001739</c:v>
                </c:pt>
                <c:pt idx="19">
                  <c:v>196.60056767253459</c:v>
                </c:pt>
                <c:pt idx="20">
                  <c:v>198.2298813821117</c:v>
                </c:pt>
                <c:pt idx="21">
                  <c:v>197.30702879928683</c:v>
                </c:pt>
                <c:pt idx="22">
                  <c:v>200.3579834580971</c:v>
                </c:pt>
                <c:pt idx="23">
                  <c:v>210.42452310844018</c:v>
                </c:pt>
                <c:pt idx="24">
                  <c:v>201.27478827994113</c:v>
                </c:pt>
                <c:pt idx="25">
                  <c:v>193.03926925172229</c:v>
                </c:pt>
                <c:pt idx="26">
                  <c:v>192.90186852642282</c:v>
                </c:pt>
                <c:pt idx="27">
                  <c:v>198.74574018866005</c:v>
                </c:pt>
                <c:pt idx="28">
                  <c:v>195.69567516260619</c:v>
                </c:pt>
                <c:pt idx="29">
                  <c:v>198.24294360442352</c:v>
                </c:pt>
                <c:pt idx="30">
                  <c:v>196.25044979775555</c:v>
                </c:pt>
                <c:pt idx="31">
                  <c:v>192.24288197111653</c:v>
                </c:pt>
                <c:pt idx="32">
                  <c:v>186.89462054728224</c:v>
                </c:pt>
                <c:pt idx="33">
                  <c:v>190.27142188713401</c:v>
                </c:pt>
                <c:pt idx="34">
                  <c:v>194.89213211041294</c:v>
                </c:pt>
                <c:pt idx="35">
                  <c:v>196.14855469309489</c:v>
                </c:pt>
                <c:pt idx="36">
                  <c:v>190.5133385115482</c:v>
                </c:pt>
                <c:pt idx="37">
                  <c:v>195.1556980929696</c:v>
                </c:pt>
                <c:pt idx="38">
                  <c:v>197.75951969302511</c:v>
                </c:pt>
                <c:pt idx="39">
                  <c:v>201.68441565074704</c:v>
                </c:pt>
                <c:pt idx="40">
                  <c:v>200.02772989167968</c:v>
                </c:pt>
                <c:pt idx="41">
                  <c:v>203.62986721439174</c:v>
                </c:pt>
                <c:pt idx="42">
                  <c:v>200.41434782709706</c:v>
                </c:pt>
                <c:pt idx="43">
                  <c:v>202.00297593566938</c:v>
                </c:pt>
                <c:pt idx="44">
                  <c:v>208.88617487364556</c:v>
                </c:pt>
                <c:pt idx="45">
                  <c:v>215.77368605472142</c:v>
                </c:pt>
                <c:pt idx="46">
                  <c:v>212.40314927345273</c:v>
                </c:pt>
                <c:pt idx="47">
                  <c:v>211.42861148987282</c:v>
                </c:pt>
                <c:pt idx="48">
                  <c:v>218.80254133242579</c:v>
                </c:pt>
                <c:pt idx="49">
                  <c:v>221.8644189667809</c:v>
                </c:pt>
                <c:pt idx="50">
                  <c:v>227.45216527346039</c:v>
                </c:pt>
                <c:pt idx="51">
                  <c:v>223.2949442625667</c:v>
                </c:pt>
                <c:pt idx="52">
                  <c:v>212.8541223012239</c:v>
                </c:pt>
                <c:pt idx="53">
                  <c:v>209.04878390980508</c:v>
                </c:pt>
                <c:pt idx="54">
                  <c:v>209.93556171402878</c:v>
                </c:pt>
                <c:pt idx="55">
                  <c:v>205.6049898715799</c:v>
                </c:pt>
                <c:pt idx="56">
                  <c:v>208.02890889858537</c:v>
                </c:pt>
                <c:pt idx="57">
                  <c:v>208.26327526552527</c:v>
                </c:pt>
                <c:pt idx="58">
                  <c:v>210.8489286748256</c:v>
                </c:pt>
                <c:pt idx="59">
                  <c:v>212.82117500843975</c:v>
                </c:pt>
                <c:pt idx="60">
                  <c:v>212.41062161890724</c:v>
                </c:pt>
                <c:pt idx="61">
                  <c:v>209.19010710013541</c:v>
                </c:pt>
                <c:pt idx="62">
                  <c:v>208.94770921879766</c:v>
                </c:pt>
                <c:pt idx="63">
                  <c:v>211.59765167703299</c:v>
                </c:pt>
                <c:pt idx="64">
                  <c:v>217.38275474084321</c:v>
                </c:pt>
                <c:pt idx="65">
                  <c:v>213.93788816197019</c:v>
                </c:pt>
                <c:pt idx="66">
                  <c:v>218.26857239883677</c:v>
                </c:pt>
                <c:pt idx="67">
                  <c:v>217.47604494509284</c:v>
                </c:pt>
                <c:pt idx="68">
                  <c:v>220.97630697458803</c:v>
                </c:pt>
                <c:pt idx="69">
                  <c:v>215.92930465568938</c:v>
                </c:pt>
                <c:pt idx="70">
                  <c:v>217.19499549858202</c:v>
                </c:pt>
                <c:pt idx="71">
                  <c:v>220.97927136294777</c:v>
                </c:pt>
                <c:pt idx="72">
                  <c:v>224.75114008965403</c:v>
                </c:pt>
                <c:pt idx="73">
                  <c:v>232.15793894504088</c:v>
                </c:pt>
                <c:pt idx="74">
                  <c:v>238.95691085212644</c:v>
                </c:pt>
                <c:pt idx="75">
                  <c:v>238.35833505515347</c:v>
                </c:pt>
                <c:pt idx="76">
                  <c:v>234.06300275961618</c:v>
                </c:pt>
                <c:pt idx="77">
                  <c:v>244.88687664628816</c:v>
                </c:pt>
                <c:pt idx="78">
                  <c:v>242.59557866752345</c:v>
                </c:pt>
                <c:pt idx="79">
                  <c:v>251.08247548170783</c:v>
                </c:pt>
                <c:pt idx="80">
                  <c:v>247.69276771614085</c:v>
                </c:pt>
                <c:pt idx="81">
                  <c:v>260.49254792051562</c:v>
                </c:pt>
                <c:pt idx="82">
                  <c:v>249.08216387972169</c:v>
                </c:pt>
                <c:pt idx="83">
                  <c:v>243.75022950484998</c:v>
                </c:pt>
                <c:pt idx="84">
                  <c:v>241.10065583412788</c:v>
                </c:pt>
                <c:pt idx="85">
                  <c:v>244.22617795498385</c:v>
                </c:pt>
                <c:pt idx="86">
                  <c:v>247.29843469094246</c:v>
                </c:pt>
                <c:pt idx="87">
                  <c:v>249.78836535769304</c:v>
                </c:pt>
                <c:pt idx="88">
                  <c:v>245.9905541204273</c:v>
                </c:pt>
                <c:pt idx="89">
                  <c:v>241.41755008285065</c:v>
                </c:pt>
                <c:pt idx="90">
                  <c:v>243.65870494713883</c:v>
                </c:pt>
                <c:pt idx="91">
                  <c:v>247.51969944264812</c:v>
                </c:pt>
                <c:pt idx="92">
                  <c:v>247.37789710866838</c:v>
                </c:pt>
                <c:pt idx="93">
                  <c:v>253.91623402466681</c:v>
                </c:pt>
                <c:pt idx="94">
                  <c:v>250.6888374164528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8474-FA46-A0A9-E06E8EA2867F}"/>
            </c:ext>
          </c:extLst>
        </c:ser>
        <c:ser>
          <c:idx val="45"/>
          <c:order val="45"/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'Q6'!$E$47:$CU$47</c:f>
              <c:numCache>
                <c:formatCode>General</c:formatCode>
                <c:ptCount val="95"/>
                <c:pt idx="0">
                  <c:v>222.13</c:v>
                </c:pt>
                <c:pt idx="1">
                  <c:v>222.55649383034228</c:v>
                </c:pt>
                <c:pt idx="2">
                  <c:v>221.19859603685859</c:v>
                </c:pt>
                <c:pt idx="3">
                  <c:v>221.48892429806696</c:v>
                </c:pt>
                <c:pt idx="4">
                  <c:v>210.76510732314463</c:v>
                </c:pt>
                <c:pt idx="5">
                  <c:v>217.07760772514652</c:v>
                </c:pt>
                <c:pt idx="6">
                  <c:v>215.8731585234861</c:v>
                </c:pt>
                <c:pt idx="7">
                  <c:v>217.23253668072226</c:v>
                </c:pt>
                <c:pt idx="8">
                  <c:v>218.79268609841526</c:v>
                </c:pt>
                <c:pt idx="9">
                  <c:v>219.66770650118116</c:v>
                </c:pt>
                <c:pt idx="10">
                  <c:v>217.9460026236618</c:v>
                </c:pt>
                <c:pt idx="11">
                  <c:v>220.03424728552616</c:v>
                </c:pt>
                <c:pt idx="12">
                  <c:v>219.17619879272303</c:v>
                </c:pt>
                <c:pt idx="13">
                  <c:v>207.96336489889867</c:v>
                </c:pt>
                <c:pt idx="14">
                  <c:v>204.59082709467665</c:v>
                </c:pt>
                <c:pt idx="15">
                  <c:v>204.35532821335696</c:v>
                </c:pt>
                <c:pt idx="16">
                  <c:v>205.55993521848666</c:v>
                </c:pt>
                <c:pt idx="17">
                  <c:v>205.39377074824003</c:v>
                </c:pt>
                <c:pt idx="18">
                  <c:v>203.66173430644142</c:v>
                </c:pt>
                <c:pt idx="19">
                  <c:v>204.75855490778807</c:v>
                </c:pt>
                <c:pt idx="20">
                  <c:v>201.48702337803576</c:v>
                </c:pt>
                <c:pt idx="21">
                  <c:v>196.64763034402461</c:v>
                </c:pt>
                <c:pt idx="22">
                  <c:v>198.043182129298</c:v>
                </c:pt>
                <c:pt idx="23">
                  <c:v>200.2535747073895</c:v>
                </c:pt>
                <c:pt idx="24">
                  <c:v>198.41093871727742</c:v>
                </c:pt>
                <c:pt idx="25">
                  <c:v>198.54668488977356</c:v>
                </c:pt>
                <c:pt idx="26">
                  <c:v>192.78465937467084</c:v>
                </c:pt>
                <c:pt idx="27">
                  <c:v>191.09573263070874</c:v>
                </c:pt>
                <c:pt idx="28">
                  <c:v>192.94150753684923</c:v>
                </c:pt>
                <c:pt idx="29">
                  <c:v>203.19067791615544</c:v>
                </c:pt>
                <c:pt idx="30">
                  <c:v>204.34209788974869</c:v>
                </c:pt>
                <c:pt idx="31">
                  <c:v>199.69211095354362</c:v>
                </c:pt>
                <c:pt idx="32">
                  <c:v>198.26355539515203</c:v>
                </c:pt>
                <c:pt idx="33">
                  <c:v>191.44604794362581</c:v>
                </c:pt>
                <c:pt idx="34">
                  <c:v>187.8012396223659</c:v>
                </c:pt>
                <c:pt idx="35">
                  <c:v>190.50895822277397</c:v>
                </c:pt>
                <c:pt idx="36">
                  <c:v>187.18558168673937</c:v>
                </c:pt>
                <c:pt idx="37">
                  <c:v>189.54116651109968</c:v>
                </c:pt>
                <c:pt idx="38">
                  <c:v>189.49372601299586</c:v>
                </c:pt>
                <c:pt idx="39">
                  <c:v>186.43482005640439</c:v>
                </c:pt>
                <c:pt idx="40">
                  <c:v>185.11506712206725</c:v>
                </c:pt>
                <c:pt idx="41">
                  <c:v>183.28462023439758</c:v>
                </c:pt>
                <c:pt idx="42">
                  <c:v>180.42402909627378</c:v>
                </c:pt>
                <c:pt idx="43">
                  <c:v>173.04351316047598</c:v>
                </c:pt>
                <c:pt idx="44">
                  <c:v>183.68641299039007</c:v>
                </c:pt>
                <c:pt idx="45">
                  <c:v>182.18209879395116</c:v>
                </c:pt>
                <c:pt idx="46">
                  <c:v>178.47763163397093</c:v>
                </c:pt>
                <c:pt idx="47">
                  <c:v>181.08009428721721</c:v>
                </c:pt>
                <c:pt idx="48">
                  <c:v>188.06187581228895</c:v>
                </c:pt>
                <c:pt idx="49">
                  <c:v>191.7190134788265</c:v>
                </c:pt>
                <c:pt idx="50">
                  <c:v>178.64223087440345</c:v>
                </c:pt>
                <c:pt idx="51">
                  <c:v>173.94676952462478</c:v>
                </c:pt>
                <c:pt idx="52">
                  <c:v>171.82292010020598</c:v>
                </c:pt>
                <c:pt idx="53">
                  <c:v>174.66317443972596</c:v>
                </c:pt>
                <c:pt idx="54">
                  <c:v>175.86888566445361</c:v>
                </c:pt>
                <c:pt idx="55">
                  <c:v>174.26222958982893</c:v>
                </c:pt>
                <c:pt idx="56">
                  <c:v>175.44477975944841</c:v>
                </c:pt>
                <c:pt idx="57">
                  <c:v>177.82641332704884</c:v>
                </c:pt>
                <c:pt idx="58">
                  <c:v>174.62741450830916</c:v>
                </c:pt>
                <c:pt idx="59">
                  <c:v>177.24952163458727</c:v>
                </c:pt>
                <c:pt idx="60">
                  <c:v>182.7867450944554</c:v>
                </c:pt>
                <c:pt idx="61">
                  <c:v>180.60818516141526</c:v>
                </c:pt>
                <c:pt idx="62">
                  <c:v>179.61070629559066</c:v>
                </c:pt>
                <c:pt idx="63">
                  <c:v>186.95035288706802</c:v>
                </c:pt>
                <c:pt idx="64">
                  <c:v>195.36228169310169</c:v>
                </c:pt>
                <c:pt idx="65">
                  <c:v>195.09668589850921</c:v>
                </c:pt>
                <c:pt idx="66">
                  <c:v>185.49048227948367</c:v>
                </c:pt>
                <c:pt idx="67">
                  <c:v>184.96206725462025</c:v>
                </c:pt>
                <c:pt idx="68">
                  <c:v>191.56698414610582</c:v>
                </c:pt>
                <c:pt idx="69">
                  <c:v>203.4581096711245</c:v>
                </c:pt>
                <c:pt idx="70">
                  <c:v>202.51603171977058</c:v>
                </c:pt>
                <c:pt idx="71">
                  <c:v>199.58824746706435</c:v>
                </c:pt>
                <c:pt idx="72">
                  <c:v>189.30999115355834</c:v>
                </c:pt>
                <c:pt idx="73">
                  <c:v>186.4914981404948</c:v>
                </c:pt>
                <c:pt idx="74">
                  <c:v>186.85433712285851</c:v>
                </c:pt>
                <c:pt idx="75">
                  <c:v>186.23246182184144</c:v>
                </c:pt>
                <c:pt idx="76">
                  <c:v>186.42294882698923</c:v>
                </c:pt>
                <c:pt idx="77">
                  <c:v>183.50830193494167</c:v>
                </c:pt>
                <c:pt idx="78">
                  <c:v>183.35738030121746</c:v>
                </c:pt>
                <c:pt idx="79">
                  <c:v>183.46313170555328</c:v>
                </c:pt>
                <c:pt idx="80">
                  <c:v>185.54151054787692</c:v>
                </c:pt>
                <c:pt idx="81">
                  <c:v>181.33008018950457</c:v>
                </c:pt>
                <c:pt idx="82">
                  <c:v>181.79400954027955</c:v>
                </c:pt>
                <c:pt idx="83">
                  <c:v>190.29819279396315</c:v>
                </c:pt>
                <c:pt idx="84">
                  <c:v>195.44726056395473</c:v>
                </c:pt>
                <c:pt idx="85">
                  <c:v>196.61539052277072</c:v>
                </c:pt>
                <c:pt idx="86">
                  <c:v>198.38317999495294</c:v>
                </c:pt>
                <c:pt idx="87">
                  <c:v>210.37705498242443</c:v>
                </c:pt>
                <c:pt idx="88">
                  <c:v>215.69912561547807</c:v>
                </c:pt>
                <c:pt idx="89">
                  <c:v>214.56736341764579</c:v>
                </c:pt>
                <c:pt idx="90">
                  <c:v>217.37417216041462</c:v>
                </c:pt>
                <c:pt idx="91">
                  <c:v>209.03766736334612</c:v>
                </c:pt>
                <c:pt idx="92">
                  <c:v>219.26775362816667</c:v>
                </c:pt>
                <c:pt idx="93">
                  <c:v>215.45098075197095</c:v>
                </c:pt>
                <c:pt idx="94">
                  <c:v>212.89976028471446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8474-FA46-A0A9-E06E8EA2867F}"/>
            </c:ext>
          </c:extLst>
        </c:ser>
        <c:ser>
          <c:idx val="46"/>
          <c:order val="46"/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'Q6'!$E$48:$CU$48</c:f>
              <c:numCache>
                <c:formatCode>General</c:formatCode>
                <c:ptCount val="95"/>
                <c:pt idx="0">
                  <c:v>222.13</c:v>
                </c:pt>
                <c:pt idx="1">
                  <c:v>216.78444523864781</c:v>
                </c:pt>
                <c:pt idx="2">
                  <c:v>211.03506514046447</c:v>
                </c:pt>
                <c:pt idx="3">
                  <c:v>209.20843330529061</c:v>
                </c:pt>
                <c:pt idx="4">
                  <c:v>211.30635803106708</c:v>
                </c:pt>
                <c:pt idx="5">
                  <c:v>212.15976014010741</c:v>
                </c:pt>
                <c:pt idx="6">
                  <c:v>220.46106236960051</c:v>
                </c:pt>
                <c:pt idx="7">
                  <c:v>221.677029845313</c:v>
                </c:pt>
                <c:pt idx="8">
                  <c:v>226.83504422590977</c:v>
                </c:pt>
                <c:pt idx="9">
                  <c:v>217.13062291963814</c:v>
                </c:pt>
                <c:pt idx="10">
                  <c:v>216.57717715344265</c:v>
                </c:pt>
                <c:pt idx="11">
                  <c:v>212.56391924364323</c:v>
                </c:pt>
                <c:pt idx="12">
                  <c:v>209.98715046598201</c:v>
                </c:pt>
                <c:pt idx="13">
                  <c:v>209.78498134203031</c:v>
                </c:pt>
                <c:pt idx="14">
                  <c:v>210.21906393967123</c:v>
                </c:pt>
                <c:pt idx="15">
                  <c:v>213.79740864453524</c:v>
                </c:pt>
                <c:pt idx="16">
                  <c:v>222.72549857843043</c:v>
                </c:pt>
                <c:pt idx="17">
                  <c:v>215.91332072254545</c:v>
                </c:pt>
                <c:pt idx="18">
                  <c:v>218.53928096175972</c:v>
                </c:pt>
                <c:pt idx="19">
                  <c:v>222.742214258015</c:v>
                </c:pt>
                <c:pt idx="20">
                  <c:v>221.88299696348233</c:v>
                </c:pt>
                <c:pt idx="21">
                  <c:v>212.10068659488567</c:v>
                </c:pt>
                <c:pt idx="22">
                  <c:v>216.15790558037151</c:v>
                </c:pt>
                <c:pt idx="23">
                  <c:v>220.80682700642058</c:v>
                </c:pt>
                <c:pt idx="24">
                  <c:v>221.65796057356627</c:v>
                </c:pt>
                <c:pt idx="25">
                  <c:v>225.89761107962386</c:v>
                </c:pt>
                <c:pt idx="26">
                  <c:v>227.22781226892906</c:v>
                </c:pt>
                <c:pt idx="27">
                  <c:v>220.63346201943725</c:v>
                </c:pt>
                <c:pt idx="28">
                  <c:v>223.69695424254422</c:v>
                </c:pt>
                <c:pt idx="29">
                  <c:v>224.14462855814489</c:v>
                </c:pt>
                <c:pt idx="30">
                  <c:v>231.06581269423714</c:v>
                </c:pt>
                <c:pt idx="31">
                  <c:v>235.25516049003079</c:v>
                </c:pt>
                <c:pt idx="32">
                  <c:v>248.06393030777303</c:v>
                </c:pt>
                <c:pt idx="33">
                  <c:v>256.95775905780619</c:v>
                </c:pt>
                <c:pt idx="34">
                  <c:v>256.34674002352199</c:v>
                </c:pt>
                <c:pt idx="35">
                  <c:v>247.93782444676216</c:v>
                </c:pt>
                <c:pt idx="36">
                  <c:v>252.62900281192873</c:v>
                </c:pt>
                <c:pt idx="37">
                  <c:v>257.26125281357974</c:v>
                </c:pt>
                <c:pt idx="38">
                  <c:v>259.43896593453542</c:v>
                </c:pt>
                <c:pt idx="39">
                  <c:v>250.50883401549461</c:v>
                </c:pt>
                <c:pt idx="40">
                  <c:v>245.61263102483323</c:v>
                </c:pt>
                <c:pt idx="41">
                  <c:v>244.55475286587634</c:v>
                </c:pt>
                <c:pt idx="42">
                  <c:v>241.05072972996666</c:v>
                </c:pt>
                <c:pt idx="43">
                  <c:v>244.14203160522402</c:v>
                </c:pt>
                <c:pt idx="44">
                  <c:v>242.20385241803712</c:v>
                </c:pt>
                <c:pt idx="45">
                  <c:v>251.579958118669</c:v>
                </c:pt>
                <c:pt idx="46">
                  <c:v>253.8565237405144</c:v>
                </c:pt>
                <c:pt idx="47">
                  <c:v>250.5986493359444</c:v>
                </c:pt>
                <c:pt idx="48">
                  <c:v>245.05131434810539</c:v>
                </c:pt>
                <c:pt idx="49">
                  <c:v>240.2023907516047</c:v>
                </c:pt>
                <c:pt idx="50">
                  <c:v>238.94707034850578</c:v>
                </c:pt>
                <c:pt idx="51">
                  <c:v>227.24748340883832</c:v>
                </c:pt>
                <c:pt idx="52">
                  <c:v>219.36531547779819</c:v>
                </c:pt>
                <c:pt idx="53">
                  <c:v>220.2565855300634</c:v>
                </c:pt>
                <c:pt idx="54">
                  <c:v>222.56901415421709</c:v>
                </c:pt>
                <c:pt idx="55">
                  <c:v>232.51284315574921</c:v>
                </c:pt>
                <c:pt idx="56">
                  <c:v>241.77623499505535</c:v>
                </c:pt>
                <c:pt idx="57">
                  <c:v>244.25074827547789</c:v>
                </c:pt>
                <c:pt idx="58">
                  <c:v>241.32457895576849</c:v>
                </c:pt>
                <c:pt idx="59">
                  <c:v>234.42054207471304</c:v>
                </c:pt>
                <c:pt idx="60">
                  <c:v>235.95405705021682</c:v>
                </c:pt>
                <c:pt idx="61">
                  <c:v>243.33779565284613</c:v>
                </c:pt>
                <c:pt idx="62">
                  <c:v>249.65355327366476</c:v>
                </c:pt>
                <c:pt idx="63">
                  <c:v>240.2774577268608</c:v>
                </c:pt>
                <c:pt idx="64">
                  <c:v>242.24540499188703</c:v>
                </c:pt>
                <c:pt idx="65">
                  <c:v>234.85147017802086</c:v>
                </c:pt>
                <c:pt idx="66">
                  <c:v>241.42385977500635</c:v>
                </c:pt>
                <c:pt idx="67">
                  <c:v>239.00459204177207</c:v>
                </c:pt>
                <c:pt idx="68">
                  <c:v>235.67205811648861</c:v>
                </c:pt>
                <c:pt idx="69">
                  <c:v>231.37950796701861</c:v>
                </c:pt>
                <c:pt idx="70">
                  <c:v>229.86444892707397</c:v>
                </c:pt>
                <c:pt idx="71">
                  <c:v>227.07330820229788</c:v>
                </c:pt>
                <c:pt idx="72">
                  <c:v>227.74243498111187</c:v>
                </c:pt>
                <c:pt idx="73">
                  <c:v>232.60462847398716</c:v>
                </c:pt>
                <c:pt idx="74">
                  <c:v>228.32028302958685</c:v>
                </c:pt>
                <c:pt idx="75">
                  <c:v>232.31394323336937</c:v>
                </c:pt>
                <c:pt idx="76">
                  <c:v>219.79467615303673</c:v>
                </c:pt>
                <c:pt idx="77">
                  <c:v>212.57121889405633</c:v>
                </c:pt>
                <c:pt idx="78">
                  <c:v>215.28668026069059</c:v>
                </c:pt>
                <c:pt idx="79">
                  <c:v>215.80137782203343</c:v>
                </c:pt>
                <c:pt idx="80">
                  <c:v>220.42389577445766</c:v>
                </c:pt>
                <c:pt idx="81">
                  <c:v>220.96754960814656</c:v>
                </c:pt>
                <c:pt idx="82">
                  <c:v>226.82232109758954</c:v>
                </c:pt>
                <c:pt idx="83">
                  <c:v>228.71561202962414</c:v>
                </c:pt>
                <c:pt idx="84">
                  <c:v>229.50776279340147</c:v>
                </c:pt>
                <c:pt idx="85">
                  <c:v>226.15134660161002</c:v>
                </c:pt>
                <c:pt idx="86">
                  <c:v>225.19922636555069</c:v>
                </c:pt>
                <c:pt idx="87">
                  <c:v>225.08162721950123</c:v>
                </c:pt>
                <c:pt idx="88">
                  <c:v>233.38501784269775</c:v>
                </c:pt>
                <c:pt idx="89">
                  <c:v>241.34516812989347</c:v>
                </c:pt>
                <c:pt idx="90">
                  <c:v>239.17212043842358</c:v>
                </c:pt>
                <c:pt idx="91">
                  <c:v>233.00080946904308</c:v>
                </c:pt>
                <c:pt idx="92">
                  <c:v>233.16700314447809</c:v>
                </c:pt>
                <c:pt idx="93">
                  <c:v>227.14481538385718</c:v>
                </c:pt>
                <c:pt idx="94">
                  <c:v>241.70220299126262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8474-FA46-A0A9-E06E8EA2867F}"/>
            </c:ext>
          </c:extLst>
        </c:ser>
        <c:ser>
          <c:idx val="47"/>
          <c:order val="47"/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'Q6'!$E$49:$CU$49</c:f>
              <c:numCache>
                <c:formatCode>General</c:formatCode>
                <c:ptCount val="95"/>
                <c:pt idx="0">
                  <c:v>222.13</c:v>
                </c:pt>
                <c:pt idx="1">
                  <c:v>215.55118615880096</c:v>
                </c:pt>
                <c:pt idx="2">
                  <c:v>210.94089716514222</c:v>
                </c:pt>
                <c:pt idx="3">
                  <c:v>207.91970906421082</c:v>
                </c:pt>
                <c:pt idx="4">
                  <c:v>202.92015040605105</c:v>
                </c:pt>
                <c:pt idx="5">
                  <c:v>209.18086976914157</c:v>
                </c:pt>
                <c:pt idx="6">
                  <c:v>216.43865544372969</c:v>
                </c:pt>
                <c:pt idx="7">
                  <c:v>216.81376570376676</c:v>
                </c:pt>
                <c:pt idx="8">
                  <c:v>213.21008588941163</c:v>
                </c:pt>
                <c:pt idx="9">
                  <c:v>209.47394392507158</c:v>
                </c:pt>
                <c:pt idx="10">
                  <c:v>213.93698079450053</c:v>
                </c:pt>
                <c:pt idx="11">
                  <c:v>206.89478264335963</c:v>
                </c:pt>
                <c:pt idx="12">
                  <c:v>204.39128582479916</c:v>
                </c:pt>
                <c:pt idx="13">
                  <c:v>202.16637545801424</c:v>
                </c:pt>
                <c:pt idx="14">
                  <c:v>207.76717347911105</c:v>
                </c:pt>
                <c:pt idx="15">
                  <c:v>212.74894042532483</c:v>
                </c:pt>
                <c:pt idx="16">
                  <c:v>210.46861906709211</c:v>
                </c:pt>
                <c:pt idx="17">
                  <c:v>208.69932059349046</c:v>
                </c:pt>
                <c:pt idx="18">
                  <c:v>206.51309496682939</c:v>
                </c:pt>
                <c:pt idx="19">
                  <c:v>207.08096889553261</c:v>
                </c:pt>
                <c:pt idx="20">
                  <c:v>206.46127102679074</c:v>
                </c:pt>
                <c:pt idx="21">
                  <c:v>209.18766721619241</c:v>
                </c:pt>
                <c:pt idx="22">
                  <c:v>207.63647600478015</c:v>
                </c:pt>
                <c:pt idx="23">
                  <c:v>210.26082599101088</c:v>
                </c:pt>
                <c:pt idx="24">
                  <c:v>222.4653247519621</c:v>
                </c:pt>
                <c:pt idx="25">
                  <c:v>228.36073418941746</c:v>
                </c:pt>
                <c:pt idx="26">
                  <c:v>221.33613937521639</c:v>
                </c:pt>
                <c:pt idx="27">
                  <c:v>225.63012172265627</c:v>
                </c:pt>
                <c:pt idx="28">
                  <c:v>227.29662710588121</c:v>
                </c:pt>
                <c:pt idx="29">
                  <c:v>214.82565775130473</c:v>
                </c:pt>
                <c:pt idx="30">
                  <c:v>218.95379904498358</c:v>
                </c:pt>
                <c:pt idx="31">
                  <c:v>226.59506850085677</c:v>
                </c:pt>
                <c:pt idx="32">
                  <c:v>220.89725343680794</c:v>
                </c:pt>
                <c:pt idx="33">
                  <c:v>221.67648569071045</c:v>
                </c:pt>
                <c:pt idx="34">
                  <c:v>217.44956591400609</c:v>
                </c:pt>
                <c:pt idx="35">
                  <c:v>219.59644190841314</c:v>
                </c:pt>
                <c:pt idx="36">
                  <c:v>214.68058586122132</c:v>
                </c:pt>
                <c:pt idx="37">
                  <c:v>208.44962731162025</c:v>
                </c:pt>
                <c:pt idx="38">
                  <c:v>209.66804495198406</c:v>
                </c:pt>
                <c:pt idx="39">
                  <c:v>207.66330124546258</c:v>
                </c:pt>
                <c:pt idx="40">
                  <c:v>207.07805304868614</c:v>
                </c:pt>
                <c:pt idx="41">
                  <c:v>214.35088421005017</c:v>
                </c:pt>
                <c:pt idx="42">
                  <c:v>208.9558161966666</c:v>
                </c:pt>
                <c:pt idx="43">
                  <c:v>209.93139035529609</c:v>
                </c:pt>
                <c:pt idx="44">
                  <c:v>219.32134820761254</c:v>
                </c:pt>
                <c:pt idx="45">
                  <c:v>227.68787313469454</c:v>
                </c:pt>
                <c:pt idx="46">
                  <c:v>221.64147374623215</c:v>
                </c:pt>
                <c:pt idx="47">
                  <c:v>224.11023219896225</c:v>
                </c:pt>
                <c:pt idx="48">
                  <c:v>222.65049081884882</c:v>
                </c:pt>
                <c:pt idx="49">
                  <c:v>226.93210476204888</c:v>
                </c:pt>
                <c:pt idx="50">
                  <c:v>224.22095674897685</c:v>
                </c:pt>
                <c:pt idx="51">
                  <c:v>223.81826757220335</c:v>
                </c:pt>
                <c:pt idx="52">
                  <c:v>227.9266262784657</c:v>
                </c:pt>
                <c:pt idx="53">
                  <c:v>223.83875078751427</c:v>
                </c:pt>
                <c:pt idx="54">
                  <c:v>227.87908632043784</c:v>
                </c:pt>
                <c:pt idx="55">
                  <c:v>213.56326594398067</c:v>
                </c:pt>
                <c:pt idx="56">
                  <c:v>219.44158470848083</c:v>
                </c:pt>
                <c:pt idx="57">
                  <c:v>217.7695925780595</c:v>
                </c:pt>
                <c:pt idx="58">
                  <c:v>220.08277184690624</c:v>
                </c:pt>
                <c:pt idx="59">
                  <c:v>224.73287698005217</c:v>
                </c:pt>
                <c:pt idx="60">
                  <c:v>210.85750417121716</c:v>
                </c:pt>
                <c:pt idx="61">
                  <c:v>215.11073761076412</c:v>
                </c:pt>
                <c:pt idx="62">
                  <c:v>215.66221379376415</c:v>
                </c:pt>
                <c:pt idx="63">
                  <c:v>217.42898157888928</c:v>
                </c:pt>
                <c:pt idx="64">
                  <c:v>210.10974297752585</c:v>
                </c:pt>
                <c:pt idx="65">
                  <c:v>206.97094170642791</c:v>
                </c:pt>
                <c:pt idx="66">
                  <c:v>205.85902739047819</c:v>
                </c:pt>
                <c:pt idx="67">
                  <c:v>205.71005264200812</c:v>
                </c:pt>
                <c:pt idx="68">
                  <c:v>202.96292309215161</c:v>
                </c:pt>
                <c:pt idx="69">
                  <c:v>205.36760358002883</c:v>
                </c:pt>
                <c:pt idx="70">
                  <c:v>203.86625050672086</c:v>
                </c:pt>
                <c:pt idx="71">
                  <c:v>204.18263884969161</c:v>
                </c:pt>
                <c:pt idx="72">
                  <c:v>212.213225803782</c:v>
                </c:pt>
                <c:pt idx="73">
                  <c:v>203.95798053153953</c:v>
                </c:pt>
                <c:pt idx="74">
                  <c:v>195.04135720146863</c:v>
                </c:pt>
                <c:pt idx="75">
                  <c:v>192.82697357614884</c:v>
                </c:pt>
                <c:pt idx="76">
                  <c:v>193.64435574430601</c:v>
                </c:pt>
                <c:pt idx="77">
                  <c:v>190.56074059496015</c:v>
                </c:pt>
                <c:pt idx="78">
                  <c:v>185.07655342976139</c:v>
                </c:pt>
                <c:pt idx="79">
                  <c:v>190.54482790136379</c:v>
                </c:pt>
                <c:pt idx="80">
                  <c:v>189.73783290359509</c:v>
                </c:pt>
                <c:pt idx="81">
                  <c:v>193.93742651487574</c:v>
                </c:pt>
                <c:pt idx="82">
                  <c:v>186.936335474608</c:v>
                </c:pt>
                <c:pt idx="83">
                  <c:v>191.71253169122926</c:v>
                </c:pt>
                <c:pt idx="84">
                  <c:v>191.78742689475692</c:v>
                </c:pt>
                <c:pt idx="85">
                  <c:v>196.69237274504667</c:v>
                </c:pt>
                <c:pt idx="86">
                  <c:v>195.1606163422702</c:v>
                </c:pt>
                <c:pt idx="87">
                  <c:v>198.23679168395924</c:v>
                </c:pt>
                <c:pt idx="88">
                  <c:v>197.29613579002651</c:v>
                </c:pt>
                <c:pt idx="89">
                  <c:v>202.59515213385606</c:v>
                </c:pt>
                <c:pt idx="90">
                  <c:v>198.07287714067755</c:v>
                </c:pt>
                <c:pt idx="91">
                  <c:v>193.32913976251325</c:v>
                </c:pt>
                <c:pt idx="92">
                  <c:v>198.64538885065483</c:v>
                </c:pt>
                <c:pt idx="93">
                  <c:v>202.12310662047568</c:v>
                </c:pt>
                <c:pt idx="94">
                  <c:v>200.79236851590454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8474-FA46-A0A9-E06E8EA2867F}"/>
            </c:ext>
          </c:extLst>
        </c:ser>
        <c:ser>
          <c:idx val="48"/>
          <c:order val="48"/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'Q6'!$E$50:$CU$50</c:f>
              <c:numCache>
                <c:formatCode>General</c:formatCode>
                <c:ptCount val="95"/>
                <c:pt idx="0">
                  <c:v>222.13</c:v>
                </c:pt>
                <c:pt idx="1">
                  <c:v>230.78520231681227</c:v>
                </c:pt>
                <c:pt idx="2">
                  <c:v>230.61932272205749</c:v>
                </c:pt>
                <c:pt idx="3">
                  <c:v>228.4304056172995</c:v>
                </c:pt>
                <c:pt idx="4">
                  <c:v>229.41432239734564</c:v>
                </c:pt>
                <c:pt idx="5">
                  <c:v>217.55700595537249</c:v>
                </c:pt>
                <c:pt idx="6">
                  <c:v>225.85097159743427</c:v>
                </c:pt>
                <c:pt idx="7">
                  <c:v>234.46340648316175</c:v>
                </c:pt>
                <c:pt idx="8">
                  <c:v>228.07596153810147</c:v>
                </c:pt>
                <c:pt idx="9">
                  <c:v>225.55147867636481</c:v>
                </c:pt>
                <c:pt idx="10">
                  <c:v>217.27551017108152</c:v>
                </c:pt>
                <c:pt idx="11">
                  <c:v>217.88953181416113</c:v>
                </c:pt>
                <c:pt idx="12">
                  <c:v>215.35503024009583</c:v>
                </c:pt>
                <c:pt idx="13">
                  <c:v>206.40917719985507</c:v>
                </c:pt>
                <c:pt idx="14">
                  <c:v>208.53941187172424</c:v>
                </c:pt>
                <c:pt idx="15">
                  <c:v>209.99090831328056</c:v>
                </c:pt>
                <c:pt idx="16">
                  <c:v>210.34848114873932</c:v>
                </c:pt>
                <c:pt idx="17">
                  <c:v>210.11694851323458</c:v>
                </c:pt>
                <c:pt idx="18">
                  <c:v>206.19580088671765</c:v>
                </c:pt>
                <c:pt idx="19">
                  <c:v>211.80095804639134</c:v>
                </c:pt>
                <c:pt idx="20">
                  <c:v>208.73890490382831</c:v>
                </c:pt>
                <c:pt idx="21">
                  <c:v>199.08529097910042</c:v>
                </c:pt>
                <c:pt idx="22">
                  <c:v>196.72614353380558</c:v>
                </c:pt>
                <c:pt idx="23">
                  <c:v>199.77455208275788</c:v>
                </c:pt>
                <c:pt idx="24">
                  <c:v>194.94561222871161</c:v>
                </c:pt>
                <c:pt idx="25">
                  <c:v>199.6675379222755</c:v>
                </c:pt>
                <c:pt idx="26">
                  <c:v>200.22985541359029</c:v>
                </c:pt>
                <c:pt idx="27">
                  <c:v>197.92048240512898</c:v>
                </c:pt>
                <c:pt idx="28">
                  <c:v>194.73349208339098</c:v>
                </c:pt>
                <c:pt idx="29">
                  <c:v>194.25472759862475</c:v>
                </c:pt>
                <c:pt idx="30">
                  <c:v>191.01907393574359</c:v>
                </c:pt>
                <c:pt idx="31">
                  <c:v>192.67513307648801</c:v>
                </c:pt>
                <c:pt idx="32">
                  <c:v>189.25207294022815</c:v>
                </c:pt>
                <c:pt idx="33">
                  <c:v>187.72053934456517</c:v>
                </c:pt>
                <c:pt idx="34">
                  <c:v>193.90872709947703</c:v>
                </c:pt>
                <c:pt idx="35">
                  <c:v>198.160848371886</c:v>
                </c:pt>
                <c:pt idx="36">
                  <c:v>203.92312729773019</c:v>
                </c:pt>
                <c:pt idx="37">
                  <c:v>200.14982258118437</c:v>
                </c:pt>
                <c:pt idx="38">
                  <c:v>196.51655612241535</c:v>
                </c:pt>
                <c:pt idx="39">
                  <c:v>197.51266626687874</c:v>
                </c:pt>
                <c:pt idx="40">
                  <c:v>194.56321565773257</c:v>
                </c:pt>
                <c:pt idx="41">
                  <c:v>196.26093887474474</c:v>
                </c:pt>
                <c:pt idx="42">
                  <c:v>197.3108990760698</c:v>
                </c:pt>
                <c:pt idx="43">
                  <c:v>199.17679861868578</c:v>
                </c:pt>
                <c:pt idx="44">
                  <c:v>192.77393225143595</c:v>
                </c:pt>
                <c:pt idx="45">
                  <c:v>194.33245228143699</c:v>
                </c:pt>
                <c:pt idx="46">
                  <c:v>194.010326313479</c:v>
                </c:pt>
                <c:pt idx="47">
                  <c:v>197.32030586489745</c:v>
                </c:pt>
                <c:pt idx="48">
                  <c:v>195.28265759803784</c:v>
                </c:pt>
                <c:pt idx="49">
                  <c:v>185.43696982825495</c:v>
                </c:pt>
                <c:pt idx="50">
                  <c:v>189.28547923877875</c:v>
                </c:pt>
                <c:pt idx="51">
                  <c:v>183.94913726508983</c:v>
                </c:pt>
                <c:pt idx="52">
                  <c:v>183.42483206776197</c:v>
                </c:pt>
                <c:pt idx="53">
                  <c:v>191.46288277319033</c:v>
                </c:pt>
                <c:pt idx="54">
                  <c:v>192.40660073430283</c:v>
                </c:pt>
                <c:pt idx="55">
                  <c:v>198.26744889008896</c:v>
                </c:pt>
                <c:pt idx="56">
                  <c:v>195.37092368633822</c:v>
                </c:pt>
                <c:pt idx="57">
                  <c:v>196.51401320401717</c:v>
                </c:pt>
                <c:pt idx="58">
                  <c:v>194.72541529914517</c:v>
                </c:pt>
                <c:pt idx="59">
                  <c:v>197.38996345536336</c:v>
                </c:pt>
                <c:pt idx="60">
                  <c:v>199.44149450745221</c:v>
                </c:pt>
                <c:pt idx="61">
                  <c:v>201.29507674167843</c:v>
                </c:pt>
                <c:pt idx="62">
                  <c:v>194.96097794752376</c:v>
                </c:pt>
                <c:pt idx="63">
                  <c:v>194.97077196309368</c:v>
                </c:pt>
                <c:pt idx="64">
                  <c:v>196.62086439440608</c:v>
                </c:pt>
                <c:pt idx="65">
                  <c:v>197.0146870386867</c:v>
                </c:pt>
                <c:pt idx="66">
                  <c:v>198.11339729666031</c:v>
                </c:pt>
                <c:pt idx="67">
                  <c:v>196.21756673732025</c:v>
                </c:pt>
                <c:pt idx="68">
                  <c:v>192.84540265635098</c:v>
                </c:pt>
                <c:pt idx="69">
                  <c:v>197.2924385223786</c:v>
                </c:pt>
                <c:pt idx="70">
                  <c:v>191.54964342604424</c:v>
                </c:pt>
                <c:pt idx="71">
                  <c:v>187.58576337636634</c:v>
                </c:pt>
                <c:pt idx="72">
                  <c:v>180.747451500197</c:v>
                </c:pt>
                <c:pt idx="73">
                  <c:v>179.40740411730792</c:v>
                </c:pt>
                <c:pt idx="74">
                  <c:v>182.451753047907</c:v>
                </c:pt>
                <c:pt idx="75">
                  <c:v>182.12636416708744</c:v>
                </c:pt>
                <c:pt idx="76">
                  <c:v>180.2791249114604</c:v>
                </c:pt>
                <c:pt idx="77">
                  <c:v>180.04486585665001</c:v>
                </c:pt>
                <c:pt idx="78">
                  <c:v>184.37423186740915</c:v>
                </c:pt>
                <c:pt idx="79">
                  <c:v>180.04679706402001</c:v>
                </c:pt>
                <c:pt idx="80">
                  <c:v>181.99646671049769</c:v>
                </c:pt>
                <c:pt idx="81">
                  <c:v>182.42057845950021</c:v>
                </c:pt>
                <c:pt idx="82">
                  <c:v>175.3533837165912</c:v>
                </c:pt>
                <c:pt idx="83">
                  <c:v>173.0244464603262</c:v>
                </c:pt>
                <c:pt idx="84">
                  <c:v>173.05520245073689</c:v>
                </c:pt>
                <c:pt idx="85">
                  <c:v>171.92307034500107</c:v>
                </c:pt>
                <c:pt idx="86">
                  <c:v>173.43166983468899</c:v>
                </c:pt>
                <c:pt idx="87">
                  <c:v>178.26188569007749</c:v>
                </c:pt>
                <c:pt idx="88">
                  <c:v>181.45786937369729</c:v>
                </c:pt>
                <c:pt idx="89">
                  <c:v>182.70205689769094</c:v>
                </c:pt>
                <c:pt idx="90">
                  <c:v>186.66713997293118</c:v>
                </c:pt>
                <c:pt idx="91">
                  <c:v>195.86703193148838</c:v>
                </c:pt>
                <c:pt idx="92">
                  <c:v>195.88186884676048</c:v>
                </c:pt>
                <c:pt idx="93">
                  <c:v>185.71117618404776</c:v>
                </c:pt>
                <c:pt idx="94">
                  <c:v>191.08332093345507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8474-FA46-A0A9-E06E8EA2867F}"/>
            </c:ext>
          </c:extLst>
        </c:ser>
        <c:ser>
          <c:idx val="49"/>
          <c:order val="49"/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'Q6'!$E$51:$CU$51</c:f>
              <c:numCache>
                <c:formatCode>General</c:formatCode>
                <c:ptCount val="95"/>
                <c:pt idx="0">
                  <c:v>222.13</c:v>
                </c:pt>
                <c:pt idx="1">
                  <c:v>225.33514848053301</c:v>
                </c:pt>
                <c:pt idx="2">
                  <c:v>232.13084936509637</c:v>
                </c:pt>
                <c:pt idx="3">
                  <c:v>235.22286010701089</c:v>
                </c:pt>
                <c:pt idx="4">
                  <c:v>235.15765796825497</c:v>
                </c:pt>
                <c:pt idx="5">
                  <c:v>232.11836835345005</c:v>
                </c:pt>
                <c:pt idx="6">
                  <c:v>227.04649112513263</c:v>
                </c:pt>
                <c:pt idx="7">
                  <c:v>220.05300001523088</c:v>
                </c:pt>
                <c:pt idx="8">
                  <c:v>221.4639578916082</c:v>
                </c:pt>
                <c:pt idx="9">
                  <c:v>228.63250468052934</c:v>
                </c:pt>
                <c:pt idx="10">
                  <c:v>224.04409763522986</c:v>
                </c:pt>
                <c:pt idx="11">
                  <c:v>217.61848503511914</c:v>
                </c:pt>
                <c:pt idx="12">
                  <c:v>223.00446681296569</c:v>
                </c:pt>
                <c:pt idx="13">
                  <c:v>222.31227076698738</c:v>
                </c:pt>
                <c:pt idx="14">
                  <c:v>218.54771488694047</c:v>
                </c:pt>
                <c:pt idx="15">
                  <c:v>220.55045664063309</c:v>
                </c:pt>
                <c:pt idx="16">
                  <c:v>217.7157472975214</c:v>
                </c:pt>
                <c:pt idx="17">
                  <c:v>214.96613156774555</c:v>
                </c:pt>
                <c:pt idx="18">
                  <c:v>225.52332750401558</c:v>
                </c:pt>
                <c:pt idx="19">
                  <c:v>231.8011983844691</c:v>
                </c:pt>
                <c:pt idx="20">
                  <c:v>233.44196703540706</c:v>
                </c:pt>
                <c:pt idx="21">
                  <c:v>229.79422745354435</c:v>
                </c:pt>
                <c:pt idx="22">
                  <c:v>229.18046478392006</c:v>
                </c:pt>
                <c:pt idx="23">
                  <c:v>217.84195659736784</c:v>
                </c:pt>
                <c:pt idx="24">
                  <c:v>210.39932095840669</c:v>
                </c:pt>
                <c:pt idx="25">
                  <c:v>205.76636233364377</c:v>
                </c:pt>
                <c:pt idx="26">
                  <c:v>199.18373837786254</c:v>
                </c:pt>
                <c:pt idx="27">
                  <c:v>197.93708802152699</c:v>
                </c:pt>
                <c:pt idx="28">
                  <c:v>203.19648671824854</c:v>
                </c:pt>
                <c:pt idx="29">
                  <c:v>193.87168758835165</c:v>
                </c:pt>
                <c:pt idx="30">
                  <c:v>191.68304566864686</c:v>
                </c:pt>
                <c:pt idx="31">
                  <c:v>187.88121507755719</c:v>
                </c:pt>
                <c:pt idx="32">
                  <c:v>195.11579658805019</c:v>
                </c:pt>
                <c:pt idx="33">
                  <c:v>199.12124717606045</c:v>
                </c:pt>
                <c:pt idx="34">
                  <c:v>201.18185703538393</c:v>
                </c:pt>
                <c:pt idx="35">
                  <c:v>203.19292183643634</c:v>
                </c:pt>
                <c:pt idx="36">
                  <c:v>200.96500727095909</c:v>
                </c:pt>
                <c:pt idx="37">
                  <c:v>198.20502024417675</c:v>
                </c:pt>
                <c:pt idx="38">
                  <c:v>200.02388752848162</c:v>
                </c:pt>
                <c:pt idx="39">
                  <c:v>196.75825273107077</c:v>
                </c:pt>
                <c:pt idx="40">
                  <c:v>203.2983642909816</c:v>
                </c:pt>
                <c:pt idx="41">
                  <c:v>199.80460798472748</c:v>
                </c:pt>
                <c:pt idx="42">
                  <c:v>204.54693601836468</c:v>
                </c:pt>
                <c:pt idx="43">
                  <c:v>200.79959627576045</c:v>
                </c:pt>
                <c:pt idx="44">
                  <c:v>198.55675021873029</c:v>
                </c:pt>
                <c:pt idx="45">
                  <c:v>206.52458642519608</c:v>
                </c:pt>
                <c:pt idx="46">
                  <c:v>198.38487925497418</c:v>
                </c:pt>
                <c:pt idx="47">
                  <c:v>208.28002543644195</c:v>
                </c:pt>
                <c:pt idx="48">
                  <c:v>203.83047088877191</c:v>
                </c:pt>
                <c:pt idx="49">
                  <c:v>204.26437812889571</c:v>
                </c:pt>
                <c:pt idx="50">
                  <c:v>211.4337010708397</c:v>
                </c:pt>
                <c:pt idx="51">
                  <c:v>202.77217108764256</c:v>
                </c:pt>
                <c:pt idx="52">
                  <c:v>199.92841247271369</c:v>
                </c:pt>
                <c:pt idx="53">
                  <c:v>196.38349680266913</c:v>
                </c:pt>
                <c:pt idx="54">
                  <c:v>193.98759353136435</c:v>
                </c:pt>
                <c:pt idx="55">
                  <c:v>188.26138103096747</c:v>
                </c:pt>
                <c:pt idx="56">
                  <c:v>182.29554384419956</c:v>
                </c:pt>
                <c:pt idx="57">
                  <c:v>185.13573391797323</c:v>
                </c:pt>
                <c:pt idx="58">
                  <c:v>182.41571878806198</c:v>
                </c:pt>
                <c:pt idx="59">
                  <c:v>183.08712486649361</c:v>
                </c:pt>
                <c:pt idx="60">
                  <c:v>182.33734135091217</c:v>
                </c:pt>
                <c:pt idx="61">
                  <c:v>182.53734501802157</c:v>
                </c:pt>
                <c:pt idx="62">
                  <c:v>177.50297774246039</c:v>
                </c:pt>
                <c:pt idx="63">
                  <c:v>173.92242153778562</c:v>
                </c:pt>
                <c:pt idx="64">
                  <c:v>173.79500491632001</c:v>
                </c:pt>
                <c:pt idx="65">
                  <c:v>176.00268763988592</c:v>
                </c:pt>
                <c:pt idx="66">
                  <c:v>169.27820141330602</c:v>
                </c:pt>
                <c:pt idx="67">
                  <c:v>172.70774590636998</c:v>
                </c:pt>
                <c:pt idx="68">
                  <c:v>174.42193308934145</c:v>
                </c:pt>
                <c:pt idx="69">
                  <c:v>178.29523812219426</c:v>
                </c:pt>
                <c:pt idx="70">
                  <c:v>184.62173292224051</c:v>
                </c:pt>
                <c:pt idx="71">
                  <c:v>181.18714686347712</c:v>
                </c:pt>
                <c:pt idx="72">
                  <c:v>178.22800907866909</c:v>
                </c:pt>
                <c:pt idx="73">
                  <c:v>176.7537600564855</c:v>
                </c:pt>
                <c:pt idx="74">
                  <c:v>178.5286420781969</c:v>
                </c:pt>
                <c:pt idx="75">
                  <c:v>177.28330141521994</c:v>
                </c:pt>
                <c:pt idx="76">
                  <c:v>175.15074589895622</c:v>
                </c:pt>
                <c:pt idx="77">
                  <c:v>175.82046713018963</c:v>
                </c:pt>
                <c:pt idx="78">
                  <c:v>176.8836932571455</c:v>
                </c:pt>
                <c:pt idx="79">
                  <c:v>170.7191777273479</c:v>
                </c:pt>
                <c:pt idx="80">
                  <c:v>172.19291516808735</c:v>
                </c:pt>
                <c:pt idx="81">
                  <c:v>171.16983313494404</c:v>
                </c:pt>
                <c:pt idx="82">
                  <c:v>163.53392601877547</c:v>
                </c:pt>
                <c:pt idx="83">
                  <c:v>165.06247818847015</c:v>
                </c:pt>
                <c:pt idx="84">
                  <c:v>168.9545026837171</c:v>
                </c:pt>
                <c:pt idx="85">
                  <c:v>166.51191893662499</c:v>
                </c:pt>
                <c:pt idx="86">
                  <c:v>167.74620269029299</c:v>
                </c:pt>
                <c:pt idx="87">
                  <c:v>160.64726635178741</c:v>
                </c:pt>
                <c:pt idx="88">
                  <c:v>157.17654344208725</c:v>
                </c:pt>
                <c:pt idx="89">
                  <c:v>158.48001962020439</c:v>
                </c:pt>
                <c:pt idx="90">
                  <c:v>157.95975851128958</c:v>
                </c:pt>
                <c:pt idx="91">
                  <c:v>163.59913870148705</c:v>
                </c:pt>
                <c:pt idx="92">
                  <c:v>163.24406068929449</c:v>
                </c:pt>
                <c:pt idx="93">
                  <c:v>166.66167754640901</c:v>
                </c:pt>
                <c:pt idx="94">
                  <c:v>165.25394819802548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8474-FA46-A0A9-E06E8EA2867F}"/>
            </c:ext>
          </c:extLst>
        </c:ser>
        <c:ser>
          <c:idx val="50"/>
          <c:order val="50"/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'Q6'!$E$52:$CU$52</c:f>
              <c:numCache>
                <c:formatCode>General</c:formatCode>
                <c:ptCount val="95"/>
                <c:pt idx="0">
                  <c:v>222.13</c:v>
                </c:pt>
                <c:pt idx="1">
                  <c:v>222.09375289441329</c:v>
                </c:pt>
                <c:pt idx="2">
                  <c:v>225.63862055044672</c:v>
                </c:pt>
                <c:pt idx="3">
                  <c:v>217.18002555552897</c:v>
                </c:pt>
                <c:pt idx="4">
                  <c:v>215.94392328929024</c:v>
                </c:pt>
                <c:pt idx="5">
                  <c:v>212.79012948954119</c:v>
                </c:pt>
                <c:pt idx="6">
                  <c:v>210.17122100871615</c:v>
                </c:pt>
                <c:pt idx="7">
                  <c:v>200.44477606648502</c:v>
                </c:pt>
                <c:pt idx="8">
                  <c:v>207.28138132674667</c:v>
                </c:pt>
                <c:pt idx="9">
                  <c:v>202.68809333677845</c:v>
                </c:pt>
                <c:pt idx="10">
                  <c:v>196.86556716718178</c:v>
                </c:pt>
                <c:pt idx="11">
                  <c:v>194.87428662602909</c:v>
                </c:pt>
                <c:pt idx="12">
                  <c:v>187.13642219799985</c:v>
                </c:pt>
                <c:pt idx="13">
                  <c:v>182.5807732329375</c:v>
                </c:pt>
                <c:pt idx="14">
                  <c:v>174.28091001340894</c:v>
                </c:pt>
                <c:pt idx="15">
                  <c:v>175.86305579485119</c:v>
                </c:pt>
                <c:pt idx="16">
                  <c:v>177.09422299260078</c:v>
                </c:pt>
                <c:pt idx="17">
                  <c:v>178.14736204720336</c:v>
                </c:pt>
                <c:pt idx="18">
                  <c:v>176.65496073872276</c:v>
                </c:pt>
                <c:pt idx="19">
                  <c:v>176.40479232192794</c:v>
                </c:pt>
                <c:pt idx="20">
                  <c:v>178.98628345620136</c:v>
                </c:pt>
                <c:pt idx="21">
                  <c:v>177.55158171639417</c:v>
                </c:pt>
                <c:pt idx="22">
                  <c:v>170.41221609053812</c:v>
                </c:pt>
                <c:pt idx="23">
                  <c:v>176.13128810918258</c:v>
                </c:pt>
                <c:pt idx="24">
                  <c:v>171.98340041213532</c:v>
                </c:pt>
                <c:pt idx="25">
                  <c:v>160.43232099410989</c:v>
                </c:pt>
                <c:pt idx="26">
                  <c:v>163.59746673801882</c:v>
                </c:pt>
                <c:pt idx="27">
                  <c:v>166.10539190348487</c:v>
                </c:pt>
                <c:pt idx="28">
                  <c:v>166.42409450960059</c:v>
                </c:pt>
                <c:pt idx="29">
                  <c:v>169.94063937249018</c:v>
                </c:pt>
                <c:pt idx="30">
                  <c:v>170.05855878690238</c:v>
                </c:pt>
                <c:pt idx="31">
                  <c:v>171.60532333178844</c:v>
                </c:pt>
                <c:pt idx="32">
                  <c:v>167.83286196016635</c:v>
                </c:pt>
                <c:pt idx="33">
                  <c:v>163.55578222050369</c:v>
                </c:pt>
                <c:pt idx="34">
                  <c:v>159.64294222361329</c:v>
                </c:pt>
                <c:pt idx="35">
                  <c:v>159.65043898725793</c:v>
                </c:pt>
                <c:pt idx="36">
                  <c:v>167.58145972051639</c:v>
                </c:pt>
                <c:pt idx="37">
                  <c:v>173.17500628397786</c:v>
                </c:pt>
                <c:pt idx="38">
                  <c:v>175.6290555229306</c:v>
                </c:pt>
                <c:pt idx="39">
                  <c:v>171.64455450149532</c:v>
                </c:pt>
                <c:pt idx="40">
                  <c:v>169.36542853419004</c:v>
                </c:pt>
                <c:pt idx="41">
                  <c:v>166.38283759711044</c:v>
                </c:pt>
                <c:pt idx="42">
                  <c:v>172.16320395816908</c:v>
                </c:pt>
                <c:pt idx="43">
                  <c:v>167.45729992807588</c:v>
                </c:pt>
                <c:pt idx="44">
                  <c:v>174.73864290707573</c:v>
                </c:pt>
                <c:pt idx="45">
                  <c:v>175.13870016743655</c:v>
                </c:pt>
                <c:pt idx="46">
                  <c:v>168.42174075621952</c:v>
                </c:pt>
                <c:pt idx="47">
                  <c:v>164.81503420978282</c:v>
                </c:pt>
                <c:pt idx="48">
                  <c:v>161.70444199912703</c:v>
                </c:pt>
                <c:pt idx="49">
                  <c:v>162.2705577597047</c:v>
                </c:pt>
                <c:pt idx="50">
                  <c:v>165.71798688661357</c:v>
                </c:pt>
                <c:pt idx="51">
                  <c:v>168.93614227041371</c:v>
                </c:pt>
                <c:pt idx="52">
                  <c:v>173.35091195816852</c:v>
                </c:pt>
                <c:pt idx="53">
                  <c:v>175.84139563897705</c:v>
                </c:pt>
                <c:pt idx="54">
                  <c:v>171.04422573840935</c:v>
                </c:pt>
                <c:pt idx="55">
                  <c:v>175.51362471966542</c:v>
                </c:pt>
                <c:pt idx="56">
                  <c:v>173.55188626912621</c:v>
                </c:pt>
                <c:pt idx="57">
                  <c:v>171.66705395170302</c:v>
                </c:pt>
                <c:pt idx="58">
                  <c:v>173.64503633920972</c:v>
                </c:pt>
                <c:pt idx="59">
                  <c:v>170.90692593013901</c:v>
                </c:pt>
                <c:pt idx="60">
                  <c:v>174.37496341637993</c:v>
                </c:pt>
                <c:pt idx="61">
                  <c:v>168.97113802007283</c:v>
                </c:pt>
                <c:pt idx="62">
                  <c:v>175.70718439427534</c:v>
                </c:pt>
                <c:pt idx="63">
                  <c:v>171.61028157010213</c:v>
                </c:pt>
                <c:pt idx="64">
                  <c:v>177.50945423178257</c:v>
                </c:pt>
                <c:pt idx="65">
                  <c:v>173.91667216856584</c:v>
                </c:pt>
                <c:pt idx="66">
                  <c:v>175.44469397118095</c:v>
                </c:pt>
                <c:pt idx="67">
                  <c:v>173.57534712074937</c:v>
                </c:pt>
                <c:pt idx="68">
                  <c:v>176.1777902999489</c:v>
                </c:pt>
                <c:pt idx="69">
                  <c:v>175.90488970476292</c:v>
                </c:pt>
                <c:pt idx="70">
                  <c:v>176.11735759245539</c:v>
                </c:pt>
                <c:pt idx="71">
                  <c:v>175.94449365065898</c:v>
                </c:pt>
                <c:pt idx="72">
                  <c:v>180.23492656970305</c:v>
                </c:pt>
                <c:pt idx="73">
                  <c:v>182.62902698659929</c:v>
                </c:pt>
                <c:pt idx="74">
                  <c:v>174.3869272222704</c:v>
                </c:pt>
                <c:pt idx="75">
                  <c:v>177.44968488081025</c:v>
                </c:pt>
                <c:pt idx="76">
                  <c:v>180.75124818168825</c:v>
                </c:pt>
                <c:pt idx="77">
                  <c:v>189.4256003136997</c:v>
                </c:pt>
                <c:pt idx="78">
                  <c:v>191.80341016262742</c:v>
                </c:pt>
                <c:pt idx="79">
                  <c:v>194.44108171260956</c:v>
                </c:pt>
                <c:pt idx="80">
                  <c:v>196.0388845337306</c:v>
                </c:pt>
                <c:pt idx="81">
                  <c:v>187.25197090032526</c:v>
                </c:pt>
                <c:pt idx="82">
                  <c:v>183.91131346245669</c:v>
                </c:pt>
                <c:pt idx="83">
                  <c:v>182.33686476556463</c:v>
                </c:pt>
                <c:pt idx="84">
                  <c:v>181.80394378887337</c:v>
                </c:pt>
                <c:pt idx="85">
                  <c:v>186.05269755503639</c:v>
                </c:pt>
                <c:pt idx="86">
                  <c:v>187.26579847822481</c:v>
                </c:pt>
                <c:pt idx="87">
                  <c:v>183.57764898381822</c:v>
                </c:pt>
                <c:pt idx="88">
                  <c:v>186.76336354529209</c:v>
                </c:pt>
                <c:pt idx="89">
                  <c:v>183.13532934993722</c:v>
                </c:pt>
                <c:pt idx="90">
                  <c:v>179.68206640617214</c:v>
                </c:pt>
                <c:pt idx="91">
                  <c:v>182.05218150943449</c:v>
                </c:pt>
                <c:pt idx="92">
                  <c:v>177.02514281431598</c:v>
                </c:pt>
                <c:pt idx="93">
                  <c:v>173.10996920672207</c:v>
                </c:pt>
                <c:pt idx="94">
                  <c:v>173.53899083416874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8474-FA46-A0A9-E06E8EA2867F}"/>
            </c:ext>
          </c:extLst>
        </c:ser>
        <c:ser>
          <c:idx val="51"/>
          <c:order val="51"/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'Q6'!$E$53:$CU$53</c:f>
              <c:numCache>
                <c:formatCode>General</c:formatCode>
                <c:ptCount val="95"/>
                <c:pt idx="0">
                  <c:v>222.13</c:v>
                </c:pt>
                <c:pt idx="1">
                  <c:v>213.52031052838331</c:v>
                </c:pt>
                <c:pt idx="2">
                  <c:v>208.84932719309148</c:v>
                </c:pt>
                <c:pt idx="3">
                  <c:v>208.96719549088758</c:v>
                </c:pt>
                <c:pt idx="4">
                  <c:v>200.90014502319994</c:v>
                </c:pt>
                <c:pt idx="5">
                  <c:v>199.96313999059063</c:v>
                </c:pt>
                <c:pt idx="6">
                  <c:v>202.38782092697983</c:v>
                </c:pt>
                <c:pt idx="7">
                  <c:v>199.52739443862163</c:v>
                </c:pt>
                <c:pt idx="8">
                  <c:v>209.47237045624348</c:v>
                </c:pt>
                <c:pt idx="9">
                  <c:v>226.78001943552593</c:v>
                </c:pt>
                <c:pt idx="10">
                  <c:v>220.43919872299304</c:v>
                </c:pt>
                <c:pt idx="11">
                  <c:v>217.16199425233629</c:v>
                </c:pt>
                <c:pt idx="12">
                  <c:v>213.66904965238393</c:v>
                </c:pt>
                <c:pt idx="13">
                  <c:v>207.79047002533301</c:v>
                </c:pt>
                <c:pt idx="14">
                  <c:v>204.69516869936803</c:v>
                </c:pt>
                <c:pt idx="15">
                  <c:v>201.2348763329552</c:v>
                </c:pt>
                <c:pt idx="16">
                  <c:v>195.22439084041622</c:v>
                </c:pt>
                <c:pt idx="17">
                  <c:v>194.7574580062936</c:v>
                </c:pt>
                <c:pt idx="18">
                  <c:v>196.93389681816475</c:v>
                </c:pt>
                <c:pt idx="19">
                  <c:v>202.95424900851543</c:v>
                </c:pt>
                <c:pt idx="20">
                  <c:v>204.37537642601546</c:v>
                </c:pt>
                <c:pt idx="21">
                  <c:v>204.05678354142111</c:v>
                </c:pt>
                <c:pt idx="22">
                  <c:v>202.20737524887792</c:v>
                </c:pt>
                <c:pt idx="23">
                  <c:v>208.86792021362086</c:v>
                </c:pt>
                <c:pt idx="24">
                  <c:v>218.90191617647034</c:v>
                </c:pt>
                <c:pt idx="25">
                  <c:v>212.03109371800397</c:v>
                </c:pt>
                <c:pt idx="26">
                  <c:v>211.84648247305066</c:v>
                </c:pt>
                <c:pt idx="27">
                  <c:v>215.92269647239831</c:v>
                </c:pt>
                <c:pt idx="28">
                  <c:v>213.85972546821225</c:v>
                </c:pt>
                <c:pt idx="29">
                  <c:v>216.07590924743778</c:v>
                </c:pt>
                <c:pt idx="30">
                  <c:v>219.44487517770884</c:v>
                </c:pt>
                <c:pt idx="31">
                  <c:v>222.39749178028967</c:v>
                </c:pt>
                <c:pt idx="32">
                  <c:v>220.19385343023214</c:v>
                </c:pt>
                <c:pt idx="33">
                  <c:v>229.88944824871649</c:v>
                </c:pt>
                <c:pt idx="34">
                  <c:v>228.24102530811916</c:v>
                </c:pt>
                <c:pt idx="35">
                  <c:v>226.40461601258102</c:v>
                </c:pt>
                <c:pt idx="36">
                  <c:v>218.86131957903061</c:v>
                </c:pt>
                <c:pt idx="37">
                  <c:v>211.50427798308019</c:v>
                </c:pt>
                <c:pt idx="38">
                  <c:v>218.18191116527154</c:v>
                </c:pt>
                <c:pt idx="39">
                  <c:v>226.20426121651565</c:v>
                </c:pt>
                <c:pt idx="40">
                  <c:v>222.09037858797547</c:v>
                </c:pt>
                <c:pt idx="41">
                  <c:v>225.5748827256742</c:v>
                </c:pt>
                <c:pt idx="42">
                  <c:v>224.46906889600498</c:v>
                </c:pt>
                <c:pt idx="43">
                  <c:v>227.67082663767013</c:v>
                </c:pt>
                <c:pt idx="44">
                  <c:v>235.71080447664872</c:v>
                </c:pt>
                <c:pt idx="45">
                  <c:v>231.65569771732763</c:v>
                </c:pt>
                <c:pt idx="46">
                  <c:v>238.06616707108591</c:v>
                </c:pt>
                <c:pt idx="47">
                  <c:v>237.9498831947808</c:v>
                </c:pt>
                <c:pt idx="48">
                  <c:v>235.88479583782819</c:v>
                </c:pt>
                <c:pt idx="49">
                  <c:v>240.70391175958289</c:v>
                </c:pt>
                <c:pt idx="50">
                  <c:v>241.82643216248786</c:v>
                </c:pt>
                <c:pt idx="51">
                  <c:v>243.38389927442503</c:v>
                </c:pt>
                <c:pt idx="52">
                  <c:v>242.69839654498696</c:v>
                </c:pt>
                <c:pt idx="53">
                  <c:v>240.84164262640053</c:v>
                </c:pt>
                <c:pt idx="54">
                  <c:v>242.44687058605814</c:v>
                </c:pt>
                <c:pt idx="55">
                  <c:v>239.65908585924853</c:v>
                </c:pt>
                <c:pt idx="56">
                  <c:v>234.5412388961584</c:v>
                </c:pt>
                <c:pt idx="57">
                  <c:v>234.37868917877452</c:v>
                </c:pt>
                <c:pt idx="58">
                  <c:v>236.38834206714805</c:v>
                </c:pt>
                <c:pt idx="59">
                  <c:v>237.75412418864695</c:v>
                </c:pt>
                <c:pt idx="60">
                  <c:v>237.4570020191982</c:v>
                </c:pt>
                <c:pt idx="61">
                  <c:v>248.92496684118791</c:v>
                </c:pt>
                <c:pt idx="62">
                  <c:v>253.1331060672394</c:v>
                </c:pt>
                <c:pt idx="63">
                  <c:v>252.04755947923741</c:v>
                </c:pt>
                <c:pt idx="64">
                  <c:v>261.16483122890298</c:v>
                </c:pt>
                <c:pt idx="65">
                  <c:v>259.27136660906655</c:v>
                </c:pt>
                <c:pt idx="66">
                  <c:v>259.25379969274678</c:v>
                </c:pt>
                <c:pt idx="67">
                  <c:v>262.54884918713725</c:v>
                </c:pt>
                <c:pt idx="68">
                  <c:v>265.35131101937759</c:v>
                </c:pt>
                <c:pt idx="69">
                  <c:v>275.64021757511284</c:v>
                </c:pt>
                <c:pt idx="70">
                  <c:v>274.75129315949386</c:v>
                </c:pt>
                <c:pt idx="71">
                  <c:v>280.97599144673376</c:v>
                </c:pt>
                <c:pt idx="72">
                  <c:v>282.10878223207902</c:v>
                </c:pt>
                <c:pt idx="73">
                  <c:v>288.06034518396865</c:v>
                </c:pt>
                <c:pt idx="74">
                  <c:v>281.36667690265932</c:v>
                </c:pt>
                <c:pt idx="75">
                  <c:v>284.19365732339048</c:v>
                </c:pt>
                <c:pt idx="76">
                  <c:v>274.52541905497628</c:v>
                </c:pt>
                <c:pt idx="77">
                  <c:v>280.3928533967723</c:v>
                </c:pt>
                <c:pt idx="78">
                  <c:v>276.15287088828489</c:v>
                </c:pt>
                <c:pt idx="79">
                  <c:v>281.6879964734199</c:v>
                </c:pt>
                <c:pt idx="80">
                  <c:v>278.29553789203476</c:v>
                </c:pt>
                <c:pt idx="81">
                  <c:v>281.72509030903808</c:v>
                </c:pt>
                <c:pt idx="82">
                  <c:v>278.48183254104089</c:v>
                </c:pt>
                <c:pt idx="83">
                  <c:v>274.30154660297234</c:v>
                </c:pt>
                <c:pt idx="84">
                  <c:v>269.95536570026007</c:v>
                </c:pt>
                <c:pt idx="85">
                  <c:v>270.71669518106853</c:v>
                </c:pt>
                <c:pt idx="86">
                  <c:v>280.10941927011686</c:v>
                </c:pt>
                <c:pt idx="87">
                  <c:v>276.99149604990924</c:v>
                </c:pt>
                <c:pt idx="88">
                  <c:v>280.88821373497552</c:v>
                </c:pt>
                <c:pt idx="89">
                  <c:v>271.36927562587272</c:v>
                </c:pt>
                <c:pt idx="90">
                  <c:v>274.52736991132087</c:v>
                </c:pt>
                <c:pt idx="91">
                  <c:v>272.20807468934174</c:v>
                </c:pt>
                <c:pt idx="92">
                  <c:v>279.39511442254781</c:v>
                </c:pt>
                <c:pt idx="93">
                  <c:v>288.85270234491168</c:v>
                </c:pt>
                <c:pt idx="94">
                  <c:v>290.36335220865192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8474-FA46-A0A9-E06E8EA2867F}"/>
            </c:ext>
          </c:extLst>
        </c:ser>
        <c:ser>
          <c:idx val="52"/>
          <c:order val="52"/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'Q6'!$E$54:$CU$54</c:f>
              <c:numCache>
                <c:formatCode>General</c:formatCode>
                <c:ptCount val="95"/>
                <c:pt idx="0">
                  <c:v>222.13</c:v>
                </c:pt>
                <c:pt idx="1">
                  <c:v>230.70974819555309</c:v>
                </c:pt>
                <c:pt idx="2">
                  <c:v>229.68751507981898</c:v>
                </c:pt>
                <c:pt idx="3">
                  <c:v>240.63165497950953</c:v>
                </c:pt>
                <c:pt idx="4">
                  <c:v>241.20193535586341</c:v>
                </c:pt>
                <c:pt idx="5">
                  <c:v>239.25510634793216</c:v>
                </c:pt>
                <c:pt idx="6">
                  <c:v>242.18040659506275</c:v>
                </c:pt>
                <c:pt idx="7">
                  <c:v>241.9746605232354</c:v>
                </c:pt>
                <c:pt idx="8">
                  <c:v>233.44223894899875</c:v>
                </c:pt>
                <c:pt idx="9">
                  <c:v>231.33953677094897</c:v>
                </c:pt>
                <c:pt idx="10">
                  <c:v>216.08561719369263</c:v>
                </c:pt>
                <c:pt idx="11">
                  <c:v>218.48188031355889</c:v>
                </c:pt>
                <c:pt idx="12">
                  <c:v>216.06818435584202</c:v>
                </c:pt>
                <c:pt idx="13">
                  <c:v>221.19104607539495</c:v>
                </c:pt>
                <c:pt idx="14">
                  <c:v>228.32008268500354</c:v>
                </c:pt>
                <c:pt idx="15">
                  <c:v>219.22695236679468</c:v>
                </c:pt>
                <c:pt idx="16">
                  <c:v>216.92912750061367</c:v>
                </c:pt>
                <c:pt idx="17">
                  <c:v>219.42697795091937</c:v>
                </c:pt>
                <c:pt idx="18">
                  <c:v>210.14563263004436</c:v>
                </c:pt>
                <c:pt idx="19">
                  <c:v>213.248222954976</c:v>
                </c:pt>
                <c:pt idx="20">
                  <c:v>219.82611281303346</c:v>
                </c:pt>
                <c:pt idx="21">
                  <c:v>219.83393298507775</c:v>
                </c:pt>
                <c:pt idx="22">
                  <c:v>225.05329381855586</c:v>
                </c:pt>
                <c:pt idx="23">
                  <c:v>229.31116194125696</c:v>
                </c:pt>
                <c:pt idx="24">
                  <c:v>228.36239240934771</c:v>
                </c:pt>
                <c:pt idx="25">
                  <c:v>232.52070428173138</c:v>
                </c:pt>
                <c:pt idx="26">
                  <c:v>234.61883723536164</c:v>
                </c:pt>
                <c:pt idx="27">
                  <c:v>240.64599683845213</c:v>
                </c:pt>
                <c:pt idx="28">
                  <c:v>237.99431021459583</c:v>
                </c:pt>
                <c:pt idx="29">
                  <c:v>231.30733689293905</c:v>
                </c:pt>
                <c:pt idx="30">
                  <c:v>233.52819759044019</c:v>
                </c:pt>
                <c:pt idx="31">
                  <c:v>226.79352591473514</c:v>
                </c:pt>
                <c:pt idx="32">
                  <c:v>225.39563631242831</c:v>
                </c:pt>
                <c:pt idx="33">
                  <c:v>227.88267157593197</c:v>
                </c:pt>
                <c:pt idx="34">
                  <c:v>233.52262168379886</c:v>
                </c:pt>
                <c:pt idx="35">
                  <c:v>226.42261915748182</c:v>
                </c:pt>
                <c:pt idx="36">
                  <c:v>225.11536554550366</c:v>
                </c:pt>
                <c:pt idx="37">
                  <c:v>226.85272241538328</c:v>
                </c:pt>
                <c:pt idx="38">
                  <c:v>221.6493817873496</c:v>
                </c:pt>
                <c:pt idx="39">
                  <c:v>210.35512232882931</c:v>
                </c:pt>
                <c:pt idx="40">
                  <c:v>211.89745155830494</c:v>
                </c:pt>
                <c:pt idx="41">
                  <c:v>211.27010912594264</c:v>
                </c:pt>
                <c:pt idx="42">
                  <c:v>204.20239739752924</c:v>
                </c:pt>
                <c:pt idx="43">
                  <c:v>204.25327101005306</c:v>
                </c:pt>
                <c:pt idx="44">
                  <c:v>199.73492964452012</c:v>
                </c:pt>
                <c:pt idx="45">
                  <c:v>202.72414025190071</c:v>
                </c:pt>
                <c:pt idx="46">
                  <c:v>212.6118660808884</c:v>
                </c:pt>
                <c:pt idx="47">
                  <c:v>201.03599811930908</c:v>
                </c:pt>
                <c:pt idx="48">
                  <c:v>204.10093551971815</c:v>
                </c:pt>
                <c:pt idx="49">
                  <c:v>204.99078880410167</c:v>
                </c:pt>
                <c:pt idx="50">
                  <c:v>215.5339997716907</c:v>
                </c:pt>
                <c:pt idx="51">
                  <c:v>211.28522646236448</c:v>
                </c:pt>
                <c:pt idx="52">
                  <c:v>212.08707497076409</c:v>
                </c:pt>
                <c:pt idx="53">
                  <c:v>214.95259510909639</c:v>
                </c:pt>
                <c:pt idx="54">
                  <c:v>214.64884621210754</c:v>
                </c:pt>
                <c:pt idx="55">
                  <c:v>220.0513997661013</c:v>
                </c:pt>
                <c:pt idx="56">
                  <c:v>219.73857394368085</c:v>
                </c:pt>
                <c:pt idx="57">
                  <c:v>219.58140970319397</c:v>
                </c:pt>
                <c:pt idx="58">
                  <c:v>220.71641316733283</c:v>
                </c:pt>
                <c:pt idx="59">
                  <c:v>223.35353283046206</c:v>
                </c:pt>
                <c:pt idx="60">
                  <c:v>226.12218677302792</c:v>
                </c:pt>
                <c:pt idx="61">
                  <c:v>225.87102664583236</c:v>
                </c:pt>
                <c:pt idx="62">
                  <c:v>234.10252403667812</c:v>
                </c:pt>
                <c:pt idx="63">
                  <c:v>242.52445008705459</c:v>
                </c:pt>
                <c:pt idx="64">
                  <c:v>250.66344923304518</c:v>
                </c:pt>
                <c:pt idx="65">
                  <c:v>252.81566730723816</c:v>
                </c:pt>
                <c:pt idx="66">
                  <c:v>256.13190152700611</c:v>
                </c:pt>
                <c:pt idx="67">
                  <c:v>258.5018152158388</c:v>
                </c:pt>
                <c:pt idx="68">
                  <c:v>261.79763408968688</c:v>
                </c:pt>
                <c:pt idx="69">
                  <c:v>260.36381435319356</c:v>
                </c:pt>
                <c:pt idx="70">
                  <c:v>247.45504352763874</c:v>
                </c:pt>
                <c:pt idx="71">
                  <c:v>245.89853732455836</c:v>
                </c:pt>
                <c:pt idx="72">
                  <c:v>240.9977514393355</c:v>
                </c:pt>
                <c:pt idx="73">
                  <c:v>240.66854308034857</c:v>
                </c:pt>
                <c:pt idx="74">
                  <c:v>239.37599105651182</c:v>
                </c:pt>
                <c:pt idx="75">
                  <c:v>240.22572915449143</c:v>
                </c:pt>
                <c:pt idx="76">
                  <c:v>242.38444552928433</c:v>
                </c:pt>
                <c:pt idx="77">
                  <c:v>237.96438694568019</c:v>
                </c:pt>
                <c:pt idx="78">
                  <c:v>231.36523901386118</c:v>
                </c:pt>
                <c:pt idx="79">
                  <c:v>220.97127841813949</c:v>
                </c:pt>
                <c:pt idx="80">
                  <c:v>220.17532952867276</c:v>
                </c:pt>
                <c:pt idx="81">
                  <c:v>227.74715986610755</c:v>
                </c:pt>
                <c:pt idx="82">
                  <c:v>226.40881690547442</c:v>
                </c:pt>
                <c:pt idx="83">
                  <c:v>233.5113422773112</c:v>
                </c:pt>
                <c:pt idx="84">
                  <c:v>230.60841301005681</c:v>
                </c:pt>
                <c:pt idx="85">
                  <c:v>228.99227004463307</c:v>
                </c:pt>
                <c:pt idx="86">
                  <c:v>224.94337940814356</c:v>
                </c:pt>
                <c:pt idx="87">
                  <c:v>221.79333587771538</c:v>
                </c:pt>
                <c:pt idx="88">
                  <c:v>222.48949969660265</c:v>
                </c:pt>
                <c:pt idx="89">
                  <c:v>221.12643543313462</c:v>
                </c:pt>
                <c:pt idx="90">
                  <c:v>220.94008139029259</c:v>
                </c:pt>
                <c:pt idx="91">
                  <c:v>221.26525300392856</c:v>
                </c:pt>
                <c:pt idx="92">
                  <c:v>223.77268359341915</c:v>
                </c:pt>
                <c:pt idx="93">
                  <c:v>225.03750206404942</c:v>
                </c:pt>
                <c:pt idx="94">
                  <c:v>227.59421463867307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8474-FA46-A0A9-E06E8EA2867F}"/>
            </c:ext>
          </c:extLst>
        </c:ser>
        <c:ser>
          <c:idx val="53"/>
          <c:order val="53"/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'Q6'!$E$55:$CU$55</c:f>
              <c:numCache>
                <c:formatCode>General</c:formatCode>
                <c:ptCount val="95"/>
                <c:pt idx="0">
                  <c:v>222.13</c:v>
                </c:pt>
                <c:pt idx="1">
                  <c:v>213.84121557735136</c:v>
                </c:pt>
                <c:pt idx="2">
                  <c:v>216.68811134515207</c:v>
                </c:pt>
                <c:pt idx="3">
                  <c:v>213.04003284452435</c:v>
                </c:pt>
                <c:pt idx="4">
                  <c:v>214.5563089894888</c:v>
                </c:pt>
                <c:pt idx="5">
                  <c:v>214.52440544628848</c:v>
                </c:pt>
                <c:pt idx="6">
                  <c:v>215.64723333636144</c:v>
                </c:pt>
                <c:pt idx="7">
                  <c:v>214.03459907152836</c:v>
                </c:pt>
                <c:pt idx="8">
                  <c:v>212.74386597326878</c:v>
                </c:pt>
                <c:pt idx="9">
                  <c:v>209.28789290385305</c:v>
                </c:pt>
                <c:pt idx="10">
                  <c:v>209.84440318074473</c:v>
                </c:pt>
                <c:pt idx="11">
                  <c:v>209.18688813578461</c:v>
                </c:pt>
                <c:pt idx="12">
                  <c:v>212.79813724048773</c:v>
                </c:pt>
                <c:pt idx="13">
                  <c:v>214.18112996165769</c:v>
                </c:pt>
                <c:pt idx="14">
                  <c:v>214.91681510061656</c:v>
                </c:pt>
                <c:pt idx="15">
                  <c:v>218.44443419195164</c:v>
                </c:pt>
                <c:pt idx="16">
                  <c:v>221.83391728597317</c:v>
                </c:pt>
                <c:pt idx="17">
                  <c:v>221.54989266927058</c:v>
                </c:pt>
                <c:pt idx="18">
                  <c:v>215.95558663888781</c:v>
                </c:pt>
                <c:pt idx="19">
                  <c:v>218.24745118939362</c:v>
                </c:pt>
                <c:pt idx="20">
                  <c:v>231.72255945071467</c:v>
                </c:pt>
                <c:pt idx="21">
                  <c:v>235.64528249440917</c:v>
                </c:pt>
                <c:pt idx="22">
                  <c:v>236.55859755435296</c:v>
                </c:pt>
                <c:pt idx="23">
                  <c:v>235.76548219926954</c:v>
                </c:pt>
                <c:pt idx="24">
                  <c:v>235.25227882536802</c:v>
                </c:pt>
                <c:pt idx="25">
                  <c:v>233.58444539406946</c:v>
                </c:pt>
                <c:pt idx="26">
                  <c:v>221.28483789240624</c:v>
                </c:pt>
                <c:pt idx="27">
                  <c:v>229.84183616418832</c:v>
                </c:pt>
                <c:pt idx="28">
                  <c:v>239.24202103129582</c:v>
                </c:pt>
                <c:pt idx="29">
                  <c:v>243.38519445699842</c:v>
                </c:pt>
                <c:pt idx="30">
                  <c:v>248.11380626982779</c:v>
                </c:pt>
                <c:pt idx="31">
                  <c:v>248.36357628417747</c:v>
                </c:pt>
                <c:pt idx="32">
                  <c:v>251.78307589490262</c:v>
                </c:pt>
                <c:pt idx="33">
                  <c:v>262.00986636235041</c:v>
                </c:pt>
                <c:pt idx="34">
                  <c:v>256.12131723983748</c:v>
                </c:pt>
                <c:pt idx="35">
                  <c:v>261.50245445729621</c:v>
                </c:pt>
                <c:pt idx="36">
                  <c:v>254.29347174523124</c:v>
                </c:pt>
                <c:pt idx="37">
                  <c:v>251.1971982820213</c:v>
                </c:pt>
                <c:pt idx="38">
                  <c:v>251.98007139037642</c:v>
                </c:pt>
                <c:pt idx="39">
                  <c:v>250.02535657385428</c:v>
                </c:pt>
                <c:pt idx="40">
                  <c:v>249.00627492829943</c:v>
                </c:pt>
                <c:pt idx="41">
                  <c:v>253.97579802447302</c:v>
                </c:pt>
                <c:pt idx="42">
                  <c:v>260.24521884204631</c:v>
                </c:pt>
                <c:pt idx="43">
                  <c:v>255.41953353283833</c:v>
                </c:pt>
                <c:pt idx="44">
                  <c:v>256.20026575249199</c:v>
                </c:pt>
                <c:pt idx="45">
                  <c:v>259.84770332797314</c:v>
                </c:pt>
                <c:pt idx="46">
                  <c:v>250.62249427847468</c:v>
                </c:pt>
                <c:pt idx="47">
                  <c:v>251.20801901354477</c:v>
                </c:pt>
                <c:pt idx="48">
                  <c:v>255.4798866848154</c:v>
                </c:pt>
                <c:pt idx="49">
                  <c:v>254.38076825337629</c:v>
                </c:pt>
                <c:pt idx="50">
                  <c:v>254.00966004303672</c:v>
                </c:pt>
                <c:pt idx="51">
                  <c:v>253.15657462266003</c:v>
                </c:pt>
                <c:pt idx="52">
                  <c:v>257.13611634559868</c:v>
                </c:pt>
                <c:pt idx="53">
                  <c:v>260.48960932418288</c:v>
                </c:pt>
                <c:pt idx="54">
                  <c:v>258.92586228881322</c:v>
                </c:pt>
                <c:pt idx="55">
                  <c:v>258.76776843514398</c:v>
                </c:pt>
                <c:pt idx="56">
                  <c:v>253.90363589085598</c:v>
                </c:pt>
                <c:pt idx="57">
                  <c:v>256.70899296202555</c:v>
                </c:pt>
                <c:pt idx="58">
                  <c:v>262.91670728561911</c:v>
                </c:pt>
                <c:pt idx="59">
                  <c:v>256.56536660606776</c:v>
                </c:pt>
                <c:pt idx="60">
                  <c:v>255.77566588904244</c:v>
                </c:pt>
                <c:pt idx="61">
                  <c:v>254.89410140710626</c:v>
                </c:pt>
                <c:pt idx="62">
                  <c:v>262.60360207863658</c:v>
                </c:pt>
                <c:pt idx="63">
                  <c:v>261.72341475010001</c:v>
                </c:pt>
                <c:pt idx="64">
                  <c:v>259.16851839747557</c:v>
                </c:pt>
                <c:pt idx="65">
                  <c:v>251.33497668697103</c:v>
                </c:pt>
                <c:pt idx="66">
                  <c:v>250.74965160579032</c:v>
                </c:pt>
                <c:pt idx="67">
                  <c:v>248.12254489594528</c:v>
                </c:pt>
                <c:pt idx="68">
                  <c:v>241.56699511422951</c:v>
                </c:pt>
                <c:pt idx="69">
                  <c:v>253.53460798430478</c:v>
                </c:pt>
                <c:pt idx="70">
                  <c:v>242.6652966492008</c:v>
                </c:pt>
                <c:pt idx="71">
                  <c:v>248.90320040664071</c:v>
                </c:pt>
                <c:pt idx="72">
                  <c:v>250.77450678780644</c:v>
                </c:pt>
                <c:pt idx="73">
                  <c:v>245.4786419122926</c:v>
                </c:pt>
                <c:pt idx="74">
                  <c:v>255.19884176397812</c:v>
                </c:pt>
                <c:pt idx="75">
                  <c:v>255.6500453145884</c:v>
                </c:pt>
                <c:pt idx="76">
                  <c:v>255.72509544868834</c:v>
                </c:pt>
                <c:pt idx="77">
                  <c:v>248.26683766769582</c:v>
                </c:pt>
                <c:pt idx="78">
                  <c:v>250.7508580070587</c:v>
                </c:pt>
                <c:pt idx="79">
                  <c:v>235.00877191101145</c:v>
                </c:pt>
                <c:pt idx="80">
                  <c:v>236.59669538256162</c:v>
                </c:pt>
                <c:pt idx="81">
                  <c:v>230.97548649722631</c:v>
                </c:pt>
                <c:pt idx="82">
                  <c:v>237.12933051170896</c:v>
                </c:pt>
                <c:pt idx="83">
                  <c:v>242.56745759155942</c:v>
                </c:pt>
                <c:pt idx="84">
                  <c:v>238.1729886901885</c:v>
                </c:pt>
                <c:pt idx="85">
                  <c:v>235.26957214917982</c:v>
                </c:pt>
                <c:pt idx="86">
                  <c:v>233.6453138331305</c:v>
                </c:pt>
                <c:pt idx="87">
                  <c:v>231.77785828370469</c:v>
                </c:pt>
                <c:pt idx="88">
                  <c:v>228.90885634387581</c:v>
                </c:pt>
                <c:pt idx="89">
                  <c:v>226.64266713578962</c:v>
                </c:pt>
                <c:pt idx="90">
                  <c:v>222.16298897368051</c:v>
                </c:pt>
                <c:pt idx="91">
                  <c:v>222.00915967963317</c:v>
                </c:pt>
                <c:pt idx="92">
                  <c:v>214.50661135295326</c:v>
                </c:pt>
                <c:pt idx="93">
                  <c:v>210.26285534381407</c:v>
                </c:pt>
                <c:pt idx="94">
                  <c:v>212.29293274952801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8474-FA46-A0A9-E06E8EA2867F}"/>
            </c:ext>
          </c:extLst>
        </c:ser>
        <c:ser>
          <c:idx val="54"/>
          <c:order val="54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'Q6'!$E$56:$CU$56</c:f>
              <c:numCache>
                <c:formatCode>General</c:formatCode>
                <c:ptCount val="95"/>
                <c:pt idx="0">
                  <c:v>222.13</c:v>
                </c:pt>
                <c:pt idx="1">
                  <c:v>220.12810032396658</c:v>
                </c:pt>
                <c:pt idx="2">
                  <c:v>218.40616400655165</c:v>
                </c:pt>
                <c:pt idx="3">
                  <c:v>220.52470267092994</c:v>
                </c:pt>
                <c:pt idx="4">
                  <c:v>221.27832204165685</c:v>
                </c:pt>
                <c:pt idx="5">
                  <c:v>219.61701868371964</c:v>
                </c:pt>
                <c:pt idx="6">
                  <c:v>229.0294640111708</c:v>
                </c:pt>
                <c:pt idx="7">
                  <c:v>226.54749822227561</c:v>
                </c:pt>
                <c:pt idx="8">
                  <c:v>226.19099862937321</c:v>
                </c:pt>
                <c:pt idx="9">
                  <c:v>228.21929971288907</c:v>
                </c:pt>
                <c:pt idx="10">
                  <c:v>222.3600579828543</c:v>
                </c:pt>
                <c:pt idx="11">
                  <c:v>222.10288890122027</c:v>
                </c:pt>
                <c:pt idx="12">
                  <c:v>217.03288125614574</c:v>
                </c:pt>
                <c:pt idx="13">
                  <c:v>225.24136282810935</c:v>
                </c:pt>
                <c:pt idx="14">
                  <c:v>230.10223005802075</c:v>
                </c:pt>
                <c:pt idx="15">
                  <c:v>229.38126251472977</c:v>
                </c:pt>
                <c:pt idx="16">
                  <c:v>234.78363177275898</c:v>
                </c:pt>
                <c:pt idx="17">
                  <c:v>235.24476273346664</c:v>
                </c:pt>
                <c:pt idx="18">
                  <c:v>225.91879144630389</c:v>
                </c:pt>
                <c:pt idx="19">
                  <c:v>221.49395293700414</c:v>
                </c:pt>
                <c:pt idx="20">
                  <c:v>215.51743579567579</c:v>
                </c:pt>
                <c:pt idx="21">
                  <c:v>212.20744666309807</c:v>
                </c:pt>
                <c:pt idx="22">
                  <c:v>213.10488002628691</c:v>
                </c:pt>
                <c:pt idx="23">
                  <c:v>211.07065965624778</c:v>
                </c:pt>
                <c:pt idx="24">
                  <c:v>204.20797998292332</c:v>
                </c:pt>
                <c:pt idx="25">
                  <c:v>202.69777803199531</c:v>
                </c:pt>
                <c:pt idx="26">
                  <c:v>193.10298702429981</c:v>
                </c:pt>
                <c:pt idx="27">
                  <c:v>198.04659176627598</c:v>
                </c:pt>
                <c:pt idx="28">
                  <c:v>195.75613830018463</c:v>
                </c:pt>
                <c:pt idx="29">
                  <c:v>191.3520061894574</c:v>
                </c:pt>
                <c:pt idx="30">
                  <c:v>188.6087756118757</c:v>
                </c:pt>
                <c:pt idx="31">
                  <c:v>197.67369254479487</c:v>
                </c:pt>
                <c:pt idx="32">
                  <c:v>197.99493223244764</c:v>
                </c:pt>
                <c:pt idx="33">
                  <c:v>193.03928212762659</c:v>
                </c:pt>
                <c:pt idx="34">
                  <c:v>185.0612306097579</c:v>
                </c:pt>
                <c:pt idx="35">
                  <c:v>187.41956963804643</c:v>
                </c:pt>
                <c:pt idx="36">
                  <c:v>184.91071890438482</c:v>
                </c:pt>
                <c:pt idx="37">
                  <c:v>188.29921235225035</c:v>
                </c:pt>
                <c:pt idx="38">
                  <c:v>190.61301181996083</c:v>
                </c:pt>
                <c:pt idx="39">
                  <c:v>193.11220384791665</c:v>
                </c:pt>
                <c:pt idx="40">
                  <c:v>197.59769970649549</c:v>
                </c:pt>
                <c:pt idx="41">
                  <c:v>198.99671869701746</c:v>
                </c:pt>
                <c:pt idx="42">
                  <c:v>197.33766117764327</c:v>
                </c:pt>
                <c:pt idx="43">
                  <c:v>202.26875771705897</c:v>
                </c:pt>
                <c:pt idx="44">
                  <c:v>205.29215027495854</c:v>
                </c:pt>
                <c:pt idx="45">
                  <c:v>198.31686375375824</c:v>
                </c:pt>
                <c:pt idx="46">
                  <c:v>199.02486312388669</c:v>
                </c:pt>
                <c:pt idx="47">
                  <c:v>200.72595681857717</c:v>
                </c:pt>
                <c:pt idx="48">
                  <c:v>197.14771364532376</c:v>
                </c:pt>
                <c:pt idx="49">
                  <c:v>196.41573600245442</c:v>
                </c:pt>
                <c:pt idx="50">
                  <c:v>207.03599284924627</c:v>
                </c:pt>
                <c:pt idx="51">
                  <c:v>203.86359312583571</c:v>
                </c:pt>
                <c:pt idx="52">
                  <c:v>203.76270856504453</c:v>
                </c:pt>
                <c:pt idx="53">
                  <c:v>203.33927753423498</c:v>
                </c:pt>
                <c:pt idx="54">
                  <c:v>192.34574527703057</c:v>
                </c:pt>
                <c:pt idx="55">
                  <c:v>195.46248330101321</c:v>
                </c:pt>
                <c:pt idx="56">
                  <c:v>191.51081317020345</c:v>
                </c:pt>
                <c:pt idx="57">
                  <c:v>198.68910629727986</c:v>
                </c:pt>
                <c:pt idx="58">
                  <c:v>197.39669604039648</c:v>
                </c:pt>
                <c:pt idx="59">
                  <c:v>196.79407906708556</c:v>
                </c:pt>
                <c:pt idx="60">
                  <c:v>192.14183017059597</c:v>
                </c:pt>
                <c:pt idx="61">
                  <c:v>191.43688237999842</c:v>
                </c:pt>
                <c:pt idx="62">
                  <c:v>190.86438450304749</c:v>
                </c:pt>
                <c:pt idx="63">
                  <c:v>193.85889899262662</c:v>
                </c:pt>
                <c:pt idx="64">
                  <c:v>193.87805996966603</c:v>
                </c:pt>
                <c:pt idx="65">
                  <c:v>195.99926178544516</c:v>
                </c:pt>
                <c:pt idx="66">
                  <c:v>199.5079565680214</c:v>
                </c:pt>
                <c:pt idx="67">
                  <c:v>199.11299039291814</c:v>
                </c:pt>
                <c:pt idx="68">
                  <c:v>202.01863157385986</c:v>
                </c:pt>
                <c:pt idx="69">
                  <c:v>204.28342346878327</c:v>
                </c:pt>
                <c:pt idx="70">
                  <c:v>218.08717639179068</c:v>
                </c:pt>
                <c:pt idx="71">
                  <c:v>225.53527428823517</c:v>
                </c:pt>
                <c:pt idx="72">
                  <c:v>221.16291294408538</c:v>
                </c:pt>
                <c:pt idx="73">
                  <c:v>217.58583218691129</c:v>
                </c:pt>
                <c:pt idx="74">
                  <c:v>224.68750872969881</c:v>
                </c:pt>
                <c:pt idx="75">
                  <c:v>226.71648867211348</c:v>
                </c:pt>
                <c:pt idx="76">
                  <c:v>230.94885556958633</c:v>
                </c:pt>
                <c:pt idx="77">
                  <c:v>226.86493100653647</c:v>
                </c:pt>
                <c:pt idx="78">
                  <c:v>222.00391974705795</c:v>
                </c:pt>
                <c:pt idx="79">
                  <c:v>225.38372634829412</c:v>
                </c:pt>
                <c:pt idx="80">
                  <c:v>233.72982608433526</c:v>
                </c:pt>
                <c:pt idx="81">
                  <c:v>229.2930017129521</c:v>
                </c:pt>
                <c:pt idx="82">
                  <c:v>226.07096671429187</c:v>
                </c:pt>
                <c:pt idx="83">
                  <c:v>230.03400278742512</c:v>
                </c:pt>
                <c:pt idx="84">
                  <c:v>231.18116827471366</c:v>
                </c:pt>
                <c:pt idx="85">
                  <c:v>232.47042011075291</c:v>
                </c:pt>
                <c:pt idx="86">
                  <c:v>226.2470938182378</c:v>
                </c:pt>
                <c:pt idx="87">
                  <c:v>231.8686983820443</c:v>
                </c:pt>
                <c:pt idx="88">
                  <c:v>235.69694458044899</c:v>
                </c:pt>
                <c:pt idx="89">
                  <c:v>236.69584956734985</c:v>
                </c:pt>
                <c:pt idx="90">
                  <c:v>240.91631641856986</c:v>
                </c:pt>
                <c:pt idx="91">
                  <c:v>244.70038400105906</c:v>
                </c:pt>
                <c:pt idx="92">
                  <c:v>245.34668906985291</c:v>
                </c:pt>
                <c:pt idx="93">
                  <c:v>240.18573777494822</c:v>
                </c:pt>
                <c:pt idx="94">
                  <c:v>238.87122509595517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8474-FA46-A0A9-E06E8EA2867F}"/>
            </c:ext>
          </c:extLst>
        </c:ser>
        <c:ser>
          <c:idx val="55"/>
          <c:order val="55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'Q6'!$E$57:$CU$57</c:f>
              <c:numCache>
                <c:formatCode>General</c:formatCode>
                <c:ptCount val="95"/>
                <c:pt idx="0">
                  <c:v>222.13</c:v>
                </c:pt>
                <c:pt idx="1">
                  <c:v>221.60790639618349</c:v>
                </c:pt>
                <c:pt idx="2">
                  <c:v>215.49553496372948</c:v>
                </c:pt>
                <c:pt idx="3">
                  <c:v>219.9418544398529</c:v>
                </c:pt>
                <c:pt idx="4">
                  <c:v>220.27245312197837</c:v>
                </c:pt>
                <c:pt idx="5">
                  <c:v>219.67804265700954</c:v>
                </c:pt>
                <c:pt idx="6">
                  <c:v>214.15607016593555</c:v>
                </c:pt>
                <c:pt idx="7">
                  <c:v>216.76582725583594</c:v>
                </c:pt>
                <c:pt idx="8">
                  <c:v>219.1186155513345</c:v>
                </c:pt>
                <c:pt idx="9">
                  <c:v>223.43345432388901</c:v>
                </c:pt>
                <c:pt idx="10">
                  <c:v>226.79503638031352</c:v>
                </c:pt>
                <c:pt idx="11">
                  <c:v>223.98593149128124</c:v>
                </c:pt>
                <c:pt idx="12">
                  <c:v>231.57894447066494</c:v>
                </c:pt>
                <c:pt idx="13">
                  <c:v>227.33812467759023</c:v>
                </c:pt>
                <c:pt idx="14">
                  <c:v>230.99776083943354</c:v>
                </c:pt>
                <c:pt idx="15">
                  <c:v>232.39959899203441</c:v>
                </c:pt>
                <c:pt idx="16">
                  <c:v>227.91217554416633</c:v>
                </c:pt>
                <c:pt idx="17">
                  <c:v>230.83144107375378</c:v>
                </c:pt>
                <c:pt idx="18">
                  <c:v>226.40338769853034</c:v>
                </c:pt>
                <c:pt idx="19">
                  <c:v>231.50697326797692</c:v>
                </c:pt>
                <c:pt idx="20">
                  <c:v>235.7163734328868</c:v>
                </c:pt>
                <c:pt idx="21">
                  <c:v>245.09931683287022</c:v>
                </c:pt>
                <c:pt idx="22">
                  <c:v>235.84985152929963</c:v>
                </c:pt>
                <c:pt idx="23">
                  <c:v>239.8000931780368</c:v>
                </c:pt>
                <c:pt idx="24">
                  <c:v>240.23336557327229</c:v>
                </c:pt>
                <c:pt idx="25">
                  <c:v>245.21398490910246</c:v>
                </c:pt>
                <c:pt idx="26">
                  <c:v>243.16330482761506</c:v>
                </c:pt>
                <c:pt idx="27">
                  <c:v>241.29131438534006</c:v>
                </c:pt>
                <c:pt idx="28">
                  <c:v>241.63068273043851</c:v>
                </c:pt>
                <c:pt idx="29">
                  <c:v>253.10737389468849</c:v>
                </c:pt>
                <c:pt idx="30">
                  <c:v>256.67829442969742</c:v>
                </c:pt>
                <c:pt idx="31">
                  <c:v>252.89273005740236</c:v>
                </c:pt>
                <c:pt idx="32">
                  <c:v>250.48182267480897</c:v>
                </c:pt>
                <c:pt idx="33">
                  <c:v>264.31991102096089</c:v>
                </c:pt>
                <c:pt idx="34">
                  <c:v>270.42034377159183</c:v>
                </c:pt>
                <c:pt idx="35">
                  <c:v>266.24019603085196</c:v>
                </c:pt>
                <c:pt idx="36">
                  <c:v>272.3690071249477</c:v>
                </c:pt>
                <c:pt idx="37">
                  <c:v>257.64938866280789</c:v>
                </c:pt>
                <c:pt idx="38">
                  <c:v>258.21771880792642</c:v>
                </c:pt>
                <c:pt idx="39">
                  <c:v>257.85658684167049</c:v>
                </c:pt>
                <c:pt idx="40">
                  <c:v>264.46532971738543</c:v>
                </c:pt>
                <c:pt idx="41">
                  <c:v>266.84695575586443</c:v>
                </c:pt>
                <c:pt idx="42">
                  <c:v>270.7080442630384</c:v>
                </c:pt>
                <c:pt idx="43">
                  <c:v>271.36907211024641</c:v>
                </c:pt>
                <c:pt idx="44">
                  <c:v>271.27777657066764</c:v>
                </c:pt>
                <c:pt idx="45">
                  <c:v>281.38900720232112</c:v>
                </c:pt>
                <c:pt idx="46">
                  <c:v>291.0483599611689</c:v>
                </c:pt>
                <c:pt idx="47">
                  <c:v>293.5182680390991</c:v>
                </c:pt>
                <c:pt idx="48">
                  <c:v>308.48093398795203</c:v>
                </c:pt>
                <c:pt idx="49">
                  <c:v>309.05145908694294</c:v>
                </c:pt>
                <c:pt idx="50">
                  <c:v>304.40948683995435</c:v>
                </c:pt>
                <c:pt idx="51">
                  <c:v>284.70088544534116</c:v>
                </c:pt>
                <c:pt idx="52">
                  <c:v>275.77447080277182</c:v>
                </c:pt>
                <c:pt idx="53">
                  <c:v>277.08769595594038</c:v>
                </c:pt>
                <c:pt idx="54">
                  <c:v>275.13450944460089</c:v>
                </c:pt>
                <c:pt idx="55">
                  <c:v>269.84900389305187</c:v>
                </c:pt>
                <c:pt idx="56">
                  <c:v>276.70264083396347</c:v>
                </c:pt>
                <c:pt idx="57">
                  <c:v>273.36657527076335</c:v>
                </c:pt>
                <c:pt idx="58">
                  <c:v>272.82375950901979</c:v>
                </c:pt>
                <c:pt idx="59">
                  <c:v>260.73816875617075</c:v>
                </c:pt>
                <c:pt idx="60">
                  <c:v>266.72764959102102</c:v>
                </c:pt>
                <c:pt idx="61">
                  <c:v>272.64014054675164</c:v>
                </c:pt>
                <c:pt idx="62">
                  <c:v>269.56498668859604</c:v>
                </c:pt>
                <c:pt idx="63">
                  <c:v>258.50599051359819</c:v>
                </c:pt>
                <c:pt idx="64">
                  <c:v>257.20243684618021</c:v>
                </c:pt>
                <c:pt idx="65">
                  <c:v>257.78257413162612</c:v>
                </c:pt>
                <c:pt idx="66">
                  <c:v>262.71330755032233</c:v>
                </c:pt>
                <c:pt idx="67">
                  <c:v>258.43557395399137</c:v>
                </c:pt>
                <c:pt idx="68">
                  <c:v>267.36450003619342</c:v>
                </c:pt>
                <c:pt idx="69">
                  <c:v>266.2277270273168</c:v>
                </c:pt>
                <c:pt idx="70">
                  <c:v>268.02259181945726</c:v>
                </c:pt>
                <c:pt idx="71">
                  <c:v>258.42086973067182</c:v>
                </c:pt>
                <c:pt idx="72">
                  <c:v>263.57270974072105</c:v>
                </c:pt>
                <c:pt idx="73">
                  <c:v>262.46519353868678</c:v>
                </c:pt>
                <c:pt idx="74">
                  <c:v>266.95151977794774</c:v>
                </c:pt>
                <c:pt idx="75">
                  <c:v>266.66490505391346</c:v>
                </c:pt>
                <c:pt idx="76">
                  <c:v>259.8888900823207</c:v>
                </c:pt>
                <c:pt idx="77">
                  <c:v>259.87228795645325</c:v>
                </c:pt>
                <c:pt idx="78">
                  <c:v>266.88382316405387</c:v>
                </c:pt>
                <c:pt idx="79">
                  <c:v>255.81879617951668</c:v>
                </c:pt>
                <c:pt idx="80">
                  <c:v>256.97215839356335</c:v>
                </c:pt>
                <c:pt idx="81">
                  <c:v>253.71404689665937</c:v>
                </c:pt>
                <c:pt idx="82">
                  <c:v>255.60634616804472</c:v>
                </c:pt>
                <c:pt idx="83">
                  <c:v>268.37073437947947</c:v>
                </c:pt>
                <c:pt idx="84">
                  <c:v>262.1867036542136</c:v>
                </c:pt>
                <c:pt idx="85">
                  <c:v>271.31485344080079</c:v>
                </c:pt>
                <c:pt idx="86">
                  <c:v>277.08007631130079</c:v>
                </c:pt>
                <c:pt idx="87">
                  <c:v>280.52512474231787</c:v>
                </c:pt>
                <c:pt idx="88">
                  <c:v>290.15305453181134</c:v>
                </c:pt>
                <c:pt idx="89">
                  <c:v>292.99799567226671</c:v>
                </c:pt>
                <c:pt idx="90">
                  <c:v>287.20312426830685</c:v>
                </c:pt>
                <c:pt idx="91">
                  <c:v>285.25695159738211</c:v>
                </c:pt>
                <c:pt idx="92">
                  <c:v>286.82994645666577</c:v>
                </c:pt>
                <c:pt idx="93">
                  <c:v>287.88580668857645</c:v>
                </c:pt>
                <c:pt idx="94">
                  <c:v>292.15368770049491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8474-FA46-A0A9-E06E8EA2867F}"/>
            </c:ext>
          </c:extLst>
        </c:ser>
        <c:ser>
          <c:idx val="56"/>
          <c:order val="56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'Q6'!$E$58:$CU$58</c:f>
              <c:numCache>
                <c:formatCode>General</c:formatCode>
                <c:ptCount val="95"/>
                <c:pt idx="0">
                  <c:v>222.13</c:v>
                </c:pt>
                <c:pt idx="1">
                  <c:v>222.49120965623842</c:v>
                </c:pt>
                <c:pt idx="2">
                  <c:v>216.69413114281389</c:v>
                </c:pt>
                <c:pt idx="3">
                  <c:v>219.34744863395306</c:v>
                </c:pt>
                <c:pt idx="4">
                  <c:v>220.43297037535561</c:v>
                </c:pt>
                <c:pt idx="5">
                  <c:v>222.19062702703022</c:v>
                </c:pt>
                <c:pt idx="6">
                  <c:v>218.77985907791566</c:v>
                </c:pt>
                <c:pt idx="7">
                  <c:v>212.07020320967527</c:v>
                </c:pt>
                <c:pt idx="8">
                  <c:v>222.13989671961238</c:v>
                </c:pt>
                <c:pt idx="9">
                  <c:v>226.32801835370151</c:v>
                </c:pt>
                <c:pt idx="10">
                  <c:v>228.83613323734082</c:v>
                </c:pt>
                <c:pt idx="11">
                  <c:v>228.5577107383109</c:v>
                </c:pt>
                <c:pt idx="12">
                  <c:v>238.57381079965793</c:v>
                </c:pt>
                <c:pt idx="13">
                  <c:v>242.43483198173908</c:v>
                </c:pt>
                <c:pt idx="14">
                  <c:v>246.96853394354545</c:v>
                </c:pt>
                <c:pt idx="15">
                  <c:v>247.4285306643383</c:v>
                </c:pt>
                <c:pt idx="16">
                  <c:v>252.25097836210304</c:v>
                </c:pt>
                <c:pt idx="17">
                  <c:v>255.73621295053212</c:v>
                </c:pt>
                <c:pt idx="18">
                  <c:v>264.80374407661481</c:v>
                </c:pt>
                <c:pt idx="19">
                  <c:v>264.24730667255642</c:v>
                </c:pt>
                <c:pt idx="20">
                  <c:v>254.85877645131163</c:v>
                </c:pt>
                <c:pt idx="21">
                  <c:v>254.66134969552732</c:v>
                </c:pt>
                <c:pt idx="22">
                  <c:v>254.50158931559628</c:v>
                </c:pt>
                <c:pt idx="23">
                  <c:v>254.90347676623543</c:v>
                </c:pt>
                <c:pt idx="24">
                  <c:v>262.08351635842376</c:v>
                </c:pt>
                <c:pt idx="25">
                  <c:v>266.86081733743379</c:v>
                </c:pt>
                <c:pt idx="26">
                  <c:v>258.08774426927982</c:v>
                </c:pt>
                <c:pt idx="27">
                  <c:v>250.31152409461291</c:v>
                </c:pt>
                <c:pt idx="28">
                  <c:v>252.47364299833788</c:v>
                </c:pt>
                <c:pt idx="29">
                  <c:v>258.22972820016349</c:v>
                </c:pt>
                <c:pt idx="30">
                  <c:v>251.27472643837535</c:v>
                </c:pt>
                <c:pt idx="31">
                  <c:v>246.97204632807822</c:v>
                </c:pt>
                <c:pt idx="32">
                  <c:v>243.4514789145708</c:v>
                </c:pt>
                <c:pt idx="33">
                  <c:v>245.08866554154238</c:v>
                </c:pt>
                <c:pt idx="34">
                  <c:v>241.79248999225712</c:v>
                </c:pt>
                <c:pt idx="35">
                  <c:v>246.78399448968926</c:v>
                </c:pt>
                <c:pt idx="36">
                  <c:v>243.31638484222324</c:v>
                </c:pt>
                <c:pt idx="37">
                  <c:v>239.81123067674531</c:v>
                </c:pt>
                <c:pt idx="38">
                  <c:v>227.61211836124747</c:v>
                </c:pt>
                <c:pt idx="39">
                  <c:v>227.75421839643693</c:v>
                </c:pt>
                <c:pt idx="40">
                  <c:v>221.39677402236916</c:v>
                </c:pt>
                <c:pt idx="41">
                  <c:v>208.75304975814259</c:v>
                </c:pt>
                <c:pt idx="42">
                  <c:v>211.04542368344576</c:v>
                </c:pt>
                <c:pt idx="43">
                  <c:v>205.77388776066292</c:v>
                </c:pt>
                <c:pt idx="44">
                  <c:v>209.51282690955071</c:v>
                </c:pt>
                <c:pt idx="45">
                  <c:v>210.64579197553192</c:v>
                </c:pt>
                <c:pt idx="46">
                  <c:v>207.1061878452046</c:v>
                </c:pt>
                <c:pt idx="47">
                  <c:v>213.92281943699743</c:v>
                </c:pt>
                <c:pt idx="48">
                  <c:v>223.55801062959026</c:v>
                </c:pt>
                <c:pt idx="49">
                  <c:v>219.38742115059267</c:v>
                </c:pt>
                <c:pt idx="50">
                  <c:v>223.52723753822008</c:v>
                </c:pt>
                <c:pt idx="51">
                  <c:v>232.89474118809184</c:v>
                </c:pt>
                <c:pt idx="52">
                  <c:v>234.50807756252527</c:v>
                </c:pt>
                <c:pt idx="53">
                  <c:v>221.89755119224006</c:v>
                </c:pt>
                <c:pt idx="54">
                  <c:v>217.20371626999483</c:v>
                </c:pt>
                <c:pt idx="55">
                  <c:v>219.8856538953483</c:v>
                </c:pt>
                <c:pt idx="56">
                  <c:v>217.81206422235365</c:v>
                </c:pt>
                <c:pt idx="57">
                  <c:v>220.44404518455809</c:v>
                </c:pt>
                <c:pt idx="58">
                  <c:v>224.8991648336183</c:v>
                </c:pt>
                <c:pt idx="59">
                  <c:v>223.06573106067574</c:v>
                </c:pt>
                <c:pt idx="60">
                  <c:v>224.09016636580759</c:v>
                </c:pt>
                <c:pt idx="61">
                  <c:v>226.37321308239504</c:v>
                </c:pt>
                <c:pt idx="62">
                  <c:v>217.75235041967161</c:v>
                </c:pt>
                <c:pt idx="63">
                  <c:v>213.84948171259219</c:v>
                </c:pt>
                <c:pt idx="64">
                  <c:v>220.46646151074805</c:v>
                </c:pt>
                <c:pt idx="65">
                  <c:v>215.33263285560508</c:v>
                </c:pt>
                <c:pt idx="66">
                  <c:v>213.34583115138864</c:v>
                </c:pt>
                <c:pt idx="67">
                  <c:v>211.93617480248372</c:v>
                </c:pt>
                <c:pt idx="68">
                  <c:v>212.83152562372578</c:v>
                </c:pt>
                <c:pt idx="69">
                  <c:v>213.51550410959371</c:v>
                </c:pt>
                <c:pt idx="70">
                  <c:v>221.09895897749243</c:v>
                </c:pt>
                <c:pt idx="71">
                  <c:v>223.55195332120746</c:v>
                </c:pt>
                <c:pt idx="72">
                  <c:v>217.05746586256677</c:v>
                </c:pt>
                <c:pt idx="73">
                  <c:v>219.6521457366089</c:v>
                </c:pt>
                <c:pt idx="74">
                  <c:v>225.85478371797475</c:v>
                </c:pt>
                <c:pt idx="75">
                  <c:v>227.98577434190958</c:v>
                </c:pt>
                <c:pt idx="76">
                  <c:v>235.51336272804733</c:v>
                </c:pt>
                <c:pt idx="77">
                  <c:v>241.15789914418951</c:v>
                </c:pt>
                <c:pt idx="78">
                  <c:v>240.97935478672443</c:v>
                </c:pt>
                <c:pt idx="79">
                  <c:v>237.38423097549446</c:v>
                </c:pt>
                <c:pt idx="80">
                  <c:v>237.9670262302723</c:v>
                </c:pt>
                <c:pt idx="81">
                  <c:v>242.29899446614823</c:v>
                </c:pt>
                <c:pt idx="82">
                  <c:v>250.17063601817247</c:v>
                </c:pt>
                <c:pt idx="83">
                  <c:v>251.51073091194235</c:v>
                </c:pt>
                <c:pt idx="84">
                  <c:v>247.16210463770904</c:v>
                </c:pt>
                <c:pt idx="85">
                  <c:v>247.92337404683823</c:v>
                </c:pt>
                <c:pt idx="86">
                  <c:v>243.56765054930858</c:v>
                </c:pt>
                <c:pt idx="87">
                  <c:v>250.94591521465119</c:v>
                </c:pt>
                <c:pt idx="88">
                  <c:v>250.32929067384882</c:v>
                </c:pt>
                <c:pt idx="89">
                  <c:v>251.86680050958361</c:v>
                </c:pt>
                <c:pt idx="90">
                  <c:v>252.79389977412367</c:v>
                </c:pt>
                <c:pt idx="91">
                  <c:v>254.19878991793126</c:v>
                </c:pt>
                <c:pt idx="92">
                  <c:v>254.72722786038557</c:v>
                </c:pt>
                <c:pt idx="93">
                  <c:v>256.52025779528736</c:v>
                </c:pt>
                <c:pt idx="94">
                  <c:v>255.92981020006252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8474-FA46-A0A9-E06E8EA2867F}"/>
            </c:ext>
          </c:extLst>
        </c:ser>
        <c:ser>
          <c:idx val="57"/>
          <c:order val="57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'Q6'!$E$59:$CU$59</c:f>
              <c:numCache>
                <c:formatCode>General</c:formatCode>
                <c:ptCount val="95"/>
                <c:pt idx="0">
                  <c:v>222.13</c:v>
                </c:pt>
                <c:pt idx="1">
                  <c:v>219.28269977726728</c:v>
                </c:pt>
                <c:pt idx="2">
                  <c:v>224.86148501403503</c:v>
                </c:pt>
                <c:pt idx="3">
                  <c:v>227.60362785438787</c:v>
                </c:pt>
                <c:pt idx="4">
                  <c:v>222.58191373371724</c:v>
                </c:pt>
                <c:pt idx="5">
                  <c:v>220.40490655253657</c:v>
                </c:pt>
                <c:pt idx="6">
                  <c:v>222.58600627625972</c:v>
                </c:pt>
                <c:pt idx="7">
                  <c:v>226.66950513442765</c:v>
                </c:pt>
                <c:pt idx="8">
                  <c:v>229.36086093071367</c:v>
                </c:pt>
                <c:pt idx="9">
                  <c:v>228.24904140701801</c:v>
                </c:pt>
                <c:pt idx="10">
                  <c:v>236.58059749377762</c:v>
                </c:pt>
                <c:pt idx="11">
                  <c:v>230.11741546488969</c:v>
                </c:pt>
                <c:pt idx="12">
                  <c:v>233.53084685227182</c:v>
                </c:pt>
                <c:pt idx="13">
                  <c:v>232.05049872716683</c:v>
                </c:pt>
                <c:pt idx="14">
                  <c:v>241.37464378414322</c:v>
                </c:pt>
                <c:pt idx="15">
                  <c:v>249.13059508199362</c:v>
                </c:pt>
                <c:pt idx="16">
                  <c:v>244.40221319896872</c:v>
                </c:pt>
                <c:pt idx="17">
                  <c:v>236.2642235968444</c:v>
                </c:pt>
                <c:pt idx="18">
                  <c:v>242.19273044807355</c:v>
                </c:pt>
                <c:pt idx="19">
                  <c:v>235.62251192207421</c:v>
                </c:pt>
                <c:pt idx="20">
                  <c:v>219.44368157635316</c:v>
                </c:pt>
                <c:pt idx="21">
                  <c:v>226.29907982608989</c:v>
                </c:pt>
                <c:pt idx="22">
                  <c:v>211.81821077608754</c:v>
                </c:pt>
                <c:pt idx="23">
                  <c:v>213.6680418428798</c:v>
                </c:pt>
                <c:pt idx="24">
                  <c:v>215.88201067468833</c:v>
                </c:pt>
                <c:pt idx="25">
                  <c:v>229.29937168726892</c:v>
                </c:pt>
                <c:pt idx="26">
                  <c:v>227.68896432341097</c:v>
                </c:pt>
                <c:pt idx="27">
                  <c:v>231.0962502685673</c:v>
                </c:pt>
                <c:pt idx="28">
                  <c:v>230.77930069888305</c:v>
                </c:pt>
                <c:pt idx="29">
                  <c:v>242.15203741523959</c:v>
                </c:pt>
                <c:pt idx="30">
                  <c:v>244.13130872148554</c:v>
                </c:pt>
                <c:pt idx="31">
                  <c:v>244.93149091779048</c:v>
                </c:pt>
                <c:pt idx="32">
                  <c:v>244.40990334286457</c:v>
                </c:pt>
                <c:pt idx="33">
                  <c:v>250.46543238991472</c:v>
                </c:pt>
                <c:pt idx="34">
                  <c:v>254.36340173150163</c:v>
                </c:pt>
                <c:pt idx="35">
                  <c:v>251.12327629298946</c:v>
                </c:pt>
                <c:pt idx="36">
                  <c:v>252.82498850929221</c:v>
                </c:pt>
                <c:pt idx="37">
                  <c:v>254.35877897918436</c:v>
                </c:pt>
                <c:pt idx="38">
                  <c:v>241.26523889959788</c:v>
                </c:pt>
                <c:pt idx="39">
                  <c:v>236.44959228474022</c:v>
                </c:pt>
                <c:pt idx="40">
                  <c:v>238.75089320742111</c:v>
                </c:pt>
                <c:pt idx="41">
                  <c:v>229.04233368376947</c:v>
                </c:pt>
                <c:pt idx="42">
                  <c:v>225.954428008126</c:v>
                </c:pt>
                <c:pt idx="43">
                  <c:v>220.7657495893672</c:v>
                </c:pt>
                <c:pt idx="44">
                  <c:v>218.45203905421764</c:v>
                </c:pt>
                <c:pt idx="45">
                  <c:v>226.26473870113199</c:v>
                </c:pt>
                <c:pt idx="46">
                  <c:v>219.53808442959766</c:v>
                </c:pt>
                <c:pt idx="47">
                  <c:v>226.21774768957201</c:v>
                </c:pt>
                <c:pt idx="48">
                  <c:v>231.41338844542597</c:v>
                </c:pt>
                <c:pt idx="49">
                  <c:v>232.14846504360648</c:v>
                </c:pt>
                <c:pt idx="50">
                  <c:v>231.32060002435261</c:v>
                </c:pt>
                <c:pt idx="51">
                  <c:v>230.2582250390405</c:v>
                </c:pt>
                <c:pt idx="52">
                  <c:v>228.14793621381182</c:v>
                </c:pt>
                <c:pt idx="53">
                  <c:v>224.9163906016793</c:v>
                </c:pt>
                <c:pt idx="54">
                  <c:v>220.99003881052442</c:v>
                </c:pt>
                <c:pt idx="55">
                  <c:v>221.14523857658853</c:v>
                </c:pt>
                <c:pt idx="56">
                  <c:v>221.49395087757571</c:v>
                </c:pt>
                <c:pt idx="57">
                  <c:v>226.20045383521742</c:v>
                </c:pt>
                <c:pt idx="58">
                  <c:v>225.5370143013443</c:v>
                </c:pt>
                <c:pt idx="59">
                  <c:v>227.08871435882585</c:v>
                </c:pt>
                <c:pt idx="60">
                  <c:v>229.84050760458274</c:v>
                </c:pt>
                <c:pt idx="61">
                  <c:v>234.09200652881805</c:v>
                </c:pt>
                <c:pt idx="62">
                  <c:v>240.60240939876701</c:v>
                </c:pt>
                <c:pt idx="63">
                  <c:v>241.00175173971871</c:v>
                </c:pt>
                <c:pt idx="64">
                  <c:v>236.80056083426544</c:v>
                </c:pt>
                <c:pt idx="65">
                  <c:v>233.08863522374381</c:v>
                </c:pt>
                <c:pt idx="66">
                  <c:v>240.22450694303237</c:v>
                </c:pt>
                <c:pt idx="67">
                  <c:v>240.67981102696851</c:v>
                </c:pt>
                <c:pt idx="68">
                  <c:v>246.71655076555851</c:v>
                </c:pt>
                <c:pt idx="69">
                  <c:v>256.55973170955463</c:v>
                </c:pt>
                <c:pt idx="70">
                  <c:v>258.57059303853106</c:v>
                </c:pt>
                <c:pt idx="71">
                  <c:v>265.61713325361802</c:v>
                </c:pt>
                <c:pt idx="72">
                  <c:v>256.12418086949481</c:v>
                </c:pt>
                <c:pt idx="73">
                  <c:v>255.32838166245855</c:v>
                </c:pt>
                <c:pt idx="74">
                  <c:v>258.86896684307658</c:v>
                </c:pt>
                <c:pt idx="75">
                  <c:v>251.39551480605729</c:v>
                </c:pt>
                <c:pt idx="76">
                  <c:v>250.28043655994759</c:v>
                </c:pt>
                <c:pt idx="77">
                  <c:v>249.17392251470889</c:v>
                </c:pt>
                <c:pt idx="78">
                  <c:v>250.73114085799574</c:v>
                </c:pt>
                <c:pt idx="79">
                  <c:v>256.98392164299497</c:v>
                </c:pt>
                <c:pt idx="80">
                  <c:v>255.2188680070355</c:v>
                </c:pt>
                <c:pt idx="81">
                  <c:v>260.12796692244808</c:v>
                </c:pt>
                <c:pt idx="82">
                  <c:v>261.98936077563553</c:v>
                </c:pt>
                <c:pt idx="83">
                  <c:v>263.5703489392277</c:v>
                </c:pt>
                <c:pt idx="84">
                  <c:v>267.55007847243758</c:v>
                </c:pt>
                <c:pt idx="85">
                  <c:v>267.65184528229582</c:v>
                </c:pt>
                <c:pt idx="86">
                  <c:v>271.94351025504335</c:v>
                </c:pt>
                <c:pt idx="87">
                  <c:v>270.87659856836711</c:v>
                </c:pt>
                <c:pt idx="88">
                  <c:v>274.15530283543876</c:v>
                </c:pt>
                <c:pt idx="89">
                  <c:v>266.92826206391572</c:v>
                </c:pt>
                <c:pt idx="90">
                  <c:v>253.03158593678353</c:v>
                </c:pt>
                <c:pt idx="91">
                  <c:v>248.87990711099968</c:v>
                </c:pt>
                <c:pt idx="92">
                  <c:v>253.11985255188654</c:v>
                </c:pt>
                <c:pt idx="93">
                  <c:v>262.4373324827161</c:v>
                </c:pt>
                <c:pt idx="94">
                  <c:v>257.77868482937521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8474-FA46-A0A9-E06E8EA2867F}"/>
            </c:ext>
          </c:extLst>
        </c:ser>
        <c:ser>
          <c:idx val="58"/>
          <c:order val="58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'Q6'!$E$60:$CU$60</c:f>
              <c:numCache>
                <c:formatCode>General</c:formatCode>
                <c:ptCount val="95"/>
                <c:pt idx="0">
                  <c:v>222.13</c:v>
                </c:pt>
                <c:pt idx="1">
                  <c:v>226.59247168620442</c:v>
                </c:pt>
                <c:pt idx="2">
                  <c:v>230.07094874095614</c:v>
                </c:pt>
                <c:pt idx="3">
                  <c:v>236.59894253825624</c:v>
                </c:pt>
                <c:pt idx="4">
                  <c:v>247.59567885266196</c:v>
                </c:pt>
                <c:pt idx="5">
                  <c:v>245.21322787113061</c:v>
                </c:pt>
                <c:pt idx="6">
                  <c:v>245.49644145363328</c:v>
                </c:pt>
                <c:pt idx="7">
                  <c:v>235.71816419739878</c:v>
                </c:pt>
                <c:pt idx="8">
                  <c:v>231.37407287988489</c:v>
                </c:pt>
                <c:pt idx="9">
                  <c:v>231.06716944138921</c:v>
                </c:pt>
                <c:pt idx="10">
                  <c:v>227.84568517510544</c:v>
                </c:pt>
                <c:pt idx="11">
                  <c:v>224.48757937576366</c:v>
                </c:pt>
                <c:pt idx="12">
                  <c:v>216.67851577615681</c:v>
                </c:pt>
                <c:pt idx="13">
                  <c:v>215.16693259753788</c:v>
                </c:pt>
                <c:pt idx="14">
                  <c:v>214.68205496432765</c:v>
                </c:pt>
                <c:pt idx="15">
                  <c:v>213.44665965954084</c:v>
                </c:pt>
                <c:pt idx="16">
                  <c:v>215.44777281880351</c:v>
                </c:pt>
                <c:pt idx="17">
                  <c:v>218.64866243308359</c:v>
                </c:pt>
                <c:pt idx="18">
                  <c:v>220.28452247744974</c:v>
                </c:pt>
                <c:pt idx="19">
                  <c:v>213.89736346276686</c:v>
                </c:pt>
                <c:pt idx="20">
                  <c:v>214.60514424623662</c:v>
                </c:pt>
                <c:pt idx="21">
                  <c:v>220.637776495098</c:v>
                </c:pt>
                <c:pt idx="22">
                  <c:v>226.64003348331894</c:v>
                </c:pt>
                <c:pt idx="23">
                  <c:v>226.07436852005659</c:v>
                </c:pt>
                <c:pt idx="24">
                  <c:v>231.33025425299672</c:v>
                </c:pt>
                <c:pt idx="25">
                  <c:v>233.94771002022358</c:v>
                </c:pt>
                <c:pt idx="26">
                  <c:v>230.98814223207512</c:v>
                </c:pt>
                <c:pt idx="27">
                  <c:v>233.12576292626875</c:v>
                </c:pt>
                <c:pt idx="28">
                  <c:v>238.95910240563913</c:v>
                </c:pt>
                <c:pt idx="29">
                  <c:v>243.59341202608178</c:v>
                </c:pt>
                <c:pt idx="30">
                  <c:v>239.82299188489887</c:v>
                </c:pt>
                <c:pt idx="31">
                  <c:v>245.10476854265386</c:v>
                </c:pt>
                <c:pt idx="32">
                  <c:v>245.77196624180891</c:v>
                </c:pt>
                <c:pt idx="33">
                  <c:v>244.01120994273487</c:v>
                </c:pt>
                <c:pt idx="34">
                  <c:v>238.57073871239143</c:v>
                </c:pt>
                <c:pt idx="35">
                  <c:v>247.34369846219045</c:v>
                </c:pt>
                <c:pt idx="36">
                  <c:v>242.37012266740246</c:v>
                </c:pt>
                <c:pt idx="37">
                  <c:v>233.67844227771127</c:v>
                </c:pt>
                <c:pt idx="38">
                  <c:v>235.56995322053984</c:v>
                </c:pt>
                <c:pt idx="39">
                  <c:v>222.63233250722064</c:v>
                </c:pt>
                <c:pt idx="40">
                  <c:v>215.21285832423393</c:v>
                </c:pt>
                <c:pt idx="41">
                  <c:v>220.91242527477189</c:v>
                </c:pt>
                <c:pt idx="42">
                  <c:v>225.05830440554658</c:v>
                </c:pt>
                <c:pt idx="43">
                  <c:v>231.17880631483695</c:v>
                </c:pt>
                <c:pt idx="44">
                  <c:v>233.15126844464987</c:v>
                </c:pt>
                <c:pt idx="45">
                  <c:v>236.15573921312355</c:v>
                </c:pt>
                <c:pt idx="46">
                  <c:v>238.51760108890136</c:v>
                </c:pt>
                <c:pt idx="47">
                  <c:v>241.29911803256027</c:v>
                </c:pt>
                <c:pt idx="48">
                  <c:v>244.01212028098976</c:v>
                </c:pt>
                <c:pt idx="49">
                  <c:v>250.59367493348444</c:v>
                </c:pt>
                <c:pt idx="50">
                  <c:v>248.39291910317499</c:v>
                </c:pt>
                <c:pt idx="51">
                  <c:v>244.71460052434929</c:v>
                </c:pt>
                <c:pt idx="52">
                  <c:v>245.02755766232201</c:v>
                </c:pt>
                <c:pt idx="53">
                  <c:v>232.59782329876364</c:v>
                </c:pt>
                <c:pt idx="54">
                  <c:v>229.22418605680289</c:v>
                </c:pt>
                <c:pt idx="55">
                  <c:v>233.77941891298374</c:v>
                </c:pt>
                <c:pt idx="56">
                  <c:v>231.06745708406226</c:v>
                </c:pt>
                <c:pt idx="57">
                  <c:v>233.85013332554729</c:v>
                </c:pt>
                <c:pt idx="58">
                  <c:v>242.746061394696</c:v>
                </c:pt>
                <c:pt idx="59">
                  <c:v>250.84487263199901</c:v>
                </c:pt>
                <c:pt idx="60">
                  <c:v>251.51626646599229</c:v>
                </c:pt>
                <c:pt idx="61">
                  <c:v>246.55023427892326</c:v>
                </c:pt>
                <c:pt idx="62">
                  <c:v>250.62221541468193</c:v>
                </c:pt>
                <c:pt idx="63">
                  <c:v>242.68695483254288</c:v>
                </c:pt>
                <c:pt idx="64">
                  <c:v>253.65553956861942</c:v>
                </c:pt>
                <c:pt idx="65">
                  <c:v>257.46584463259063</c:v>
                </c:pt>
                <c:pt idx="66">
                  <c:v>250.98467667515627</c:v>
                </c:pt>
                <c:pt idx="67">
                  <c:v>253.02337885448975</c:v>
                </c:pt>
                <c:pt idx="68">
                  <c:v>251.5390678773667</c:v>
                </c:pt>
                <c:pt idx="69">
                  <c:v>258.26702951565784</c:v>
                </c:pt>
                <c:pt idx="70">
                  <c:v>263.78143910243313</c:v>
                </c:pt>
                <c:pt idx="71">
                  <c:v>267.64101421733352</c:v>
                </c:pt>
                <c:pt idx="72">
                  <c:v>264.55568960529507</c:v>
                </c:pt>
                <c:pt idx="73">
                  <c:v>270.00023871957916</c:v>
                </c:pt>
                <c:pt idx="74">
                  <c:v>278.94754743850007</c:v>
                </c:pt>
                <c:pt idx="75">
                  <c:v>278.89293100902773</c:v>
                </c:pt>
                <c:pt idx="76">
                  <c:v>267.31035800308564</c:v>
                </c:pt>
                <c:pt idx="77">
                  <c:v>273.66620423691188</c:v>
                </c:pt>
                <c:pt idx="78">
                  <c:v>284.945420619743</c:v>
                </c:pt>
                <c:pt idx="79">
                  <c:v>297.94830769356247</c:v>
                </c:pt>
                <c:pt idx="80">
                  <c:v>291.39828768189358</c:v>
                </c:pt>
                <c:pt idx="81">
                  <c:v>291.38162938779811</c:v>
                </c:pt>
                <c:pt idx="82">
                  <c:v>295.26688503137535</c:v>
                </c:pt>
                <c:pt idx="83">
                  <c:v>294.37841294685182</c:v>
                </c:pt>
                <c:pt idx="84">
                  <c:v>290.69186469770557</c:v>
                </c:pt>
                <c:pt idx="85">
                  <c:v>285.94802926695633</c:v>
                </c:pt>
                <c:pt idx="86">
                  <c:v>275.79554490298574</c:v>
                </c:pt>
                <c:pt idx="87">
                  <c:v>284.42137122856332</c:v>
                </c:pt>
                <c:pt idx="88">
                  <c:v>275.50746446797558</c:v>
                </c:pt>
                <c:pt idx="89">
                  <c:v>276.92587233555616</c:v>
                </c:pt>
                <c:pt idx="90">
                  <c:v>279.15965118429517</c:v>
                </c:pt>
                <c:pt idx="91">
                  <c:v>267.61576213427207</c:v>
                </c:pt>
                <c:pt idx="92">
                  <c:v>253.75921797403709</c:v>
                </c:pt>
                <c:pt idx="93">
                  <c:v>256.5488109665738</c:v>
                </c:pt>
                <c:pt idx="94">
                  <c:v>259.91766330817529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8474-FA46-A0A9-E06E8EA2867F}"/>
            </c:ext>
          </c:extLst>
        </c:ser>
        <c:ser>
          <c:idx val="59"/>
          <c:order val="59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'Q6'!$E$61:$CU$61</c:f>
              <c:numCache>
                <c:formatCode>General</c:formatCode>
                <c:ptCount val="95"/>
                <c:pt idx="0">
                  <c:v>222.13</c:v>
                </c:pt>
                <c:pt idx="1">
                  <c:v>220.10716539015425</c:v>
                </c:pt>
                <c:pt idx="2">
                  <c:v>220.28319596863085</c:v>
                </c:pt>
                <c:pt idx="3">
                  <c:v>219.15549811879831</c:v>
                </c:pt>
                <c:pt idx="4">
                  <c:v>219.0562671340418</c:v>
                </c:pt>
                <c:pt idx="5">
                  <c:v>217.98096484385755</c:v>
                </c:pt>
                <c:pt idx="6">
                  <c:v>214.74006467252161</c:v>
                </c:pt>
                <c:pt idx="7">
                  <c:v>216.38253443984357</c:v>
                </c:pt>
                <c:pt idx="8">
                  <c:v>218.10266100627061</c:v>
                </c:pt>
                <c:pt idx="9">
                  <c:v>212.84223009920166</c:v>
                </c:pt>
                <c:pt idx="10">
                  <c:v>215.68877499593842</c:v>
                </c:pt>
                <c:pt idx="11">
                  <c:v>210.96818075338092</c:v>
                </c:pt>
                <c:pt idx="12">
                  <c:v>209.06073346245986</c:v>
                </c:pt>
                <c:pt idx="13">
                  <c:v>209.29476675076467</c:v>
                </c:pt>
                <c:pt idx="14">
                  <c:v>208.06415041963061</c:v>
                </c:pt>
                <c:pt idx="15">
                  <c:v>209.90906365264496</c:v>
                </c:pt>
                <c:pt idx="16">
                  <c:v>202.74203034610824</c:v>
                </c:pt>
                <c:pt idx="17">
                  <c:v>195.7419416520973</c:v>
                </c:pt>
                <c:pt idx="18">
                  <c:v>193.81516452731159</c:v>
                </c:pt>
                <c:pt idx="19">
                  <c:v>189.04920605871158</c:v>
                </c:pt>
                <c:pt idx="20">
                  <c:v>194.72412652710818</c:v>
                </c:pt>
                <c:pt idx="21">
                  <c:v>201.90248817495998</c:v>
                </c:pt>
                <c:pt idx="22">
                  <c:v>203.70929510981796</c:v>
                </c:pt>
                <c:pt idx="23">
                  <c:v>205.68911405750057</c:v>
                </c:pt>
                <c:pt idx="24">
                  <c:v>210.61593781732518</c:v>
                </c:pt>
                <c:pt idx="25">
                  <c:v>220.07454554283098</c:v>
                </c:pt>
                <c:pt idx="26">
                  <c:v>216.81802261037117</c:v>
                </c:pt>
                <c:pt idx="27">
                  <c:v>213.88994177057043</c:v>
                </c:pt>
                <c:pt idx="28">
                  <c:v>206.74444048715682</c:v>
                </c:pt>
                <c:pt idx="29">
                  <c:v>208.66567128850559</c:v>
                </c:pt>
                <c:pt idx="30">
                  <c:v>204.81492437202462</c:v>
                </c:pt>
                <c:pt idx="31">
                  <c:v>205.38133798142752</c:v>
                </c:pt>
                <c:pt idx="32">
                  <c:v>205.73991845699828</c:v>
                </c:pt>
                <c:pt idx="33">
                  <c:v>204.4233867636969</c:v>
                </c:pt>
                <c:pt idx="34">
                  <c:v>209.05049214677319</c:v>
                </c:pt>
                <c:pt idx="35">
                  <c:v>210.27291145870447</c:v>
                </c:pt>
                <c:pt idx="36">
                  <c:v>212.9528400890255</c:v>
                </c:pt>
                <c:pt idx="37">
                  <c:v>214.58199061013948</c:v>
                </c:pt>
                <c:pt idx="38">
                  <c:v>205.2645155458321</c:v>
                </c:pt>
                <c:pt idx="39">
                  <c:v>209.31212785510829</c:v>
                </c:pt>
                <c:pt idx="40">
                  <c:v>208.89911172388258</c:v>
                </c:pt>
                <c:pt idx="41">
                  <c:v>205.53779602275236</c:v>
                </c:pt>
                <c:pt idx="42">
                  <c:v>207.67017467007716</c:v>
                </c:pt>
                <c:pt idx="43">
                  <c:v>214.29535160560991</c:v>
                </c:pt>
                <c:pt idx="44">
                  <c:v>215.44359418413185</c:v>
                </c:pt>
                <c:pt idx="45">
                  <c:v>213.94954253417097</c:v>
                </c:pt>
                <c:pt idx="46">
                  <c:v>212.34369626219674</c:v>
                </c:pt>
                <c:pt idx="47">
                  <c:v>211.93391527253706</c:v>
                </c:pt>
                <c:pt idx="48">
                  <c:v>224.07032214019728</c:v>
                </c:pt>
                <c:pt idx="49">
                  <c:v>218.07941613197039</c:v>
                </c:pt>
                <c:pt idx="50">
                  <c:v>229.70873269567181</c:v>
                </c:pt>
                <c:pt idx="51">
                  <c:v>231.57878308226512</c:v>
                </c:pt>
                <c:pt idx="52">
                  <c:v>235.44549228862198</c:v>
                </c:pt>
                <c:pt idx="53">
                  <c:v>236.02473708842021</c:v>
                </c:pt>
                <c:pt idx="54">
                  <c:v>238.12869866834541</c:v>
                </c:pt>
                <c:pt idx="55">
                  <c:v>250.23773890282115</c:v>
                </c:pt>
                <c:pt idx="56">
                  <c:v>263.72257916898656</c:v>
                </c:pt>
                <c:pt idx="57">
                  <c:v>270.50377021855695</c:v>
                </c:pt>
                <c:pt idx="58">
                  <c:v>266.36583900624055</c:v>
                </c:pt>
                <c:pt idx="59">
                  <c:v>271.28843650520645</c:v>
                </c:pt>
                <c:pt idx="60">
                  <c:v>270.77334120636556</c:v>
                </c:pt>
                <c:pt idx="61">
                  <c:v>274.22231813176097</c:v>
                </c:pt>
                <c:pt idx="62">
                  <c:v>270.57705233420671</c:v>
                </c:pt>
                <c:pt idx="63">
                  <c:v>269.95456204717311</c:v>
                </c:pt>
                <c:pt idx="64">
                  <c:v>274.09248084378515</c:v>
                </c:pt>
                <c:pt idx="65">
                  <c:v>268.90788137860375</c:v>
                </c:pt>
                <c:pt idx="66">
                  <c:v>263.14594312985059</c:v>
                </c:pt>
                <c:pt idx="67">
                  <c:v>269.34443343915581</c:v>
                </c:pt>
                <c:pt idx="68">
                  <c:v>262.88087753528436</c:v>
                </c:pt>
                <c:pt idx="69">
                  <c:v>260.93538498691174</c:v>
                </c:pt>
                <c:pt idx="70">
                  <c:v>268.73409779455733</c:v>
                </c:pt>
                <c:pt idx="71">
                  <c:v>269.89495913062814</c:v>
                </c:pt>
                <c:pt idx="72">
                  <c:v>267.95777172839701</c:v>
                </c:pt>
                <c:pt idx="73">
                  <c:v>273.66653261132905</c:v>
                </c:pt>
                <c:pt idx="74">
                  <c:v>279.31215769554274</c:v>
                </c:pt>
                <c:pt idx="75">
                  <c:v>285.60546233055766</c:v>
                </c:pt>
                <c:pt idx="76">
                  <c:v>289.35710737945379</c:v>
                </c:pt>
                <c:pt idx="77">
                  <c:v>290.27662719970169</c:v>
                </c:pt>
                <c:pt idx="78">
                  <c:v>288.57576110402118</c:v>
                </c:pt>
                <c:pt idx="79">
                  <c:v>286.35149942980928</c:v>
                </c:pt>
                <c:pt idx="80">
                  <c:v>280.0218141565104</c:v>
                </c:pt>
                <c:pt idx="81">
                  <c:v>271.20669885775328</c:v>
                </c:pt>
                <c:pt idx="82">
                  <c:v>272.06722939812306</c:v>
                </c:pt>
                <c:pt idx="83">
                  <c:v>267.59412017163731</c:v>
                </c:pt>
                <c:pt idx="84">
                  <c:v>263.58926183889463</c:v>
                </c:pt>
                <c:pt idx="85">
                  <c:v>263.09552243384445</c:v>
                </c:pt>
                <c:pt idx="86">
                  <c:v>267.38816943332728</c:v>
                </c:pt>
                <c:pt idx="87">
                  <c:v>269.37774770260586</c:v>
                </c:pt>
                <c:pt idx="88">
                  <c:v>273.27363628858211</c:v>
                </c:pt>
                <c:pt idx="89">
                  <c:v>258.41861511934906</c:v>
                </c:pt>
                <c:pt idx="90">
                  <c:v>255.84374645442617</c:v>
                </c:pt>
                <c:pt idx="91">
                  <c:v>263.9719514061681</c:v>
                </c:pt>
                <c:pt idx="92">
                  <c:v>251.47739250466114</c:v>
                </c:pt>
                <c:pt idx="93">
                  <c:v>248.39568039563287</c:v>
                </c:pt>
                <c:pt idx="94">
                  <c:v>250.46336516944746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8474-FA46-A0A9-E06E8EA2867F}"/>
            </c:ext>
          </c:extLst>
        </c:ser>
        <c:ser>
          <c:idx val="60"/>
          <c:order val="60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'Q6'!$E$62:$CU$62</c:f>
              <c:numCache>
                <c:formatCode>General</c:formatCode>
                <c:ptCount val="95"/>
                <c:pt idx="0">
                  <c:v>222.13</c:v>
                </c:pt>
                <c:pt idx="1">
                  <c:v>212.08711499326165</c:v>
                </c:pt>
                <c:pt idx="2">
                  <c:v>216.12605246786194</c:v>
                </c:pt>
                <c:pt idx="3">
                  <c:v>223.28446001056764</c:v>
                </c:pt>
                <c:pt idx="4">
                  <c:v>228.60924340639713</c:v>
                </c:pt>
                <c:pt idx="5">
                  <c:v>230.58218522354039</c:v>
                </c:pt>
                <c:pt idx="6">
                  <c:v>221.38059464828831</c:v>
                </c:pt>
                <c:pt idx="7">
                  <c:v>220.88725554969193</c:v>
                </c:pt>
                <c:pt idx="8">
                  <c:v>219.41167069012309</c:v>
                </c:pt>
                <c:pt idx="9">
                  <c:v>219.24884075839645</c:v>
                </c:pt>
                <c:pt idx="10">
                  <c:v>223.33771727150304</c:v>
                </c:pt>
                <c:pt idx="11">
                  <c:v>223.74164389320802</c:v>
                </c:pt>
                <c:pt idx="12">
                  <c:v>226.98688614942472</c:v>
                </c:pt>
                <c:pt idx="13">
                  <c:v>227.61752448976836</c:v>
                </c:pt>
                <c:pt idx="14">
                  <c:v>234.91470937519699</c:v>
                </c:pt>
                <c:pt idx="15">
                  <c:v>220.06656808839841</c:v>
                </c:pt>
                <c:pt idx="16">
                  <c:v>217.21713461256149</c:v>
                </c:pt>
                <c:pt idx="17">
                  <c:v>214.16307175905206</c:v>
                </c:pt>
                <c:pt idx="18">
                  <c:v>216.6703227137138</c:v>
                </c:pt>
                <c:pt idx="19">
                  <c:v>208.07060952085496</c:v>
                </c:pt>
                <c:pt idx="20">
                  <c:v>213.70325876758815</c:v>
                </c:pt>
                <c:pt idx="21">
                  <c:v>209.90551071345743</c:v>
                </c:pt>
                <c:pt idx="22">
                  <c:v>207.95581977659913</c:v>
                </c:pt>
                <c:pt idx="23">
                  <c:v>205.57983386111576</c:v>
                </c:pt>
                <c:pt idx="24">
                  <c:v>200.05590917771596</c:v>
                </c:pt>
                <c:pt idx="25">
                  <c:v>191.34390206777479</c:v>
                </c:pt>
                <c:pt idx="26">
                  <c:v>193.14263531623641</c:v>
                </c:pt>
                <c:pt idx="27">
                  <c:v>192.17501191411407</c:v>
                </c:pt>
                <c:pt idx="28">
                  <c:v>191.16689796391361</c:v>
                </c:pt>
                <c:pt idx="29">
                  <c:v>188.60359544244611</c:v>
                </c:pt>
                <c:pt idx="30">
                  <c:v>187.11147385619299</c:v>
                </c:pt>
                <c:pt idx="31">
                  <c:v>194.26528296347672</c:v>
                </c:pt>
                <c:pt idx="32">
                  <c:v>199.43261608624283</c:v>
                </c:pt>
                <c:pt idx="33">
                  <c:v>195.346440778176</c:v>
                </c:pt>
                <c:pt idx="34">
                  <c:v>195.60283247496454</c:v>
                </c:pt>
                <c:pt idx="35">
                  <c:v>191.34154103810857</c:v>
                </c:pt>
                <c:pt idx="36">
                  <c:v>186.86586141860391</c:v>
                </c:pt>
                <c:pt idx="37">
                  <c:v>191.32315420368334</c:v>
                </c:pt>
                <c:pt idx="38">
                  <c:v>184.05717006392899</c:v>
                </c:pt>
                <c:pt idx="39">
                  <c:v>188.00645206090235</c:v>
                </c:pt>
                <c:pt idx="40">
                  <c:v>190.01456167458613</c:v>
                </c:pt>
                <c:pt idx="41">
                  <c:v>189.84140962197228</c:v>
                </c:pt>
                <c:pt idx="42">
                  <c:v>183.70808324936399</c:v>
                </c:pt>
                <c:pt idx="43">
                  <c:v>182.00605050518718</c:v>
                </c:pt>
                <c:pt idx="44">
                  <c:v>174.40238320425718</c:v>
                </c:pt>
                <c:pt idx="45">
                  <c:v>176.41647722606578</c:v>
                </c:pt>
                <c:pt idx="46">
                  <c:v>176.93138898250089</c:v>
                </c:pt>
                <c:pt idx="47">
                  <c:v>179.06287376224984</c:v>
                </c:pt>
                <c:pt idx="48">
                  <c:v>173.17023312156101</c:v>
                </c:pt>
                <c:pt idx="49">
                  <c:v>176.70995867145228</c:v>
                </c:pt>
                <c:pt idx="50">
                  <c:v>177.96820940164312</c:v>
                </c:pt>
                <c:pt idx="51">
                  <c:v>173.79493535330752</c:v>
                </c:pt>
                <c:pt idx="52">
                  <c:v>171.39960504914851</c:v>
                </c:pt>
                <c:pt idx="53">
                  <c:v>168.65470223775063</c:v>
                </c:pt>
                <c:pt idx="54">
                  <c:v>164.42196924316124</c:v>
                </c:pt>
                <c:pt idx="55">
                  <c:v>167.53516287719876</c:v>
                </c:pt>
                <c:pt idx="56">
                  <c:v>166.69495814055091</c:v>
                </c:pt>
                <c:pt idx="57">
                  <c:v>171.46620318559042</c:v>
                </c:pt>
                <c:pt idx="58">
                  <c:v>174.74440507585712</c:v>
                </c:pt>
                <c:pt idx="59">
                  <c:v>174.53962066205077</c:v>
                </c:pt>
                <c:pt idx="60">
                  <c:v>166.92173648547742</c:v>
                </c:pt>
                <c:pt idx="61">
                  <c:v>160.78682448362466</c:v>
                </c:pt>
                <c:pt idx="62">
                  <c:v>158.64687133096612</c:v>
                </c:pt>
                <c:pt idx="63">
                  <c:v>153.86200676241702</c:v>
                </c:pt>
                <c:pt idx="64">
                  <c:v>150.98274909250244</c:v>
                </c:pt>
                <c:pt idx="65">
                  <c:v>147.97392826554471</c:v>
                </c:pt>
                <c:pt idx="66">
                  <c:v>148.61577693404189</c:v>
                </c:pt>
                <c:pt idx="67">
                  <c:v>151.2667032405063</c:v>
                </c:pt>
                <c:pt idx="68">
                  <c:v>151.22465681785806</c:v>
                </c:pt>
                <c:pt idx="69">
                  <c:v>154.27160098178678</c:v>
                </c:pt>
                <c:pt idx="70">
                  <c:v>150.6778727595802</c:v>
                </c:pt>
                <c:pt idx="71">
                  <c:v>150.33599095588562</c:v>
                </c:pt>
                <c:pt idx="72">
                  <c:v>149.50762100069241</c:v>
                </c:pt>
                <c:pt idx="73">
                  <c:v>142.93529535146541</c:v>
                </c:pt>
                <c:pt idx="74">
                  <c:v>151.19593160655444</c:v>
                </c:pt>
                <c:pt idx="75">
                  <c:v>153.7973761888378</c:v>
                </c:pt>
                <c:pt idx="76">
                  <c:v>152.84035619988634</c:v>
                </c:pt>
                <c:pt idx="77">
                  <c:v>150.15673524331564</c:v>
                </c:pt>
                <c:pt idx="78">
                  <c:v>155.1356900193461</c:v>
                </c:pt>
                <c:pt idx="79">
                  <c:v>158.94326641412599</c:v>
                </c:pt>
                <c:pt idx="80">
                  <c:v>160.9042894340777</c:v>
                </c:pt>
                <c:pt idx="81">
                  <c:v>162.41149363068078</c:v>
                </c:pt>
                <c:pt idx="82">
                  <c:v>158.24933108526781</c:v>
                </c:pt>
                <c:pt idx="83">
                  <c:v>167.02002952667084</c:v>
                </c:pt>
                <c:pt idx="84">
                  <c:v>166.5652915571543</c:v>
                </c:pt>
                <c:pt idx="85">
                  <c:v>164.08641949697358</c:v>
                </c:pt>
                <c:pt idx="86">
                  <c:v>169.79704833063229</c:v>
                </c:pt>
                <c:pt idx="87">
                  <c:v>168.47332009848196</c:v>
                </c:pt>
                <c:pt idx="88">
                  <c:v>170.97025220797798</c:v>
                </c:pt>
                <c:pt idx="89">
                  <c:v>168.90328249820087</c:v>
                </c:pt>
                <c:pt idx="90">
                  <c:v>163.02708336347342</c:v>
                </c:pt>
                <c:pt idx="91">
                  <c:v>161.63126523651931</c:v>
                </c:pt>
                <c:pt idx="92">
                  <c:v>161.87725147400906</c:v>
                </c:pt>
                <c:pt idx="93">
                  <c:v>162.46681990126604</c:v>
                </c:pt>
                <c:pt idx="94">
                  <c:v>162.37584331194583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8474-FA46-A0A9-E06E8EA2867F}"/>
            </c:ext>
          </c:extLst>
        </c:ser>
        <c:ser>
          <c:idx val="61"/>
          <c:order val="61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'Q6'!$E$63:$CU$63</c:f>
              <c:numCache>
                <c:formatCode>General</c:formatCode>
                <c:ptCount val="95"/>
                <c:pt idx="0">
                  <c:v>222.13</c:v>
                </c:pt>
                <c:pt idx="1">
                  <c:v>218.63703781827795</c:v>
                </c:pt>
                <c:pt idx="2">
                  <c:v>217.62128196786878</c:v>
                </c:pt>
                <c:pt idx="3">
                  <c:v>224.29496238358121</c:v>
                </c:pt>
                <c:pt idx="4">
                  <c:v>224.55691110042082</c:v>
                </c:pt>
                <c:pt idx="5">
                  <c:v>229.08494185377972</c:v>
                </c:pt>
                <c:pt idx="6">
                  <c:v>238.06707822385542</c:v>
                </c:pt>
                <c:pt idx="7">
                  <c:v>226.79941783519089</c:v>
                </c:pt>
                <c:pt idx="8">
                  <c:v>229.84336214963085</c:v>
                </c:pt>
                <c:pt idx="9">
                  <c:v>239.73430859923118</c:v>
                </c:pt>
                <c:pt idx="10">
                  <c:v>236.50822093274442</c:v>
                </c:pt>
                <c:pt idx="11">
                  <c:v>232.686928763514</c:v>
                </c:pt>
                <c:pt idx="12">
                  <c:v>228.65064631204675</c:v>
                </c:pt>
                <c:pt idx="13">
                  <c:v>227.62533324315444</c:v>
                </c:pt>
                <c:pt idx="14">
                  <c:v>224.91950424992166</c:v>
                </c:pt>
                <c:pt idx="15">
                  <c:v>204.20425649360703</c:v>
                </c:pt>
                <c:pt idx="16">
                  <c:v>205.26880723527782</c:v>
                </c:pt>
                <c:pt idx="17">
                  <c:v>200.88218776238787</c:v>
                </c:pt>
                <c:pt idx="18">
                  <c:v>203.11243314044253</c:v>
                </c:pt>
                <c:pt idx="19">
                  <c:v>206.59219948746991</c:v>
                </c:pt>
                <c:pt idx="20">
                  <c:v>209.26709879184369</c:v>
                </c:pt>
                <c:pt idx="21">
                  <c:v>216.80249416785509</c:v>
                </c:pt>
                <c:pt idx="22">
                  <c:v>221.11251272564311</c:v>
                </c:pt>
                <c:pt idx="23">
                  <c:v>227.8357072039482</c:v>
                </c:pt>
                <c:pt idx="24">
                  <c:v>220.67092466871162</c:v>
                </c:pt>
                <c:pt idx="25">
                  <c:v>212.65042215111532</c:v>
                </c:pt>
                <c:pt idx="26">
                  <c:v>215.50566597166741</c:v>
                </c:pt>
                <c:pt idx="27">
                  <c:v>215.8173130526082</c:v>
                </c:pt>
                <c:pt idx="28">
                  <c:v>220.57013331884087</c:v>
                </c:pt>
                <c:pt idx="29">
                  <c:v>227.96144426976957</c:v>
                </c:pt>
                <c:pt idx="30">
                  <c:v>233.72974747973956</c:v>
                </c:pt>
                <c:pt idx="31">
                  <c:v>236.66949493175809</c:v>
                </c:pt>
                <c:pt idx="32">
                  <c:v>241.98604429962373</c:v>
                </c:pt>
                <c:pt idx="33">
                  <c:v>241.12675867551295</c:v>
                </c:pt>
                <c:pt idx="34">
                  <c:v>247.27191607085356</c:v>
                </c:pt>
                <c:pt idx="35">
                  <c:v>244.41747584556353</c:v>
                </c:pt>
                <c:pt idx="36">
                  <c:v>242.7852728864095</c:v>
                </c:pt>
                <c:pt idx="37">
                  <c:v>240.15370921001505</c:v>
                </c:pt>
                <c:pt idx="38">
                  <c:v>236.14574222657373</c:v>
                </c:pt>
                <c:pt idx="39">
                  <c:v>233.77122420465656</c:v>
                </c:pt>
                <c:pt idx="40">
                  <c:v>239.53747537609883</c:v>
                </c:pt>
                <c:pt idx="41">
                  <c:v>240.29335919930202</c:v>
                </c:pt>
                <c:pt idx="42">
                  <c:v>242.49446246715522</c:v>
                </c:pt>
                <c:pt idx="43">
                  <c:v>246.95041463248634</c:v>
                </c:pt>
                <c:pt idx="44">
                  <c:v>249.61616578057891</c:v>
                </c:pt>
                <c:pt idx="45">
                  <c:v>241.4718632863169</c:v>
                </c:pt>
                <c:pt idx="46">
                  <c:v>242.1791637022985</c:v>
                </c:pt>
                <c:pt idx="47">
                  <c:v>245.01404185803923</c:v>
                </c:pt>
                <c:pt idx="48">
                  <c:v>240.3015497535539</c:v>
                </c:pt>
                <c:pt idx="49">
                  <c:v>240.12406298949927</c:v>
                </c:pt>
                <c:pt idx="50">
                  <c:v>246.05478799376192</c:v>
                </c:pt>
                <c:pt idx="51">
                  <c:v>243.18572335367605</c:v>
                </c:pt>
                <c:pt idx="52">
                  <c:v>239.94363071066431</c:v>
                </c:pt>
                <c:pt idx="53">
                  <c:v>233.02869243740852</c:v>
                </c:pt>
                <c:pt idx="54">
                  <c:v>234.08860048773948</c:v>
                </c:pt>
                <c:pt idx="55">
                  <c:v>232.79136201886547</c:v>
                </c:pt>
                <c:pt idx="56">
                  <c:v>238.11356395987124</c:v>
                </c:pt>
                <c:pt idx="57">
                  <c:v>235.24923104930178</c:v>
                </c:pt>
                <c:pt idx="58">
                  <c:v>239.37880353140716</c:v>
                </c:pt>
                <c:pt idx="59">
                  <c:v>239.68301316869525</c:v>
                </c:pt>
                <c:pt idx="60">
                  <c:v>231.39175616820654</c:v>
                </c:pt>
                <c:pt idx="61">
                  <c:v>237.15776442899889</c:v>
                </c:pt>
                <c:pt idx="62">
                  <c:v>243.22676342748082</c:v>
                </c:pt>
                <c:pt idx="63">
                  <c:v>239.76035734460123</c:v>
                </c:pt>
                <c:pt idx="64">
                  <c:v>243.96767204999711</c:v>
                </c:pt>
                <c:pt idx="65">
                  <c:v>240.78776192559434</c:v>
                </c:pt>
                <c:pt idx="66">
                  <c:v>256.99390469788472</c:v>
                </c:pt>
                <c:pt idx="67">
                  <c:v>251.25720403913095</c:v>
                </c:pt>
                <c:pt idx="68">
                  <c:v>252.25103496839031</c:v>
                </c:pt>
                <c:pt idx="69">
                  <c:v>253.8336864691519</c:v>
                </c:pt>
                <c:pt idx="70">
                  <c:v>256.58133373992024</c:v>
                </c:pt>
                <c:pt idx="71">
                  <c:v>253.87201354067179</c:v>
                </c:pt>
                <c:pt idx="72">
                  <c:v>255.54980844448562</c:v>
                </c:pt>
                <c:pt idx="73">
                  <c:v>261.999225585678</c:v>
                </c:pt>
                <c:pt idx="74">
                  <c:v>258.60573015660896</c:v>
                </c:pt>
                <c:pt idx="75">
                  <c:v>260.46823466146049</c:v>
                </c:pt>
                <c:pt idx="76">
                  <c:v>258.80128769147149</c:v>
                </c:pt>
                <c:pt idx="77">
                  <c:v>252.80191841696706</c:v>
                </c:pt>
                <c:pt idx="78">
                  <c:v>264.11590690059757</c:v>
                </c:pt>
                <c:pt idx="79">
                  <c:v>277.09718396116824</c:v>
                </c:pt>
                <c:pt idx="80">
                  <c:v>270.41746823949552</c:v>
                </c:pt>
                <c:pt idx="81">
                  <c:v>275.70739195092392</c:v>
                </c:pt>
                <c:pt idx="82">
                  <c:v>270.32336492030288</c:v>
                </c:pt>
                <c:pt idx="83">
                  <c:v>274.37500175687899</c:v>
                </c:pt>
                <c:pt idx="84">
                  <c:v>282.57097365561191</c:v>
                </c:pt>
                <c:pt idx="85">
                  <c:v>293.47978846193854</c:v>
                </c:pt>
                <c:pt idx="86">
                  <c:v>305.17239649569012</c:v>
                </c:pt>
                <c:pt idx="87">
                  <c:v>304.67166239485147</c:v>
                </c:pt>
                <c:pt idx="88">
                  <c:v>309.40623582815499</c:v>
                </c:pt>
                <c:pt idx="89">
                  <c:v>295.95877609348366</c:v>
                </c:pt>
                <c:pt idx="90">
                  <c:v>294.88323076136749</c:v>
                </c:pt>
                <c:pt idx="91">
                  <c:v>294.27672012253197</c:v>
                </c:pt>
                <c:pt idx="92">
                  <c:v>299.49664654238211</c:v>
                </c:pt>
                <c:pt idx="93">
                  <c:v>309.15741438180532</c:v>
                </c:pt>
                <c:pt idx="94">
                  <c:v>310.18674691226556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8474-FA46-A0A9-E06E8EA2867F}"/>
            </c:ext>
          </c:extLst>
        </c:ser>
        <c:ser>
          <c:idx val="62"/>
          <c:order val="62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'Q6'!$E$64:$CU$64</c:f>
              <c:numCache>
                <c:formatCode>General</c:formatCode>
                <c:ptCount val="95"/>
                <c:pt idx="0">
                  <c:v>222.13</c:v>
                </c:pt>
                <c:pt idx="1">
                  <c:v>228.55128534700498</c:v>
                </c:pt>
                <c:pt idx="2">
                  <c:v>232.53370486524099</c:v>
                </c:pt>
                <c:pt idx="3">
                  <c:v>247.55510851941347</c:v>
                </c:pt>
                <c:pt idx="4">
                  <c:v>246.57438385100525</c:v>
                </c:pt>
                <c:pt idx="5">
                  <c:v>241.76614073962381</c:v>
                </c:pt>
                <c:pt idx="6">
                  <c:v>235.38688727931489</c:v>
                </c:pt>
                <c:pt idx="7">
                  <c:v>222.60108840219274</c:v>
                </c:pt>
                <c:pt idx="8">
                  <c:v>214.61368390002389</c:v>
                </c:pt>
                <c:pt idx="9">
                  <c:v>221.8690662109143</c:v>
                </c:pt>
                <c:pt idx="10">
                  <c:v>219.86694665963026</c:v>
                </c:pt>
                <c:pt idx="11">
                  <c:v>221.46247340918021</c:v>
                </c:pt>
                <c:pt idx="12">
                  <c:v>225.10786161897022</c:v>
                </c:pt>
                <c:pt idx="13">
                  <c:v>228.27501664156003</c:v>
                </c:pt>
                <c:pt idx="14">
                  <c:v>230.45756466840268</c:v>
                </c:pt>
                <c:pt idx="15">
                  <c:v>238.08420921933052</c:v>
                </c:pt>
                <c:pt idx="16">
                  <c:v>227.11787865348552</c:v>
                </c:pt>
                <c:pt idx="17">
                  <c:v>231.34118876790208</c:v>
                </c:pt>
                <c:pt idx="18">
                  <c:v>224.5496945355911</c:v>
                </c:pt>
                <c:pt idx="19">
                  <c:v>225.7174413623564</c:v>
                </c:pt>
                <c:pt idx="20">
                  <c:v>221.52439687975516</c:v>
                </c:pt>
                <c:pt idx="21">
                  <c:v>225.49882456120562</c:v>
                </c:pt>
                <c:pt idx="22">
                  <c:v>221.95531573428812</c:v>
                </c:pt>
                <c:pt idx="23">
                  <c:v>218.38265025240511</c:v>
                </c:pt>
                <c:pt idx="24">
                  <c:v>217.4230490326581</c:v>
                </c:pt>
                <c:pt idx="25">
                  <c:v>220.18724946319128</c:v>
                </c:pt>
                <c:pt idx="26">
                  <c:v>217.8525076165221</c:v>
                </c:pt>
                <c:pt idx="27">
                  <c:v>223.216992081223</c:v>
                </c:pt>
                <c:pt idx="28">
                  <c:v>227.38187787157514</c:v>
                </c:pt>
                <c:pt idx="29">
                  <c:v>232.94002724493305</c:v>
                </c:pt>
                <c:pt idx="30">
                  <c:v>230.63127156061719</c:v>
                </c:pt>
                <c:pt idx="31">
                  <c:v>230.37886901145941</c:v>
                </c:pt>
                <c:pt idx="32">
                  <c:v>233.87852394783991</c:v>
                </c:pt>
                <c:pt idx="33">
                  <c:v>235.25219503470473</c:v>
                </c:pt>
                <c:pt idx="34">
                  <c:v>238.99279459041153</c:v>
                </c:pt>
                <c:pt idx="35">
                  <c:v>234.98732181211707</c:v>
                </c:pt>
                <c:pt idx="36">
                  <c:v>239.13437936422901</c:v>
                </c:pt>
                <c:pt idx="37">
                  <c:v>226.56086134751379</c:v>
                </c:pt>
                <c:pt idx="38">
                  <c:v>224.70575303129073</c:v>
                </c:pt>
                <c:pt idx="39">
                  <c:v>231.29025796737113</c:v>
                </c:pt>
                <c:pt idx="40">
                  <c:v>236.10969498690272</c:v>
                </c:pt>
                <c:pt idx="41">
                  <c:v>230.24393240962269</c:v>
                </c:pt>
                <c:pt idx="42">
                  <c:v>239.44503162449996</c:v>
                </c:pt>
                <c:pt idx="43">
                  <c:v>249.03672037142735</c:v>
                </c:pt>
                <c:pt idx="44">
                  <c:v>245.79533000691382</c:v>
                </c:pt>
                <c:pt idx="45">
                  <c:v>235.90696692310289</c:v>
                </c:pt>
                <c:pt idx="46">
                  <c:v>233.00127133753458</c:v>
                </c:pt>
                <c:pt idx="47">
                  <c:v>231.12851976799016</c:v>
                </c:pt>
                <c:pt idx="48">
                  <c:v>236.67982940515003</c:v>
                </c:pt>
                <c:pt idx="49">
                  <c:v>233.97196834312695</c:v>
                </c:pt>
                <c:pt idx="50">
                  <c:v>223.23449417123359</c:v>
                </c:pt>
                <c:pt idx="51">
                  <c:v>232.9986430811374</c:v>
                </c:pt>
                <c:pt idx="52">
                  <c:v>241.27804188464879</c:v>
                </c:pt>
                <c:pt idx="53">
                  <c:v>230.03703164056395</c:v>
                </c:pt>
                <c:pt idx="54">
                  <c:v>223.24368252292555</c:v>
                </c:pt>
                <c:pt idx="55">
                  <c:v>224.00954648386056</c:v>
                </c:pt>
                <c:pt idx="56">
                  <c:v>217.91074612429227</c:v>
                </c:pt>
                <c:pt idx="57">
                  <c:v>219.09217470691095</c:v>
                </c:pt>
                <c:pt idx="58">
                  <c:v>213.73843922458343</c:v>
                </c:pt>
                <c:pt idx="59">
                  <c:v>221.03600694862507</c:v>
                </c:pt>
                <c:pt idx="60">
                  <c:v>224.42772899229101</c:v>
                </c:pt>
                <c:pt idx="61">
                  <c:v>220.89845603179361</c:v>
                </c:pt>
                <c:pt idx="62">
                  <c:v>218.35842683520565</c:v>
                </c:pt>
                <c:pt idx="63">
                  <c:v>217.47941377697495</c:v>
                </c:pt>
                <c:pt idx="64">
                  <c:v>217.90296218504625</c:v>
                </c:pt>
                <c:pt idx="65">
                  <c:v>213.79152401435616</c:v>
                </c:pt>
                <c:pt idx="66">
                  <c:v>223.18330089355399</c:v>
                </c:pt>
                <c:pt idx="67">
                  <c:v>220.58458418450297</c:v>
                </c:pt>
                <c:pt idx="68">
                  <c:v>218.26780493030415</c:v>
                </c:pt>
                <c:pt idx="69">
                  <c:v>218.82382401287595</c:v>
                </c:pt>
                <c:pt idx="70">
                  <c:v>218.21337460257823</c:v>
                </c:pt>
                <c:pt idx="71">
                  <c:v>211.85560274909159</c:v>
                </c:pt>
                <c:pt idx="72">
                  <c:v>206.23403193404755</c:v>
                </c:pt>
                <c:pt idx="73">
                  <c:v>212.16853640409809</c:v>
                </c:pt>
                <c:pt idx="74">
                  <c:v>212.29240497951957</c:v>
                </c:pt>
                <c:pt idx="75">
                  <c:v>210.2095660591921</c:v>
                </c:pt>
                <c:pt idx="76">
                  <c:v>219.08439111601163</c:v>
                </c:pt>
                <c:pt idx="77">
                  <c:v>218.97106703153392</c:v>
                </c:pt>
                <c:pt idx="78">
                  <c:v>217.51362292071789</c:v>
                </c:pt>
                <c:pt idx="79">
                  <c:v>212.69800111259687</c:v>
                </c:pt>
                <c:pt idx="80">
                  <c:v>218.58209492257777</c:v>
                </c:pt>
                <c:pt idx="81">
                  <c:v>213.81597751275774</c:v>
                </c:pt>
                <c:pt idx="82">
                  <c:v>221.75515905956411</c:v>
                </c:pt>
                <c:pt idx="83">
                  <c:v>216.58765425384235</c:v>
                </c:pt>
                <c:pt idx="84">
                  <c:v>217.23342913544832</c:v>
                </c:pt>
                <c:pt idx="85">
                  <c:v>209.5092540550252</c:v>
                </c:pt>
                <c:pt idx="86">
                  <c:v>220.0952972882254</c:v>
                </c:pt>
                <c:pt idx="87">
                  <c:v>220.14783783344146</c:v>
                </c:pt>
                <c:pt idx="88">
                  <c:v>227.91095157892966</c:v>
                </c:pt>
                <c:pt idx="89">
                  <c:v>236.52238193723562</c:v>
                </c:pt>
                <c:pt idx="90">
                  <c:v>239.16621996931028</c:v>
                </c:pt>
                <c:pt idx="91">
                  <c:v>231.55337400938595</c:v>
                </c:pt>
                <c:pt idx="92">
                  <c:v>228.59116538641283</c:v>
                </c:pt>
                <c:pt idx="93">
                  <c:v>225.19458592050279</c:v>
                </c:pt>
                <c:pt idx="94">
                  <c:v>219.33345991998763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8474-FA46-A0A9-E06E8EA2867F}"/>
            </c:ext>
          </c:extLst>
        </c:ser>
        <c:ser>
          <c:idx val="63"/>
          <c:order val="63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'Q6'!$E$65:$CU$65</c:f>
              <c:numCache>
                <c:formatCode>General</c:formatCode>
                <c:ptCount val="95"/>
                <c:pt idx="0">
                  <c:v>222.13</c:v>
                </c:pt>
                <c:pt idx="1">
                  <c:v>223.06803890176209</c:v>
                </c:pt>
                <c:pt idx="2">
                  <c:v>226.24155320662908</c:v>
                </c:pt>
                <c:pt idx="3">
                  <c:v>223.59404178562687</c:v>
                </c:pt>
                <c:pt idx="4">
                  <c:v>228.7724468630999</c:v>
                </c:pt>
                <c:pt idx="5">
                  <c:v>216.72142850529985</c:v>
                </c:pt>
                <c:pt idx="6">
                  <c:v>220.71022156531629</c:v>
                </c:pt>
                <c:pt idx="7">
                  <c:v>218.86130772995202</c:v>
                </c:pt>
                <c:pt idx="8">
                  <c:v>221.49028279761686</c:v>
                </c:pt>
                <c:pt idx="9">
                  <c:v>221.27166352181206</c:v>
                </c:pt>
                <c:pt idx="10">
                  <c:v>228.73109670430304</c:v>
                </c:pt>
                <c:pt idx="11">
                  <c:v>229.2904431454991</c:v>
                </c:pt>
                <c:pt idx="12">
                  <c:v>230.78537704353263</c:v>
                </c:pt>
                <c:pt idx="13">
                  <c:v>227.57771823963984</c:v>
                </c:pt>
                <c:pt idx="14">
                  <c:v>212.95527452139609</c:v>
                </c:pt>
                <c:pt idx="15">
                  <c:v>214.32138529765771</c:v>
                </c:pt>
                <c:pt idx="16">
                  <c:v>208.56090495447725</c:v>
                </c:pt>
                <c:pt idx="17">
                  <c:v>202.37033097017351</c:v>
                </c:pt>
                <c:pt idx="18">
                  <c:v>205.23937832208105</c:v>
                </c:pt>
                <c:pt idx="19">
                  <c:v>196.75286482424011</c:v>
                </c:pt>
                <c:pt idx="20">
                  <c:v>194.31112431774136</c:v>
                </c:pt>
                <c:pt idx="21">
                  <c:v>187.16702764661784</c:v>
                </c:pt>
                <c:pt idx="22">
                  <c:v>191.55076257147189</c:v>
                </c:pt>
                <c:pt idx="23">
                  <c:v>189.17607872866282</c:v>
                </c:pt>
                <c:pt idx="24">
                  <c:v>188.3665136927504</c:v>
                </c:pt>
                <c:pt idx="25">
                  <c:v>186.82066441251615</c:v>
                </c:pt>
                <c:pt idx="26">
                  <c:v>192.66727650526269</c:v>
                </c:pt>
                <c:pt idx="27">
                  <c:v>197.08449147464097</c:v>
                </c:pt>
                <c:pt idx="28">
                  <c:v>191.98410786947551</c:v>
                </c:pt>
                <c:pt idx="29">
                  <c:v>193.774256161734</c:v>
                </c:pt>
                <c:pt idx="30">
                  <c:v>200.10335465594562</c:v>
                </c:pt>
                <c:pt idx="31">
                  <c:v>209.15610149103489</c:v>
                </c:pt>
                <c:pt idx="32">
                  <c:v>210.99248506763084</c:v>
                </c:pt>
                <c:pt idx="33">
                  <c:v>213.07204052200231</c:v>
                </c:pt>
                <c:pt idx="34">
                  <c:v>214.22351961536245</c:v>
                </c:pt>
                <c:pt idx="35">
                  <c:v>218.51672413525668</c:v>
                </c:pt>
                <c:pt idx="36">
                  <c:v>215.97472903355353</c:v>
                </c:pt>
                <c:pt idx="37">
                  <c:v>213.36883535701753</c:v>
                </c:pt>
                <c:pt idx="38">
                  <c:v>200.8354212357836</c:v>
                </c:pt>
                <c:pt idx="39">
                  <c:v>207.3396780915636</c:v>
                </c:pt>
                <c:pt idx="40">
                  <c:v>207.41735836204953</c:v>
                </c:pt>
                <c:pt idx="41">
                  <c:v>202.8825460060138</c:v>
                </c:pt>
                <c:pt idx="42">
                  <c:v>202.19898409057797</c:v>
                </c:pt>
                <c:pt idx="43">
                  <c:v>205.70127445323556</c:v>
                </c:pt>
                <c:pt idx="44">
                  <c:v>210.60227029866817</c:v>
                </c:pt>
                <c:pt idx="45">
                  <c:v>206.1094596184777</c:v>
                </c:pt>
                <c:pt idx="46">
                  <c:v>204.61001026226197</c:v>
                </c:pt>
                <c:pt idx="47">
                  <c:v>212.64974688975281</c:v>
                </c:pt>
                <c:pt idx="48">
                  <c:v>207.2168979051923</c:v>
                </c:pt>
                <c:pt idx="49">
                  <c:v>208.0429033204332</c:v>
                </c:pt>
                <c:pt idx="50">
                  <c:v>197.51750464988075</c:v>
                </c:pt>
                <c:pt idx="51">
                  <c:v>195.06956052016761</c:v>
                </c:pt>
                <c:pt idx="52">
                  <c:v>193.896905609437</c:v>
                </c:pt>
                <c:pt idx="53">
                  <c:v>188.40971046741979</c:v>
                </c:pt>
                <c:pt idx="54">
                  <c:v>184.80575068730306</c:v>
                </c:pt>
                <c:pt idx="55">
                  <c:v>188.42657778236932</c:v>
                </c:pt>
                <c:pt idx="56">
                  <c:v>194.77268920946028</c:v>
                </c:pt>
                <c:pt idx="57">
                  <c:v>199.22585683085606</c:v>
                </c:pt>
                <c:pt idx="58">
                  <c:v>201.34038603509345</c:v>
                </c:pt>
                <c:pt idx="59">
                  <c:v>204.25127643746731</c:v>
                </c:pt>
                <c:pt idx="60">
                  <c:v>202.02443046469239</c:v>
                </c:pt>
                <c:pt idx="61">
                  <c:v>205.59554391417822</c:v>
                </c:pt>
                <c:pt idx="62">
                  <c:v>208.13878169886627</c:v>
                </c:pt>
                <c:pt idx="63">
                  <c:v>208.60398455661834</c:v>
                </c:pt>
                <c:pt idx="64">
                  <c:v>208.13681077875501</c:v>
                </c:pt>
                <c:pt idx="65">
                  <c:v>205.95853788485954</c:v>
                </c:pt>
                <c:pt idx="66">
                  <c:v>204.49995232969894</c:v>
                </c:pt>
                <c:pt idx="67">
                  <c:v>209.92179287453416</c:v>
                </c:pt>
                <c:pt idx="68">
                  <c:v>214.65714501617003</c:v>
                </c:pt>
                <c:pt idx="69">
                  <c:v>217.57605870762185</c:v>
                </c:pt>
                <c:pt idx="70">
                  <c:v>219.9338651350449</c:v>
                </c:pt>
                <c:pt idx="71">
                  <c:v>236.04596575234268</c:v>
                </c:pt>
                <c:pt idx="72">
                  <c:v>237.26331897399555</c:v>
                </c:pt>
                <c:pt idx="73">
                  <c:v>237.35400368237288</c:v>
                </c:pt>
                <c:pt idx="74">
                  <c:v>233.98744171693303</c:v>
                </c:pt>
                <c:pt idx="75">
                  <c:v>236.69720552557976</c:v>
                </c:pt>
                <c:pt idx="76">
                  <c:v>241.85463374452212</c:v>
                </c:pt>
                <c:pt idx="77">
                  <c:v>246.00280081577907</c:v>
                </c:pt>
                <c:pt idx="78">
                  <c:v>253.19889825747376</c:v>
                </c:pt>
                <c:pt idx="79">
                  <c:v>252.04797765985694</c:v>
                </c:pt>
                <c:pt idx="80">
                  <c:v>240.50579824977146</c:v>
                </c:pt>
                <c:pt idx="81">
                  <c:v>243.98757948151956</c:v>
                </c:pt>
                <c:pt idx="82">
                  <c:v>245.67562130496324</c:v>
                </c:pt>
                <c:pt idx="83">
                  <c:v>235.36012002511384</c:v>
                </c:pt>
                <c:pt idx="84">
                  <c:v>230.76633792261748</c:v>
                </c:pt>
                <c:pt idx="85">
                  <c:v>239.95892893076547</c:v>
                </c:pt>
                <c:pt idx="86">
                  <c:v>237.21736122351794</c:v>
                </c:pt>
                <c:pt idx="87">
                  <c:v>226.78480436362076</c:v>
                </c:pt>
                <c:pt idx="88">
                  <c:v>223.10473722505819</c:v>
                </c:pt>
                <c:pt idx="89">
                  <c:v>229.2067160668461</c:v>
                </c:pt>
                <c:pt idx="90">
                  <c:v>232.62474766707496</c:v>
                </c:pt>
                <c:pt idx="91">
                  <c:v>243.25590929133818</c:v>
                </c:pt>
                <c:pt idx="92">
                  <c:v>246.61197423276786</c:v>
                </c:pt>
                <c:pt idx="93">
                  <c:v>253.370171068247</c:v>
                </c:pt>
                <c:pt idx="94">
                  <c:v>245.23382671227387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8474-FA46-A0A9-E06E8EA2867F}"/>
            </c:ext>
          </c:extLst>
        </c:ser>
        <c:ser>
          <c:idx val="64"/>
          <c:order val="64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'Q6'!$E$66:$CU$66</c:f>
              <c:numCache>
                <c:formatCode>General</c:formatCode>
                <c:ptCount val="95"/>
                <c:pt idx="0">
                  <c:v>222.13</c:v>
                </c:pt>
                <c:pt idx="1">
                  <c:v>217.8899917149061</c:v>
                </c:pt>
                <c:pt idx="2">
                  <c:v>216.61731878283638</c:v>
                </c:pt>
                <c:pt idx="3">
                  <c:v>215.97343447440866</c:v>
                </c:pt>
                <c:pt idx="4">
                  <c:v>213.97520460243317</c:v>
                </c:pt>
                <c:pt idx="5">
                  <c:v>214.37305909191849</c:v>
                </c:pt>
                <c:pt idx="6">
                  <c:v>214.25146402755317</c:v>
                </c:pt>
                <c:pt idx="7">
                  <c:v>218.6094351309354</c:v>
                </c:pt>
                <c:pt idx="8">
                  <c:v>224.21222408300264</c:v>
                </c:pt>
                <c:pt idx="9">
                  <c:v>223.85628207347852</c:v>
                </c:pt>
                <c:pt idx="10">
                  <c:v>223.12145628852025</c:v>
                </c:pt>
                <c:pt idx="11">
                  <c:v>222.35682548105419</c:v>
                </c:pt>
                <c:pt idx="12">
                  <c:v>225.15855601324884</c:v>
                </c:pt>
                <c:pt idx="13">
                  <c:v>225.93171059399907</c:v>
                </c:pt>
                <c:pt idx="14">
                  <c:v>227.03578683863839</c:v>
                </c:pt>
                <c:pt idx="15">
                  <c:v>245.47774791023261</c:v>
                </c:pt>
                <c:pt idx="16">
                  <c:v>252.90581448708994</c:v>
                </c:pt>
                <c:pt idx="17">
                  <c:v>250.97887992683451</c:v>
                </c:pt>
                <c:pt idx="18">
                  <c:v>247.55795961601802</c:v>
                </c:pt>
                <c:pt idx="19">
                  <c:v>251.88334679284205</c:v>
                </c:pt>
                <c:pt idx="20">
                  <c:v>241.997182804457</c:v>
                </c:pt>
                <c:pt idx="21">
                  <c:v>237.8760670767455</c:v>
                </c:pt>
                <c:pt idx="22">
                  <c:v>242.35678161893404</c:v>
                </c:pt>
                <c:pt idx="23">
                  <c:v>244.79520573038727</c:v>
                </c:pt>
                <c:pt idx="24">
                  <c:v>248.8139240902251</c:v>
                </c:pt>
                <c:pt idx="25">
                  <c:v>264.90851612022664</c:v>
                </c:pt>
                <c:pt idx="26">
                  <c:v>266.65218546985625</c:v>
                </c:pt>
                <c:pt idx="27">
                  <c:v>272.37028635302261</c:v>
                </c:pt>
                <c:pt idx="28">
                  <c:v>264.52360014483173</c:v>
                </c:pt>
                <c:pt idx="29">
                  <c:v>265.66730578327895</c:v>
                </c:pt>
                <c:pt idx="30">
                  <c:v>262.1029214242663</c:v>
                </c:pt>
                <c:pt idx="31">
                  <c:v>258.90530836600868</c:v>
                </c:pt>
                <c:pt idx="32">
                  <c:v>250.59029899093034</c:v>
                </c:pt>
                <c:pt idx="33">
                  <c:v>246.27020613958848</c:v>
                </c:pt>
                <c:pt idx="34">
                  <c:v>246.06733058260045</c:v>
                </c:pt>
                <c:pt idx="35">
                  <c:v>236.52809403141569</c:v>
                </c:pt>
                <c:pt idx="36">
                  <c:v>225.09338477663567</c:v>
                </c:pt>
                <c:pt idx="37">
                  <c:v>215.61125475655879</c:v>
                </c:pt>
                <c:pt idx="38">
                  <c:v>217.87863938174914</c:v>
                </c:pt>
                <c:pt idx="39">
                  <c:v>211.86474985340547</c:v>
                </c:pt>
                <c:pt idx="40">
                  <c:v>204.49988550153626</c:v>
                </c:pt>
                <c:pt idx="41">
                  <c:v>212.35139432083218</c:v>
                </c:pt>
                <c:pt idx="42">
                  <c:v>213.67315965286352</c:v>
                </c:pt>
                <c:pt idx="43">
                  <c:v>212.49391569541385</c:v>
                </c:pt>
                <c:pt idx="44">
                  <c:v>213.78031459252338</c:v>
                </c:pt>
                <c:pt idx="45">
                  <c:v>213.22199478422027</c:v>
                </c:pt>
                <c:pt idx="46">
                  <c:v>208.28953108024555</c:v>
                </c:pt>
                <c:pt idx="47">
                  <c:v>197.99077750531836</c:v>
                </c:pt>
                <c:pt idx="48">
                  <c:v>199.05733785155255</c:v>
                </c:pt>
                <c:pt idx="49">
                  <c:v>201.10347159384219</c:v>
                </c:pt>
                <c:pt idx="50">
                  <c:v>195.55061714535711</c:v>
                </c:pt>
                <c:pt idx="51">
                  <c:v>191.1636037761435</c:v>
                </c:pt>
                <c:pt idx="52">
                  <c:v>183.47174804085421</c:v>
                </c:pt>
                <c:pt idx="53">
                  <c:v>183.11121906829513</c:v>
                </c:pt>
                <c:pt idx="54">
                  <c:v>184.91276114962179</c:v>
                </c:pt>
                <c:pt idx="55">
                  <c:v>189.51230247414637</c:v>
                </c:pt>
                <c:pt idx="56">
                  <c:v>188.22480113180245</c:v>
                </c:pt>
                <c:pt idx="57">
                  <c:v>190.6777257245723</c:v>
                </c:pt>
                <c:pt idx="58">
                  <c:v>188.99265321387685</c:v>
                </c:pt>
                <c:pt idx="59">
                  <c:v>182.01303743025375</c:v>
                </c:pt>
                <c:pt idx="60">
                  <c:v>184.8301109773067</c:v>
                </c:pt>
                <c:pt idx="61">
                  <c:v>185.53124713593601</c:v>
                </c:pt>
                <c:pt idx="62">
                  <c:v>195.38823762854904</c:v>
                </c:pt>
                <c:pt idx="63">
                  <c:v>189.95991531812086</c:v>
                </c:pt>
                <c:pt idx="64">
                  <c:v>193.41006420944723</c:v>
                </c:pt>
                <c:pt idx="65">
                  <c:v>194.20511249652674</c:v>
                </c:pt>
                <c:pt idx="66">
                  <c:v>191.8242526570111</c:v>
                </c:pt>
                <c:pt idx="67">
                  <c:v>194.33064122879438</c:v>
                </c:pt>
                <c:pt idx="68">
                  <c:v>192.66076869946494</c:v>
                </c:pt>
                <c:pt idx="69">
                  <c:v>187.10239893506181</c:v>
                </c:pt>
                <c:pt idx="70">
                  <c:v>185.49282210062086</c:v>
                </c:pt>
                <c:pt idx="71">
                  <c:v>184.98832249846018</c:v>
                </c:pt>
                <c:pt idx="72">
                  <c:v>183.99663608182968</c:v>
                </c:pt>
                <c:pt idx="73">
                  <c:v>182.55795452541696</c:v>
                </c:pt>
                <c:pt idx="74">
                  <c:v>191.03930897678086</c:v>
                </c:pt>
                <c:pt idx="75">
                  <c:v>191.92455210505133</c:v>
                </c:pt>
                <c:pt idx="76">
                  <c:v>199.62726854253489</c:v>
                </c:pt>
                <c:pt idx="77">
                  <c:v>204.40066939885119</c:v>
                </c:pt>
                <c:pt idx="78">
                  <c:v>201.67086190569515</c:v>
                </c:pt>
                <c:pt idx="79">
                  <c:v>200.69553538345903</c:v>
                </c:pt>
                <c:pt idx="80">
                  <c:v>201.54918250712623</c:v>
                </c:pt>
                <c:pt idx="81">
                  <c:v>195.8369451016774</c:v>
                </c:pt>
                <c:pt idx="82">
                  <c:v>190.50898468717531</c:v>
                </c:pt>
                <c:pt idx="83">
                  <c:v>185.77330802292468</c:v>
                </c:pt>
                <c:pt idx="84">
                  <c:v>185.20661041534899</c:v>
                </c:pt>
                <c:pt idx="85">
                  <c:v>182.06820181892567</c:v>
                </c:pt>
                <c:pt idx="86">
                  <c:v>182.54748799431454</c:v>
                </c:pt>
                <c:pt idx="87">
                  <c:v>184.08181324431581</c:v>
                </c:pt>
                <c:pt idx="88">
                  <c:v>184.3128134211683</c:v>
                </c:pt>
                <c:pt idx="89">
                  <c:v>185.88283661153557</c:v>
                </c:pt>
                <c:pt idx="90">
                  <c:v>185.7331355485629</c:v>
                </c:pt>
                <c:pt idx="91">
                  <c:v>184.90989857527566</c:v>
                </c:pt>
                <c:pt idx="92">
                  <c:v>182.57190117621542</c:v>
                </c:pt>
                <c:pt idx="93">
                  <c:v>181.42484935619748</c:v>
                </c:pt>
                <c:pt idx="94">
                  <c:v>184.66771578932222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8474-FA46-A0A9-E06E8EA2867F}"/>
            </c:ext>
          </c:extLst>
        </c:ser>
        <c:ser>
          <c:idx val="65"/>
          <c:order val="65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'Q6'!$E$67:$CU$67</c:f>
              <c:numCache>
                <c:formatCode>General</c:formatCode>
                <c:ptCount val="95"/>
                <c:pt idx="0">
                  <c:v>222.13</c:v>
                </c:pt>
                <c:pt idx="1">
                  <c:v>214.31284368134408</c:v>
                </c:pt>
                <c:pt idx="2">
                  <c:v>203.84728397426693</c:v>
                </c:pt>
                <c:pt idx="3">
                  <c:v>209.64406509631189</c:v>
                </c:pt>
                <c:pt idx="4">
                  <c:v>211.64575895050541</c:v>
                </c:pt>
                <c:pt idx="5">
                  <c:v>211.81213144510616</c:v>
                </c:pt>
                <c:pt idx="6">
                  <c:v>214.68152545666044</c:v>
                </c:pt>
                <c:pt idx="7">
                  <c:v>215.33977091522334</c:v>
                </c:pt>
                <c:pt idx="8">
                  <c:v>226.78569373168344</c:v>
                </c:pt>
                <c:pt idx="9">
                  <c:v>234.61936337958028</c:v>
                </c:pt>
                <c:pt idx="10">
                  <c:v>227.24633143254749</c:v>
                </c:pt>
                <c:pt idx="11">
                  <c:v>226.49089195229556</c:v>
                </c:pt>
                <c:pt idx="12">
                  <c:v>224.42706312833278</c:v>
                </c:pt>
                <c:pt idx="13">
                  <c:v>218.90242549035594</c:v>
                </c:pt>
                <c:pt idx="14">
                  <c:v>214.64440709775425</c:v>
                </c:pt>
                <c:pt idx="15">
                  <c:v>223.69661567177033</c:v>
                </c:pt>
                <c:pt idx="16">
                  <c:v>218.7224430732484</c:v>
                </c:pt>
                <c:pt idx="17">
                  <c:v>216.48732986108126</c:v>
                </c:pt>
                <c:pt idx="18">
                  <c:v>206.52442841087279</c:v>
                </c:pt>
                <c:pt idx="19">
                  <c:v>209.59393423941552</c:v>
                </c:pt>
                <c:pt idx="20">
                  <c:v>215.87618097244044</c:v>
                </c:pt>
                <c:pt idx="21">
                  <c:v>213.3927022177202</c:v>
                </c:pt>
                <c:pt idx="22">
                  <c:v>212.74213814605994</c:v>
                </c:pt>
                <c:pt idx="23">
                  <c:v>215.61787001142352</c:v>
                </c:pt>
                <c:pt idx="24">
                  <c:v>212.88827292074893</c:v>
                </c:pt>
                <c:pt idx="25">
                  <c:v>208.48894852752991</c:v>
                </c:pt>
                <c:pt idx="26">
                  <c:v>214.63827188625569</c:v>
                </c:pt>
                <c:pt idx="27">
                  <c:v>210.52771329777656</c:v>
                </c:pt>
                <c:pt idx="28">
                  <c:v>217.20495230622586</c:v>
                </c:pt>
                <c:pt idx="29">
                  <c:v>223.53485284198922</c:v>
                </c:pt>
                <c:pt idx="30">
                  <c:v>219.96974619014932</c:v>
                </c:pt>
                <c:pt idx="31">
                  <c:v>225.8676280880795</c:v>
                </c:pt>
                <c:pt idx="32">
                  <c:v>231.89476123700527</c:v>
                </c:pt>
                <c:pt idx="33">
                  <c:v>224.59407526204961</c:v>
                </c:pt>
                <c:pt idx="34">
                  <c:v>228.08419552043975</c:v>
                </c:pt>
                <c:pt idx="35">
                  <c:v>233.59429338218081</c:v>
                </c:pt>
                <c:pt idx="36">
                  <c:v>242.5197136058822</c:v>
                </c:pt>
                <c:pt idx="37">
                  <c:v>250.05693923988508</c:v>
                </c:pt>
                <c:pt idx="38">
                  <c:v>239.40363939026915</c:v>
                </c:pt>
                <c:pt idx="39">
                  <c:v>237.78914519766062</c:v>
                </c:pt>
                <c:pt idx="40">
                  <c:v>243.50865381661032</c:v>
                </c:pt>
                <c:pt idx="41">
                  <c:v>252.21737741029412</c:v>
                </c:pt>
                <c:pt idx="42">
                  <c:v>250.12670909987668</c:v>
                </c:pt>
                <c:pt idx="43">
                  <c:v>249.49808610305635</c:v>
                </c:pt>
                <c:pt idx="44">
                  <c:v>235.65242088733268</c:v>
                </c:pt>
                <c:pt idx="45">
                  <c:v>237.11364550085111</c:v>
                </c:pt>
                <c:pt idx="46">
                  <c:v>238.03936704290541</c:v>
                </c:pt>
                <c:pt idx="47">
                  <c:v>239.34026001852382</c:v>
                </c:pt>
                <c:pt idx="48">
                  <c:v>234.07776415988471</c:v>
                </c:pt>
                <c:pt idx="49">
                  <c:v>245.1153879445954</c:v>
                </c:pt>
                <c:pt idx="50">
                  <c:v>246.61264604090084</c:v>
                </c:pt>
                <c:pt idx="51">
                  <c:v>244.74953029698199</c:v>
                </c:pt>
                <c:pt idx="52">
                  <c:v>249.0649520701279</c:v>
                </c:pt>
                <c:pt idx="53">
                  <c:v>253.52021967296383</c:v>
                </c:pt>
                <c:pt idx="54">
                  <c:v>255.16184736649282</c:v>
                </c:pt>
                <c:pt idx="55">
                  <c:v>262.68098491259997</c:v>
                </c:pt>
                <c:pt idx="56">
                  <c:v>259.39582307645298</c:v>
                </c:pt>
                <c:pt idx="57">
                  <c:v>270.75107288365973</c:v>
                </c:pt>
                <c:pt idx="58">
                  <c:v>268.91600401648157</c:v>
                </c:pt>
                <c:pt idx="59">
                  <c:v>278.50038075170147</c:v>
                </c:pt>
                <c:pt idx="60">
                  <c:v>269.58890818902347</c:v>
                </c:pt>
                <c:pt idx="61">
                  <c:v>275.91095343105235</c:v>
                </c:pt>
                <c:pt idx="62">
                  <c:v>282.41458961197901</c:v>
                </c:pt>
                <c:pt idx="63">
                  <c:v>282.8979657135518</c:v>
                </c:pt>
                <c:pt idx="64">
                  <c:v>271.57732393150923</c:v>
                </c:pt>
                <c:pt idx="65">
                  <c:v>274.02357356739208</c:v>
                </c:pt>
                <c:pt idx="66">
                  <c:v>275.65512234985562</c:v>
                </c:pt>
                <c:pt idx="67">
                  <c:v>269.14599205450924</c:v>
                </c:pt>
                <c:pt idx="68">
                  <c:v>273.45347050775638</c:v>
                </c:pt>
                <c:pt idx="69">
                  <c:v>275.17271224183008</c:v>
                </c:pt>
                <c:pt idx="70">
                  <c:v>267.97875818720684</c:v>
                </c:pt>
                <c:pt idx="71">
                  <c:v>267.64898973775513</c:v>
                </c:pt>
                <c:pt idx="72">
                  <c:v>274.42649322123907</c:v>
                </c:pt>
                <c:pt idx="73">
                  <c:v>266.78892970952688</c:v>
                </c:pt>
                <c:pt idx="74">
                  <c:v>266.24871404585804</c:v>
                </c:pt>
                <c:pt idx="75">
                  <c:v>264.25238969102253</c:v>
                </c:pt>
                <c:pt idx="76">
                  <c:v>257.09320886589586</c:v>
                </c:pt>
                <c:pt idx="77">
                  <c:v>255.52259941996192</c:v>
                </c:pt>
                <c:pt idx="78">
                  <c:v>255.72244318612397</c:v>
                </c:pt>
                <c:pt idx="79">
                  <c:v>244.5671557754327</c:v>
                </c:pt>
                <c:pt idx="80">
                  <c:v>244.09931819901999</c:v>
                </c:pt>
                <c:pt idx="81">
                  <c:v>245.56864490874599</c:v>
                </c:pt>
                <c:pt idx="82">
                  <c:v>247.4873083707173</c:v>
                </c:pt>
                <c:pt idx="83">
                  <c:v>244.80270341381444</c:v>
                </c:pt>
                <c:pt idx="84">
                  <c:v>252.93049349967231</c:v>
                </c:pt>
                <c:pt idx="85">
                  <c:v>260.68390487360483</c:v>
                </c:pt>
                <c:pt idx="86">
                  <c:v>256.35457252522997</c:v>
                </c:pt>
                <c:pt idx="87">
                  <c:v>254.43092461525035</c:v>
                </c:pt>
                <c:pt idx="88">
                  <c:v>249.26410095573624</c:v>
                </c:pt>
                <c:pt idx="89">
                  <c:v>252.41464671960628</c:v>
                </c:pt>
                <c:pt idx="90">
                  <c:v>246.90664669763993</c:v>
                </c:pt>
                <c:pt idx="91">
                  <c:v>254.53436021748638</c:v>
                </c:pt>
                <c:pt idx="92">
                  <c:v>264.01024445752722</c:v>
                </c:pt>
                <c:pt idx="93">
                  <c:v>252.54431707822184</c:v>
                </c:pt>
                <c:pt idx="94">
                  <c:v>247.01926457959399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8474-FA46-A0A9-E06E8EA2867F}"/>
            </c:ext>
          </c:extLst>
        </c:ser>
        <c:ser>
          <c:idx val="66"/>
          <c:order val="66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'Q6'!$E$68:$CU$68</c:f>
              <c:numCache>
                <c:formatCode>General</c:formatCode>
                <c:ptCount val="95"/>
                <c:pt idx="0">
                  <c:v>222.13</c:v>
                </c:pt>
                <c:pt idx="1">
                  <c:v>216.79039369301651</c:v>
                </c:pt>
                <c:pt idx="2">
                  <c:v>214.10140395459629</c:v>
                </c:pt>
                <c:pt idx="3">
                  <c:v>207.65667973100048</c:v>
                </c:pt>
                <c:pt idx="4">
                  <c:v>204.44328154296454</c:v>
                </c:pt>
                <c:pt idx="5">
                  <c:v>206.76530770090335</c:v>
                </c:pt>
                <c:pt idx="6">
                  <c:v>204.23591723454038</c:v>
                </c:pt>
                <c:pt idx="7">
                  <c:v>194.37310949077923</c:v>
                </c:pt>
                <c:pt idx="8">
                  <c:v>196.43878440801686</c:v>
                </c:pt>
                <c:pt idx="9">
                  <c:v>193.19211082622854</c:v>
                </c:pt>
                <c:pt idx="10">
                  <c:v>193.66234987633504</c:v>
                </c:pt>
                <c:pt idx="11">
                  <c:v>180.4971817575514</c:v>
                </c:pt>
                <c:pt idx="12">
                  <c:v>177.81678021073017</c:v>
                </c:pt>
                <c:pt idx="13">
                  <c:v>176.83222794751535</c:v>
                </c:pt>
                <c:pt idx="14">
                  <c:v>181.91777575886522</c:v>
                </c:pt>
                <c:pt idx="15">
                  <c:v>181.84976887815699</c:v>
                </c:pt>
                <c:pt idx="16">
                  <c:v>178.01779820028079</c:v>
                </c:pt>
                <c:pt idx="17">
                  <c:v>178.23114593698335</c:v>
                </c:pt>
                <c:pt idx="18">
                  <c:v>173.9470849736947</c:v>
                </c:pt>
                <c:pt idx="19">
                  <c:v>178.4890527711662</c:v>
                </c:pt>
                <c:pt idx="20">
                  <c:v>185.45854153831772</c:v>
                </c:pt>
                <c:pt idx="21">
                  <c:v>186.05158391448364</c:v>
                </c:pt>
                <c:pt idx="22">
                  <c:v>184.96053215870856</c:v>
                </c:pt>
                <c:pt idx="23">
                  <c:v>186.84588925422807</c:v>
                </c:pt>
                <c:pt idx="24">
                  <c:v>187.31443673923357</c:v>
                </c:pt>
                <c:pt idx="25">
                  <c:v>183.49120770537149</c:v>
                </c:pt>
                <c:pt idx="26">
                  <c:v>184.28655918176111</c:v>
                </c:pt>
                <c:pt idx="27">
                  <c:v>184.42113598326131</c:v>
                </c:pt>
                <c:pt idx="28">
                  <c:v>177.31256584836407</c:v>
                </c:pt>
                <c:pt idx="29">
                  <c:v>174.14969097448133</c:v>
                </c:pt>
                <c:pt idx="30">
                  <c:v>179.80088515783632</c:v>
                </c:pt>
                <c:pt idx="31">
                  <c:v>175.50891273718531</c:v>
                </c:pt>
                <c:pt idx="32">
                  <c:v>171.39716722763364</c:v>
                </c:pt>
                <c:pt idx="33">
                  <c:v>174.43652131166252</c:v>
                </c:pt>
                <c:pt idx="34">
                  <c:v>162.86426298275575</c:v>
                </c:pt>
                <c:pt idx="35">
                  <c:v>160.12023595402744</c:v>
                </c:pt>
                <c:pt idx="36">
                  <c:v>158.19129040160777</c:v>
                </c:pt>
                <c:pt idx="37">
                  <c:v>160.29052003339089</c:v>
                </c:pt>
                <c:pt idx="38">
                  <c:v>155.57713646183359</c:v>
                </c:pt>
                <c:pt idx="39">
                  <c:v>151.80062386320574</c:v>
                </c:pt>
                <c:pt idx="40">
                  <c:v>154.05917709007289</c:v>
                </c:pt>
                <c:pt idx="41">
                  <c:v>147.5890049395251</c:v>
                </c:pt>
                <c:pt idx="42">
                  <c:v>146.58800905407142</c:v>
                </c:pt>
                <c:pt idx="43">
                  <c:v>149.97575261502985</c:v>
                </c:pt>
                <c:pt idx="44">
                  <c:v>144.9574088156379</c:v>
                </c:pt>
                <c:pt idx="45">
                  <c:v>137.94287388436808</c:v>
                </c:pt>
                <c:pt idx="46">
                  <c:v>132.98205070314768</c:v>
                </c:pt>
                <c:pt idx="47">
                  <c:v>136.93627100800052</c:v>
                </c:pt>
                <c:pt idx="48">
                  <c:v>136.16857297105386</c:v>
                </c:pt>
                <c:pt idx="49">
                  <c:v>134.78522121794933</c:v>
                </c:pt>
                <c:pt idx="50">
                  <c:v>138.84747658526501</c:v>
                </c:pt>
                <c:pt idx="51">
                  <c:v>136.85392800140806</c:v>
                </c:pt>
                <c:pt idx="52">
                  <c:v>135.38110408317397</c:v>
                </c:pt>
                <c:pt idx="53">
                  <c:v>131.68303048314499</c:v>
                </c:pt>
                <c:pt idx="54">
                  <c:v>130.31440056870923</c:v>
                </c:pt>
                <c:pt idx="55">
                  <c:v>124.37646182904851</c:v>
                </c:pt>
                <c:pt idx="56">
                  <c:v>122.49794991940021</c:v>
                </c:pt>
                <c:pt idx="57">
                  <c:v>117.82418731318322</c:v>
                </c:pt>
                <c:pt idx="58">
                  <c:v>120.3467686738645</c:v>
                </c:pt>
                <c:pt idx="59">
                  <c:v>125.16073045870381</c:v>
                </c:pt>
                <c:pt idx="60">
                  <c:v>124.49142498434452</c:v>
                </c:pt>
                <c:pt idx="61">
                  <c:v>122.6588636558928</c:v>
                </c:pt>
                <c:pt idx="62">
                  <c:v>125.05597268638637</c:v>
                </c:pt>
                <c:pt idx="63">
                  <c:v>126.91156906279878</c:v>
                </c:pt>
                <c:pt idx="64">
                  <c:v>116.15859393776343</c:v>
                </c:pt>
                <c:pt idx="65">
                  <c:v>113.81352956370495</c:v>
                </c:pt>
                <c:pt idx="66">
                  <c:v>110.39253564713512</c:v>
                </c:pt>
                <c:pt idx="67">
                  <c:v>111.43218168951945</c:v>
                </c:pt>
                <c:pt idx="68">
                  <c:v>112.63061961571225</c:v>
                </c:pt>
                <c:pt idx="69">
                  <c:v>113.44538646192616</c:v>
                </c:pt>
                <c:pt idx="70">
                  <c:v>113.67423562798089</c:v>
                </c:pt>
                <c:pt idx="71">
                  <c:v>117.64717495723471</c:v>
                </c:pt>
                <c:pt idx="72">
                  <c:v>114.21317914730591</c:v>
                </c:pt>
                <c:pt idx="73">
                  <c:v>115.95769224841624</c:v>
                </c:pt>
                <c:pt idx="74">
                  <c:v>113.72866377932243</c:v>
                </c:pt>
                <c:pt idx="75">
                  <c:v>113.55536450802144</c:v>
                </c:pt>
                <c:pt idx="76">
                  <c:v>116.7027866723168</c:v>
                </c:pt>
                <c:pt idx="77">
                  <c:v>119.48532556206931</c:v>
                </c:pt>
                <c:pt idx="78">
                  <c:v>115.47368533274118</c:v>
                </c:pt>
                <c:pt idx="79">
                  <c:v>120.71274922826393</c:v>
                </c:pt>
                <c:pt idx="80">
                  <c:v>116.54579815999995</c:v>
                </c:pt>
                <c:pt idx="81">
                  <c:v>116.47654275818942</c:v>
                </c:pt>
                <c:pt idx="82">
                  <c:v>118.53749601331796</c:v>
                </c:pt>
                <c:pt idx="83">
                  <c:v>113.4829915807439</c:v>
                </c:pt>
                <c:pt idx="84">
                  <c:v>113.0243627360272</c:v>
                </c:pt>
                <c:pt idx="85">
                  <c:v>110.58185777342543</c:v>
                </c:pt>
                <c:pt idx="86">
                  <c:v>112.62805239378233</c:v>
                </c:pt>
                <c:pt idx="87">
                  <c:v>111.6512980469425</c:v>
                </c:pt>
                <c:pt idx="88">
                  <c:v>112.30619287906225</c:v>
                </c:pt>
                <c:pt idx="89">
                  <c:v>111.43599098804967</c:v>
                </c:pt>
                <c:pt idx="90">
                  <c:v>109.54394089150937</c:v>
                </c:pt>
                <c:pt idx="91">
                  <c:v>111.23347739146961</c:v>
                </c:pt>
                <c:pt idx="92">
                  <c:v>111.70501928767784</c:v>
                </c:pt>
                <c:pt idx="93">
                  <c:v>112.87643897862844</c:v>
                </c:pt>
                <c:pt idx="94">
                  <c:v>115.41631318510056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8474-FA46-A0A9-E06E8EA2867F}"/>
            </c:ext>
          </c:extLst>
        </c:ser>
        <c:ser>
          <c:idx val="67"/>
          <c:order val="67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'Q6'!$E$69:$CU$69</c:f>
              <c:numCache>
                <c:formatCode>General</c:formatCode>
                <c:ptCount val="95"/>
                <c:pt idx="0">
                  <c:v>222.13</c:v>
                </c:pt>
                <c:pt idx="1">
                  <c:v>216.23766066207813</c:v>
                </c:pt>
                <c:pt idx="2">
                  <c:v>220.01363521292515</c:v>
                </c:pt>
                <c:pt idx="3">
                  <c:v>219.24998229012542</c:v>
                </c:pt>
                <c:pt idx="4">
                  <c:v>223.89198362275329</c:v>
                </c:pt>
                <c:pt idx="5">
                  <c:v>218.06328156658699</c:v>
                </c:pt>
                <c:pt idx="6">
                  <c:v>223.23307443719435</c:v>
                </c:pt>
                <c:pt idx="7">
                  <c:v>222.5477586684683</c:v>
                </c:pt>
                <c:pt idx="8">
                  <c:v>220.07819265741765</c:v>
                </c:pt>
                <c:pt idx="9">
                  <c:v>217.71015329741732</c:v>
                </c:pt>
                <c:pt idx="10">
                  <c:v>220.99953302841436</c:v>
                </c:pt>
                <c:pt idx="11">
                  <c:v>231.62589903527484</c:v>
                </c:pt>
                <c:pt idx="12">
                  <c:v>231.69072226228087</c:v>
                </c:pt>
                <c:pt idx="13">
                  <c:v>236.86883085176285</c:v>
                </c:pt>
                <c:pt idx="14">
                  <c:v>244.19798011973566</c:v>
                </c:pt>
                <c:pt idx="15">
                  <c:v>253.83506930773132</c:v>
                </c:pt>
                <c:pt idx="16">
                  <c:v>259.99261345887197</c:v>
                </c:pt>
                <c:pt idx="17">
                  <c:v>263.31034690438617</c:v>
                </c:pt>
                <c:pt idx="18">
                  <c:v>263.78904238467163</c:v>
                </c:pt>
                <c:pt idx="19">
                  <c:v>261.45439557831895</c:v>
                </c:pt>
                <c:pt idx="20">
                  <c:v>265.49321547978394</c:v>
                </c:pt>
                <c:pt idx="21">
                  <c:v>257.17052462109831</c:v>
                </c:pt>
                <c:pt idx="22">
                  <c:v>247.10981094807806</c:v>
                </c:pt>
                <c:pt idx="23">
                  <c:v>247.54313457378055</c:v>
                </c:pt>
                <c:pt idx="24">
                  <c:v>257.92687317729849</c:v>
                </c:pt>
                <c:pt idx="25">
                  <c:v>265.95470309181144</c:v>
                </c:pt>
                <c:pt idx="26">
                  <c:v>253.96025142262584</c:v>
                </c:pt>
                <c:pt idx="27">
                  <c:v>241.52127791034226</c:v>
                </c:pt>
                <c:pt idx="28">
                  <c:v>239.75362368177085</c:v>
                </c:pt>
                <c:pt idx="29">
                  <c:v>241.26036039949727</c:v>
                </c:pt>
                <c:pt idx="30">
                  <c:v>232.30506681320691</c:v>
                </c:pt>
                <c:pt idx="31">
                  <c:v>225.83699967858996</c:v>
                </c:pt>
                <c:pt idx="32">
                  <c:v>226.56949734183362</c:v>
                </c:pt>
                <c:pt idx="33">
                  <c:v>222.11485130724779</c:v>
                </c:pt>
                <c:pt idx="34">
                  <c:v>216.83539211478691</c:v>
                </c:pt>
                <c:pt idx="35">
                  <c:v>218.31502121940576</c:v>
                </c:pt>
                <c:pt idx="36">
                  <c:v>235.48514678032805</c:v>
                </c:pt>
                <c:pt idx="37">
                  <c:v>234.48733181598021</c:v>
                </c:pt>
                <c:pt idx="38">
                  <c:v>240.04279552671957</c:v>
                </c:pt>
                <c:pt idx="39">
                  <c:v>229.17314586652816</c:v>
                </c:pt>
                <c:pt idx="40">
                  <c:v>229.88812832188532</c:v>
                </c:pt>
                <c:pt idx="41">
                  <c:v>217.54328616858461</c:v>
                </c:pt>
                <c:pt idx="42">
                  <c:v>215.99559516764432</c:v>
                </c:pt>
                <c:pt idx="43">
                  <c:v>220.53873780188462</c:v>
                </c:pt>
                <c:pt idx="44">
                  <c:v>225.85904640026382</c:v>
                </c:pt>
                <c:pt idx="45">
                  <c:v>225.64021957728841</c:v>
                </c:pt>
                <c:pt idx="46">
                  <c:v>224.74592754915213</c:v>
                </c:pt>
                <c:pt idx="47">
                  <c:v>223.03856088548611</c:v>
                </c:pt>
                <c:pt idx="48">
                  <c:v>223.27031576724511</c:v>
                </c:pt>
                <c:pt idx="49">
                  <c:v>221.05752659086642</c:v>
                </c:pt>
                <c:pt idx="50">
                  <c:v>209.42492715729179</c:v>
                </c:pt>
                <c:pt idx="51">
                  <c:v>205.19318985336852</c:v>
                </c:pt>
                <c:pt idx="52">
                  <c:v>201.3584719218764</c:v>
                </c:pt>
                <c:pt idx="53">
                  <c:v>197.5280839706526</c:v>
                </c:pt>
                <c:pt idx="54">
                  <c:v>195.15306512557132</c:v>
                </c:pt>
                <c:pt idx="55">
                  <c:v>196.60613075109376</c:v>
                </c:pt>
                <c:pt idx="56">
                  <c:v>202.5792936397205</c:v>
                </c:pt>
                <c:pt idx="57">
                  <c:v>203.10421898037632</c:v>
                </c:pt>
                <c:pt idx="58">
                  <c:v>210.49848948662768</c:v>
                </c:pt>
                <c:pt idx="59">
                  <c:v>202.09818032756274</c:v>
                </c:pt>
                <c:pt idx="60">
                  <c:v>205.06766527473405</c:v>
                </c:pt>
                <c:pt idx="61">
                  <c:v>197.72465145196406</c:v>
                </c:pt>
                <c:pt idx="62">
                  <c:v>193.75429304344414</c:v>
                </c:pt>
                <c:pt idx="63">
                  <c:v>195.45550854700775</c:v>
                </c:pt>
                <c:pt idx="64">
                  <c:v>185.90520251118522</c:v>
                </c:pt>
                <c:pt idx="65">
                  <c:v>191.33473957134441</c:v>
                </c:pt>
                <c:pt idx="66">
                  <c:v>185.35929426803716</c:v>
                </c:pt>
                <c:pt idx="67">
                  <c:v>194.93157085444122</c:v>
                </c:pt>
                <c:pt idx="68">
                  <c:v>190.47307094695825</c:v>
                </c:pt>
                <c:pt idx="69">
                  <c:v>188.32365717273865</c:v>
                </c:pt>
                <c:pt idx="70">
                  <c:v>200.96668723747129</c:v>
                </c:pt>
                <c:pt idx="71">
                  <c:v>204.55331344743877</c:v>
                </c:pt>
                <c:pt idx="72">
                  <c:v>214.19312030183613</c:v>
                </c:pt>
                <c:pt idx="73">
                  <c:v>213.59137012139729</c:v>
                </c:pt>
                <c:pt idx="74">
                  <c:v>215.9620280977025</c:v>
                </c:pt>
                <c:pt idx="75">
                  <c:v>219.92276747831437</c:v>
                </c:pt>
                <c:pt idx="76">
                  <c:v>228.55087540497513</c:v>
                </c:pt>
                <c:pt idx="77">
                  <c:v>226.10956652758827</c:v>
                </c:pt>
                <c:pt idx="78">
                  <c:v>221.29019653140233</c:v>
                </c:pt>
                <c:pt idx="79">
                  <c:v>227.31885139442784</c:v>
                </c:pt>
                <c:pt idx="80">
                  <c:v>238.69292095977778</c:v>
                </c:pt>
                <c:pt idx="81">
                  <c:v>237.46856437687529</c:v>
                </c:pt>
                <c:pt idx="82">
                  <c:v>232.98876811766678</c:v>
                </c:pt>
                <c:pt idx="83">
                  <c:v>235.32342332644026</c:v>
                </c:pt>
                <c:pt idx="84">
                  <c:v>232.70209394218682</c:v>
                </c:pt>
                <c:pt idx="85">
                  <c:v>233.34097025436401</c:v>
                </c:pt>
                <c:pt idx="86">
                  <c:v>230.94131435818321</c:v>
                </c:pt>
                <c:pt idx="87">
                  <c:v>227.89437283231334</c:v>
                </c:pt>
                <c:pt idx="88">
                  <c:v>238.83098931554761</c:v>
                </c:pt>
                <c:pt idx="89">
                  <c:v>251.96133498036886</c:v>
                </c:pt>
                <c:pt idx="90">
                  <c:v>258.74235011488963</c:v>
                </c:pt>
                <c:pt idx="91">
                  <c:v>264.8019667569676</c:v>
                </c:pt>
                <c:pt idx="92">
                  <c:v>259.08051528562947</c:v>
                </c:pt>
                <c:pt idx="93">
                  <c:v>255.60428451057476</c:v>
                </c:pt>
                <c:pt idx="94">
                  <c:v>251.28247396061386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8474-FA46-A0A9-E06E8EA2867F}"/>
            </c:ext>
          </c:extLst>
        </c:ser>
        <c:ser>
          <c:idx val="68"/>
          <c:order val="68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'Q6'!$E$70:$CU$70</c:f>
              <c:numCache>
                <c:formatCode>General</c:formatCode>
                <c:ptCount val="95"/>
                <c:pt idx="0">
                  <c:v>222.13</c:v>
                </c:pt>
                <c:pt idx="1">
                  <c:v>225.45323082900927</c:v>
                </c:pt>
                <c:pt idx="2">
                  <c:v>226.33268624822352</c:v>
                </c:pt>
                <c:pt idx="3">
                  <c:v>231.87930463540178</c:v>
                </c:pt>
                <c:pt idx="4">
                  <c:v>233.17132329790681</c:v>
                </c:pt>
                <c:pt idx="5">
                  <c:v>221.95129236975092</c:v>
                </c:pt>
                <c:pt idx="6">
                  <c:v>223.24287829546833</c:v>
                </c:pt>
                <c:pt idx="7">
                  <c:v>215.15630124575091</c:v>
                </c:pt>
                <c:pt idx="8">
                  <c:v>217.87043044910939</c:v>
                </c:pt>
                <c:pt idx="9">
                  <c:v>218.86660560080605</c:v>
                </c:pt>
                <c:pt idx="10">
                  <c:v>220.12404932227489</c:v>
                </c:pt>
                <c:pt idx="11">
                  <c:v>216.26045324276686</c:v>
                </c:pt>
                <c:pt idx="12">
                  <c:v>216.2234111656787</c:v>
                </c:pt>
                <c:pt idx="13">
                  <c:v>220.98797377445635</c:v>
                </c:pt>
                <c:pt idx="14">
                  <c:v>222.18346069517915</c:v>
                </c:pt>
                <c:pt idx="15">
                  <c:v>212.9449799274924</c:v>
                </c:pt>
                <c:pt idx="16">
                  <c:v>209.37181485461332</c:v>
                </c:pt>
                <c:pt idx="17">
                  <c:v>207.64197625843519</c:v>
                </c:pt>
                <c:pt idx="18">
                  <c:v>214.5638657681142</c:v>
                </c:pt>
                <c:pt idx="19">
                  <c:v>211.39884011610684</c:v>
                </c:pt>
                <c:pt idx="20">
                  <c:v>223.23165866318163</c:v>
                </c:pt>
                <c:pt idx="21">
                  <c:v>235.73473460483643</c:v>
                </c:pt>
                <c:pt idx="22">
                  <c:v>238.75350271775389</c:v>
                </c:pt>
                <c:pt idx="23">
                  <c:v>250.00128227870874</c:v>
                </c:pt>
                <c:pt idx="24">
                  <c:v>248.26531861703569</c:v>
                </c:pt>
                <c:pt idx="25">
                  <c:v>244.52157485795348</c:v>
                </c:pt>
                <c:pt idx="26">
                  <c:v>241.90930546166317</c:v>
                </c:pt>
                <c:pt idx="27">
                  <c:v>247.65226183430437</c:v>
                </c:pt>
                <c:pt idx="28">
                  <c:v>245.49173048307782</c:v>
                </c:pt>
                <c:pt idx="29">
                  <c:v>249.40557566504043</c:v>
                </c:pt>
                <c:pt idx="30">
                  <c:v>249.49606539611801</c:v>
                </c:pt>
                <c:pt idx="31">
                  <c:v>243.72966185321803</c:v>
                </c:pt>
                <c:pt idx="32">
                  <c:v>247.04521488467455</c:v>
                </c:pt>
                <c:pt idx="33">
                  <c:v>248.15538596559776</c:v>
                </c:pt>
                <c:pt idx="34">
                  <c:v>251.12207898844693</c:v>
                </c:pt>
                <c:pt idx="35">
                  <c:v>254.05987830989108</c:v>
                </c:pt>
                <c:pt idx="36">
                  <c:v>241.45921943034591</c:v>
                </c:pt>
                <c:pt idx="37">
                  <c:v>247.6632098716814</c:v>
                </c:pt>
                <c:pt idx="38">
                  <c:v>249.70216028525471</c:v>
                </c:pt>
                <c:pt idx="39">
                  <c:v>253.36432441863258</c:v>
                </c:pt>
                <c:pt idx="40">
                  <c:v>259.54573492314955</c:v>
                </c:pt>
                <c:pt idx="41">
                  <c:v>268.63918558844318</c:v>
                </c:pt>
                <c:pt idx="42">
                  <c:v>273.14080701137652</c:v>
                </c:pt>
                <c:pt idx="43">
                  <c:v>262.26880975867084</c:v>
                </c:pt>
                <c:pt idx="44">
                  <c:v>261.51378054804843</c:v>
                </c:pt>
                <c:pt idx="45">
                  <c:v>270.11787687468996</c:v>
                </c:pt>
                <c:pt idx="46">
                  <c:v>266.46467540741241</c:v>
                </c:pt>
                <c:pt idx="47">
                  <c:v>266.68618278479443</c:v>
                </c:pt>
                <c:pt idx="48">
                  <c:v>258.82107748132296</c:v>
                </c:pt>
                <c:pt idx="49">
                  <c:v>259.52190446110995</c:v>
                </c:pt>
                <c:pt idx="50">
                  <c:v>269.41621345136463</c:v>
                </c:pt>
                <c:pt idx="51">
                  <c:v>261.49386041076667</c:v>
                </c:pt>
                <c:pt idx="52">
                  <c:v>254.91228807308337</c:v>
                </c:pt>
                <c:pt idx="53">
                  <c:v>244.81590327587085</c:v>
                </c:pt>
                <c:pt idx="54">
                  <c:v>234.48369240421769</c:v>
                </c:pt>
                <c:pt idx="55">
                  <c:v>240.21537940405486</c:v>
                </c:pt>
                <c:pt idx="56">
                  <c:v>232.60653324552715</c:v>
                </c:pt>
                <c:pt idx="57">
                  <c:v>230.05265186194995</c:v>
                </c:pt>
                <c:pt idx="58">
                  <c:v>228.72264480551641</c:v>
                </c:pt>
                <c:pt idx="59">
                  <c:v>219.90457124598709</c:v>
                </c:pt>
                <c:pt idx="60">
                  <c:v>222.81471105430583</c:v>
                </c:pt>
                <c:pt idx="61">
                  <c:v>219.33112883174104</c:v>
                </c:pt>
                <c:pt idx="62">
                  <c:v>215.32615070500066</c:v>
                </c:pt>
                <c:pt idx="63">
                  <c:v>217.09584961701694</c:v>
                </c:pt>
                <c:pt idx="64">
                  <c:v>213.40183107866571</c:v>
                </c:pt>
                <c:pt idx="65">
                  <c:v>209.39004309931977</c:v>
                </c:pt>
                <c:pt idx="66">
                  <c:v>212.45531005494718</c:v>
                </c:pt>
                <c:pt idx="67">
                  <c:v>214.11842804463342</c:v>
                </c:pt>
                <c:pt idx="68">
                  <c:v>212.19142132938637</c:v>
                </c:pt>
                <c:pt idx="69">
                  <c:v>210.10420546498705</c:v>
                </c:pt>
                <c:pt idx="70">
                  <c:v>211.68775724170249</c:v>
                </c:pt>
                <c:pt idx="71">
                  <c:v>207.18054690836522</c:v>
                </c:pt>
                <c:pt idx="72">
                  <c:v>210.79020348779878</c:v>
                </c:pt>
                <c:pt idx="73">
                  <c:v>200.87661103797419</c:v>
                </c:pt>
                <c:pt idx="74">
                  <c:v>200.11894683831741</c:v>
                </c:pt>
                <c:pt idx="75">
                  <c:v>201.10650728200142</c:v>
                </c:pt>
                <c:pt idx="76">
                  <c:v>208.49250801628412</c:v>
                </c:pt>
                <c:pt idx="77">
                  <c:v>207.16400929676675</c:v>
                </c:pt>
                <c:pt idx="78">
                  <c:v>208.88852744259967</c:v>
                </c:pt>
                <c:pt idx="79">
                  <c:v>211.0421119160159</c:v>
                </c:pt>
                <c:pt idx="80">
                  <c:v>210.01933596812844</c:v>
                </c:pt>
                <c:pt idx="81">
                  <c:v>213.16612052335765</c:v>
                </c:pt>
                <c:pt idx="82">
                  <c:v>217.44364569575171</c:v>
                </c:pt>
                <c:pt idx="83">
                  <c:v>222.37995320834713</c:v>
                </c:pt>
                <c:pt idx="84">
                  <c:v>220.49247223846677</c:v>
                </c:pt>
                <c:pt idx="85">
                  <c:v>229.60475002514252</c:v>
                </c:pt>
                <c:pt idx="86">
                  <c:v>229.36070387802184</c:v>
                </c:pt>
                <c:pt idx="87">
                  <c:v>232.92824240906683</c:v>
                </c:pt>
                <c:pt idx="88">
                  <c:v>238.02894995557187</c:v>
                </c:pt>
                <c:pt idx="89">
                  <c:v>247.47659581458257</c:v>
                </c:pt>
                <c:pt idx="90">
                  <c:v>250.03451003920276</c:v>
                </c:pt>
                <c:pt idx="91">
                  <c:v>240.63498807591301</c:v>
                </c:pt>
                <c:pt idx="92">
                  <c:v>242.8511457660027</c:v>
                </c:pt>
                <c:pt idx="93">
                  <c:v>248.08838738545253</c:v>
                </c:pt>
                <c:pt idx="94">
                  <c:v>246.00854488678488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8474-FA46-A0A9-E06E8EA2867F}"/>
            </c:ext>
          </c:extLst>
        </c:ser>
        <c:ser>
          <c:idx val="69"/>
          <c:order val="69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'Q6'!$E$71:$CU$71</c:f>
              <c:numCache>
                <c:formatCode>General</c:formatCode>
                <c:ptCount val="95"/>
                <c:pt idx="0">
                  <c:v>222.13</c:v>
                </c:pt>
                <c:pt idx="1">
                  <c:v>221.49023840433006</c:v>
                </c:pt>
                <c:pt idx="2">
                  <c:v>213.49139998703063</c:v>
                </c:pt>
                <c:pt idx="3">
                  <c:v>215.01199964011929</c:v>
                </c:pt>
                <c:pt idx="4">
                  <c:v>209.47529156993545</c:v>
                </c:pt>
                <c:pt idx="5">
                  <c:v>213.98509519916925</c:v>
                </c:pt>
                <c:pt idx="6">
                  <c:v>213.10560686059583</c:v>
                </c:pt>
                <c:pt idx="7">
                  <c:v>213.19350341356963</c:v>
                </c:pt>
                <c:pt idx="8">
                  <c:v>210.12925314332051</c:v>
                </c:pt>
                <c:pt idx="9">
                  <c:v>213.16481616161551</c:v>
                </c:pt>
                <c:pt idx="10">
                  <c:v>211.74495120615293</c:v>
                </c:pt>
                <c:pt idx="11">
                  <c:v>214.79816143535606</c:v>
                </c:pt>
                <c:pt idx="12">
                  <c:v>219.39083054550025</c:v>
                </c:pt>
                <c:pt idx="13">
                  <c:v>210.89794400011951</c:v>
                </c:pt>
                <c:pt idx="14">
                  <c:v>206.15909268542731</c:v>
                </c:pt>
                <c:pt idx="15">
                  <c:v>210.90051079649288</c:v>
                </c:pt>
                <c:pt idx="16">
                  <c:v>206.328008888336</c:v>
                </c:pt>
                <c:pt idx="17">
                  <c:v>211.94644744907387</c:v>
                </c:pt>
                <c:pt idx="18">
                  <c:v>221.14778034925672</c:v>
                </c:pt>
                <c:pt idx="19">
                  <c:v>224.1396899265701</c:v>
                </c:pt>
                <c:pt idx="20">
                  <c:v>223.72153518800178</c:v>
                </c:pt>
                <c:pt idx="21">
                  <c:v>214.60693762181734</c:v>
                </c:pt>
                <c:pt idx="22">
                  <c:v>219.44819996129166</c:v>
                </c:pt>
                <c:pt idx="23">
                  <c:v>217.85880387334066</c:v>
                </c:pt>
                <c:pt idx="24">
                  <c:v>212.20943136855152</c:v>
                </c:pt>
                <c:pt idx="25">
                  <c:v>207.19235184245369</c:v>
                </c:pt>
                <c:pt idx="26">
                  <c:v>205.80219084775419</c:v>
                </c:pt>
                <c:pt idx="27">
                  <c:v>210.89455625044459</c:v>
                </c:pt>
                <c:pt idx="28">
                  <c:v>219.66239028117997</c:v>
                </c:pt>
                <c:pt idx="29">
                  <c:v>227.19938918207941</c:v>
                </c:pt>
                <c:pt idx="30">
                  <c:v>238.07383969688615</c:v>
                </c:pt>
                <c:pt idx="31">
                  <c:v>235.63317803281939</c:v>
                </c:pt>
                <c:pt idx="32">
                  <c:v>233.2052939636875</c:v>
                </c:pt>
                <c:pt idx="33">
                  <c:v>227.91274500599488</c:v>
                </c:pt>
                <c:pt idx="34">
                  <c:v>232.77398358522726</c:v>
                </c:pt>
                <c:pt idx="35">
                  <c:v>225.70288654144653</c:v>
                </c:pt>
                <c:pt idx="36">
                  <c:v>226.18217658601614</c:v>
                </c:pt>
                <c:pt idx="37">
                  <c:v>223.34667635070562</c:v>
                </c:pt>
                <c:pt idx="38">
                  <c:v>227.65086063763124</c:v>
                </c:pt>
                <c:pt idx="39">
                  <c:v>226.24666981184984</c:v>
                </c:pt>
                <c:pt idx="40">
                  <c:v>224.72773694945943</c:v>
                </c:pt>
                <c:pt idx="41">
                  <c:v>224.98445407037042</c:v>
                </c:pt>
                <c:pt idx="42">
                  <c:v>222.06333776431791</c:v>
                </c:pt>
                <c:pt idx="43">
                  <c:v>223.2349491120259</c:v>
                </c:pt>
                <c:pt idx="44">
                  <c:v>223.35925049849564</c:v>
                </c:pt>
                <c:pt idx="45">
                  <c:v>224.9585940584534</c:v>
                </c:pt>
                <c:pt idx="46">
                  <c:v>224.69634227322311</c:v>
                </c:pt>
                <c:pt idx="47">
                  <c:v>222.2942737111745</c:v>
                </c:pt>
                <c:pt idx="48">
                  <c:v>227.08133350698907</c:v>
                </c:pt>
                <c:pt idx="49">
                  <c:v>233.40919735339429</c:v>
                </c:pt>
                <c:pt idx="50">
                  <c:v>231.8298268583795</c:v>
                </c:pt>
                <c:pt idx="51">
                  <c:v>230.70961152482491</c:v>
                </c:pt>
                <c:pt idx="52">
                  <c:v>229.53660503654959</c:v>
                </c:pt>
                <c:pt idx="53">
                  <c:v>225.14176906293815</c:v>
                </c:pt>
                <c:pt idx="54">
                  <c:v>222.71037749283161</c:v>
                </c:pt>
                <c:pt idx="55">
                  <c:v>223.80853527834503</c:v>
                </c:pt>
                <c:pt idx="56">
                  <c:v>222.51303484789139</c:v>
                </c:pt>
                <c:pt idx="57">
                  <c:v>221.74772533261785</c:v>
                </c:pt>
                <c:pt idx="58">
                  <c:v>225.52283654070547</c:v>
                </c:pt>
                <c:pt idx="59">
                  <c:v>222.05711723205744</c:v>
                </c:pt>
                <c:pt idx="60">
                  <c:v>217.62248220612557</c:v>
                </c:pt>
                <c:pt idx="61">
                  <c:v>218.63274445787115</c:v>
                </c:pt>
                <c:pt idx="62">
                  <c:v>219.73272957759932</c:v>
                </c:pt>
                <c:pt idx="63">
                  <c:v>219.90957988832068</c:v>
                </c:pt>
                <c:pt idx="64">
                  <c:v>216.46135584683859</c:v>
                </c:pt>
                <c:pt idx="65">
                  <c:v>220.83390046740013</c:v>
                </c:pt>
                <c:pt idx="66">
                  <c:v>221.87416587770022</c:v>
                </c:pt>
                <c:pt idx="67">
                  <c:v>216.42455123152149</c:v>
                </c:pt>
                <c:pt idx="68">
                  <c:v>216.87257157823609</c:v>
                </c:pt>
                <c:pt idx="69">
                  <c:v>214.90840472003745</c:v>
                </c:pt>
                <c:pt idx="70">
                  <c:v>213.24173008895349</c:v>
                </c:pt>
                <c:pt idx="71">
                  <c:v>210.03376128800647</c:v>
                </c:pt>
                <c:pt idx="72">
                  <c:v>214.7861655518623</c:v>
                </c:pt>
                <c:pt idx="73">
                  <c:v>213.91298080421274</c:v>
                </c:pt>
                <c:pt idx="74">
                  <c:v>220.59953173354393</c:v>
                </c:pt>
                <c:pt idx="75">
                  <c:v>227.18317284725472</c:v>
                </c:pt>
                <c:pt idx="76">
                  <c:v>237.38181099905873</c:v>
                </c:pt>
                <c:pt idx="77">
                  <c:v>232.6489451709148</c:v>
                </c:pt>
                <c:pt idx="78">
                  <c:v>226.9069491230359</c:v>
                </c:pt>
                <c:pt idx="79">
                  <c:v>229.1714220567533</c:v>
                </c:pt>
                <c:pt idx="80">
                  <c:v>226.12668295012571</c:v>
                </c:pt>
                <c:pt idx="81">
                  <c:v>226.91645034321587</c:v>
                </c:pt>
                <c:pt idx="82">
                  <c:v>224.53147254656525</c:v>
                </c:pt>
                <c:pt idx="83">
                  <c:v>228.86349274849914</c:v>
                </c:pt>
                <c:pt idx="84">
                  <c:v>236.35060881119702</c:v>
                </c:pt>
                <c:pt idx="85">
                  <c:v>237.77034547265566</c:v>
                </c:pt>
                <c:pt idx="86">
                  <c:v>221.55362365852685</c:v>
                </c:pt>
                <c:pt idx="87">
                  <c:v>223.66776904008742</c:v>
                </c:pt>
                <c:pt idx="88">
                  <c:v>232.19054676844942</c:v>
                </c:pt>
                <c:pt idx="89">
                  <c:v>225.80470444659053</c:v>
                </c:pt>
                <c:pt idx="90">
                  <c:v>229.79069646161045</c:v>
                </c:pt>
                <c:pt idx="91">
                  <c:v>222.85898871229949</c:v>
                </c:pt>
                <c:pt idx="92">
                  <c:v>224.19812788765609</c:v>
                </c:pt>
                <c:pt idx="93">
                  <c:v>220.05417256059755</c:v>
                </c:pt>
                <c:pt idx="94">
                  <c:v>220.39969572511046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8474-FA46-A0A9-E06E8EA2867F}"/>
            </c:ext>
          </c:extLst>
        </c:ser>
        <c:ser>
          <c:idx val="70"/>
          <c:order val="70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'Q6'!$E$72:$CU$72</c:f>
              <c:numCache>
                <c:formatCode>General</c:formatCode>
                <c:ptCount val="95"/>
                <c:pt idx="0">
                  <c:v>222.13</c:v>
                </c:pt>
                <c:pt idx="1">
                  <c:v>220.86448697779781</c:v>
                </c:pt>
                <c:pt idx="2">
                  <c:v>228.55514105749901</c:v>
                </c:pt>
                <c:pt idx="3">
                  <c:v>225.49689664830066</c:v>
                </c:pt>
                <c:pt idx="4">
                  <c:v>222.43833943010947</c:v>
                </c:pt>
                <c:pt idx="5">
                  <c:v>220.87703534129366</c:v>
                </c:pt>
                <c:pt idx="6">
                  <c:v>234.49624510506578</c:v>
                </c:pt>
                <c:pt idx="7">
                  <c:v>219.9645992661757</c:v>
                </c:pt>
                <c:pt idx="8">
                  <c:v>226.65748419485732</c:v>
                </c:pt>
                <c:pt idx="9">
                  <c:v>233.03080875867033</c:v>
                </c:pt>
                <c:pt idx="10">
                  <c:v>228.9289769738358</c:v>
                </c:pt>
                <c:pt idx="11">
                  <c:v>220.38200178078725</c:v>
                </c:pt>
                <c:pt idx="12">
                  <c:v>225.52203152729433</c:v>
                </c:pt>
                <c:pt idx="13">
                  <c:v>225.24693048909913</c:v>
                </c:pt>
                <c:pt idx="14">
                  <c:v>222.49523315213318</c:v>
                </c:pt>
                <c:pt idx="15">
                  <c:v>222.3981394938298</c:v>
                </c:pt>
                <c:pt idx="16">
                  <c:v>228.77160825740845</c:v>
                </c:pt>
                <c:pt idx="17">
                  <c:v>247.74846160044947</c:v>
                </c:pt>
                <c:pt idx="18">
                  <c:v>244.67839831774026</c:v>
                </c:pt>
                <c:pt idx="19">
                  <c:v>233.72682692973959</c:v>
                </c:pt>
                <c:pt idx="20">
                  <c:v>223.01234906859915</c:v>
                </c:pt>
                <c:pt idx="21">
                  <c:v>218.02205088404042</c:v>
                </c:pt>
                <c:pt idx="22">
                  <c:v>220.88754787702675</c:v>
                </c:pt>
                <c:pt idx="23">
                  <c:v>216.02321291524984</c:v>
                </c:pt>
                <c:pt idx="24">
                  <c:v>216.18695764739604</c:v>
                </c:pt>
                <c:pt idx="25">
                  <c:v>215.84774498330955</c:v>
                </c:pt>
                <c:pt idx="26">
                  <c:v>209.74074088798565</c:v>
                </c:pt>
                <c:pt idx="27">
                  <c:v>200.81024712560151</c:v>
                </c:pt>
                <c:pt idx="28">
                  <c:v>197.97061509327034</c:v>
                </c:pt>
                <c:pt idx="29">
                  <c:v>191.18463499498927</c:v>
                </c:pt>
                <c:pt idx="30">
                  <c:v>184.99596728606792</c:v>
                </c:pt>
                <c:pt idx="31">
                  <c:v>181.49987891672455</c:v>
                </c:pt>
                <c:pt idx="32">
                  <c:v>175.78641480290389</c:v>
                </c:pt>
                <c:pt idx="33">
                  <c:v>176.89328296824786</c:v>
                </c:pt>
                <c:pt idx="34">
                  <c:v>175.05259489360731</c:v>
                </c:pt>
                <c:pt idx="35">
                  <c:v>175.14285532574425</c:v>
                </c:pt>
                <c:pt idx="36">
                  <c:v>165.764042050515</c:v>
                </c:pt>
                <c:pt idx="37">
                  <c:v>174.3074841628133</c:v>
                </c:pt>
                <c:pt idx="38">
                  <c:v>184.08399918219578</c:v>
                </c:pt>
                <c:pt idx="39">
                  <c:v>181.70317386030598</c:v>
                </c:pt>
                <c:pt idx="40">
                  <c:v>176.12676216372628</c:v>
                </c:pt>
                <c:pt idx="41">
                  <c:v>174.49258229150649</c:v>
                </c:pt>
                <c:pt idx="42">
                  <c:v>179.19518265986642</c:v>
                </c:pt>
                <c:pt idx="43">
                  <c:v>183.63577242420098</c:v>
                </c:pt>
                <c:pt idx="44">
                  <c:v>191.10979735315823</c:v>
                </c:pt>
                <c:pt idx="45">
                  <c:v>190.4760536543767</c:v>
                </c:pt>
                <c:pt idx="46">
                  <c:v>192.23453064995246</c:v>
                </c:pt>
                <c:pt idx="47">
                  <c:v>198.39968054141355</c:v>
                </c:pt>
                <c:pt idx="48">
                  <c:v>194.49927017263886</c:v>
                </c:pt>
                <c:pt idx="49">
                  <c:v>194.63319963767051</c:v>
                </c:pt>
                <c:pt idx="50">
                  <c:v>197.11064745567148</c:v>
                </c:pt>
                <c:pt idx="51">
                  <c:v>198.37718352345345</c:v>
                </c:pt>
                <c:pt idx="52">
                  <c:v>199.87346796257975</c:v>
                </c:pt>
                <c:pt idx="53">
                  <c:v>195.3120810382969</c:v>
                </c:pt>
                <c:pt idx="54">
                  <c:v>186.74516641818599</c:v>
                </c:pt>
                <c:pt idx="55">
                  <c:v>184.33555223682009</c:v>
                </c:pt>
                <c:pt idx="56">
                  <c:v>190.26561531990598</c:v>
                </c:pt>
                <c:pt idx="57">
                  <c:v>187.93846461695108</c:v>
                </c:pt>
                <c:pt idx="58">
                  <c:v>184.16622010860326</c:v>
                </c:pt>
                <c:pt idx="59">
                  <c:v>181.17711910472946</c:v>
                </c:pt>
                <c:pt idx="60">
                  <c:v>183.66163196846378</c:v>
                </c:pt>
                <c:pt idx="61">
                  <c:v>188.5866224275922</c:v>
                </c:pt>
                <c:pt idx="62">
                  <c:v>186.40359827993765</c:v>
                </c:pt>
                <c:pt idx="63">
                  <c:v>189.88351665770969</c:v>
                </c:pt>
                <c:pt idx="64">
                  <c:v>192.06016059721316</c:v>
                </c:pt>
                <c:pt idx="65">
                  <c:v>201.13419531219677</c:v>
                </c:pt>
                <c:pt idx="66">
                  <c:v>201.40000004447845</c:v>
                </c:pt>
                <c:pt idx="67">
                  <c:v>201.72021589625467</c:v>
                </c:pt>
                <c:pt idx="68">
                  <c:v>201.44620672912473</c:v>
                </c:pt>
                <c:pt idx="69">
                  <c:v>198.41320756798882</c:v>
                </c:pt>
                <c:pt idx="70">
                  <c:v>204.87382960294562</c:v>
                </c:pt>
                <c:pt idx="71">
                  <c:v>207.64680499535098</c:v>
                </c:pt>
                <c:pt idx="72">
                  <c:v>202.58961023939142</c:v>
                </c:pt>
                <c:pt idx="73">
                  <c:v>200.68151279561394</c:v>
                </c:pt>
                <c:pt idx="74">
                  <c:v>198.03820127618596</c:v>
                </c:pt>
                <c:pt idx="75">
                  <c:v>204.41769341031997</c:v>
                </c:pt>
                <c:pt idx="76">
                  <c:v>207.53485108625583</c:v>
                </c:pt>
                <c:pt idx="77">
                  <c:v>202.76686134566563</c:v>
                </c:pt>
                <c:pt idx="78">
                  <c:v>195.56970770669122</c:v>
                </c:pt>
                <c:pt idx="79">
                  <c:v>192.21131741297987</c:v>
                </c:pt>
                <c:pt idx="80">
                  <c:v>199.77974143625565</c:v>
                </c:pt>
                <c:pt idx="81">
                  <c:v>203.72287393231474</c:v>
                </c:pt>
                <c:pt idx="82">
                  <c:v>197.98544851061718</c:v>
                </c:pt>
                <c:pt idx="83">
                  <c:v>191.26363338368964</c:v>
                </c:pt>
                <c:pt idx="84">
                  <c:v>187.69411330820276</c:v>
                </c:pt>
                <c:pt idx="85">
                  <c:v>191.89633760044046</c:v>
                </c:pt>
                <c:pt idx="86">
                  <c:v>201.51954107629331</c:v>
                </c:pt>
                <c:pt idx="87">
                  <c:v>198.00982923562799</c:v>
                </c:pt>
                <c:pt idx="88">
                  <c:v>202.03497598423826</c:v>
                </c:pt>
                <c:pt idx="89">
                  <c:v>197.4980672917159</c:v>
                </c:pt>
                <c:pt idx="90">
                  <c:v>190.58407700239852</c:v>
                </c:pt>
                <c:pt idx="91">
                  <c:v>190.61464952736611</c:v>
                </c:pt>
                <c:pt idx="92">
                  <c:v>182.38818271370761</c:v>
                </c:pt>
                <c:pt idx="93">
                  <c:v>182.99927247806144</c:v>
                </c:pt>
                <c:pt idx="94">
                  <c:v>188.81413812295119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8474-FA46-A0A9-E06E8EA2867F}"/>
            </c:ext>
          </c:extLst>
        </c:ser>
        <c:ser>
          <c:idx val="71"/>
          <c:order val="71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'Q6'!$E$73:$CU$73</c:f>
              <c:numCache>
                <c:formatCode>General</c:formatCode>
                <c:ptCount val="95"/>
                <c:pt idx="0">
                  <c:v>222.13</c:v>
                </c:pt>
                <c:pt idx="1">
                  <c:v>230.61961569314431</c:v>
                </c:pt>
                <c:pt idx="2">
                  <c:v>220.82741510468142</c:v>
                </c:pt>
                <c:pt idx="3">
                  <c:v>218.70563832736033</c:v>
                </c:pt>
                <c:pt idx="4">
                  <c:v>218.62010495652493</c:v>
                </c:pt>
                <c:pt idx="5">
                  <c:v>226.85791477372842</c:v>
                </c:pt>
                <c:pt idx="6">
                  <c:v>230.45580267074644</c:v>
                </c:pt>
                <c:pt idx="7">
                  <c:v>232.26440020526059</c:v>
                </c:pt>
                <c:pt idx="8">
                  <c:v>235.86439542400223</c:v>
                </c:pt>
                <c:pt idx="9">
                  <c:v>233.31209355027445</c:v>
                </c:pt>
                <c:pt idx="10">
                  <c:v>231.70705947515441</c:v>
                </c:pt>
                <c:pt idx="11">
                  <c:v>225.75032084308836</c:v>
                </c:pt>
                <c:pt idx="12">
                  <c:v>227.03063358795598</c:v>
                </c:pt>
                <c:pt idx="13">
                  <c:v>221.29327797414314</c:v>
                </c:pt>
                <c:pt idx="14">
                  <c:v>221.12032911126292</c:v>
                </c:pt>
                <c:pt idx="15">
                  <c:v>220.07977302070952</c:v>
                </c:pt>
                <c:pt idx="16">
                  <c:v>218.04438759972535</c:v>
                </c:pt>
                <c:pt idx="17">
                  <c:v>218.1461366256857</c:v>
                </c:pt>
                <c:pt idx="18">
                  <c:v>225.14750126631293</c:v>
                </c:pt>
                <c:pt idx="19">
                  <c:v>222.84261035985227</c:v>
                </c:pt>
                <c:pt idx="20">
                  <c:v>230.59379697472511</c:v>
                </c:pt>
                <c:pt idx="21">
                  <c:v>227.7527966577446</c:v>
                </c:pt>
                <c:pt idx="22">
                  <c:v>222.98714363314545</c:v>
                </c:pt>
                <c:pt idx="23">
                  <c:v>222.26321433478313</c:v>
                </c:pt>
                <c:pt idx="24">
                  <c:v>217.72974944552283</c:v>
                </c:pt>
                <c:pt idx="25">
                  <c:v>216.75127479060981</c:v>
                </c:pt>
                <c:pt idx="26">
                  <c:v>213.75296875341684</c:v>
                </c:pt>
                <c:pt idx="27">
                  <c:v>208.31266258883969</c:v>
                </c:pt>
                <c:pt idx="28">
                  <c:v>208.80285099723901</c:v>
                </c:pt>
                <c:pt idx="29">
                  <c:v>210.52749947352075</c:v>
                </c:pt>
                <c:pt idx="30">
                  <c:v>202.79011597448078</c:v>
                </c:pt>
                <c:pt idx="31">
                  <c:v>200.87457049759999</c:v>
                </c:pt>
                <c:pt idx="32">
                  <c:v>199.3219496678131</c:v>
                </c:pt>
                <c:pt idx="33">
                  <c:v>197.28870302977899</c:v>
                </c:pt>
                <c:pt idx="34">
                  <c:v>187.29228044126211</c:v>
                </c:pt>
                <c:pt idx="35">
                  <c:v>185.32027706211377</c:v>
                </c:pt>
                <c:pt idx="36">
                  <c:v>182.75921574483445</c:v>
                </c:pt>
                <c:pt idx="37">
                  <c:v>181.17162643694917</c:v>
                </c:pt>
                <c:pt idx="38">
                  <c:v>178.91248945131903</c:v>
                </c:pt>
                <c:pt idx="39">
                  <c:v>183.16869800016295</c:v>
                </c:pt>
                <c:pt idx="40">
                  <c:v>182.74620568811483</c:v>
                </c:pt>
                <c:pt idx="41">
                  <c:v>186.7949783270675</c:v>
                </c:pt>
                <c:pt idx="42">
                  <c:v>190.63584087022463</c:v>
                </c:pt>
                <c:pt idx="43">
                  <c:v>198.42663611783317</c:v>
                </c:pt>
                <c:pt idx="44">
                  <c:v>193.56663119173658</c:v>
                </c:pt>
                <c:pt idx="45">
                  <c:v>200.25261906349778</c:v>
                </c:pt>
                <c:pt idx="46">
                  <c:v>198.41604798554141</c:v>
                </c:pt>
                <c:pt idx="47">
                  <c:v>199.60905060713296</c:v>
                </c:pt>
                <c:pt idx="48">
                  <c:v>189.88899468282736</c:v>
                </c:pt>
                <c:pt idx="49">
                  <c:v>186.75383142276695</c:v>
                </c:pt>
                <c:pt idx="50">
                  <c:v>189.97971316014969</c:v>
                </c:pt>
                <c:pt idx="51">
                  <c:v>187.92336970474017</c:v>
                </c:pt>
                <c:pt idx="52">
                  <c:v>191.0527080817167</c:v>
                </c:pt>
                <c:pt idx="53">
                  <c:v>200.76320919571992</c:v>
                </c:pt>
                <c:pt idx="54">
                  <c:v>201.19094270696573</c:v>
                </c:pt>
                <c:pt idx="55">
                  <c:v>201.62986221269506</c:v>
                </c:pt>
                <c:pt idx="56">
                  <c:v>200.09340962127916</c:v>
                </c:pt>
                <c:pt idx="57">
                  <c:v>194.60491288991184</c:v>
                </c:pt>
                <c:pt idx="58">
                  <c:v>198.91254888972577</c:v>
                </c:pt>
                <c:pt idx="59">
                  <c:v>197.50155994310188</c:v>
                </c:pt>
                <c:pt idx="60">
                  <c:v>202.84481453310434</c:v>
                </c:pt>
                <c:pt idx="61">
                  <c:v>205.74776869760441</c:v>
                </c:pt>
                <c:pt idx="62">
                  <c:v>204.60756691451778</c:v>
                </c:pt>
                <c:pt idx="63">
                  <c:v>209.24844459919547</c:v>
                </c:pt>
                <c:pt idx="64">
                  <c:v>206.62252374263653</c:v>
                </c:pt>
                <c:pt idx="65">
                  <c:v>212.13953134428093</c:v>
                </c:pt>
                <c:pt idx="66">
                  <c:v>211.14636933286573</c:v>
                </c:pt>
                <c:pt idx="67">
                  <c:v>201.99428358375573</c:v>
                </c:pt>
                <c:pt idx="68">
                  <c:v>203.63923917699961</c:v>
                </c:pt>
                <c:pt idx="69">
                  <c:v>210.94643040414965</c:v>
                </c:pt>
                <c:pt idx="70">
                  <c:v>206.44991553198008</c:v>
                </c:pt>
                <c:pt idx="71">
                  <c:v>204.92095572636609</c:v>
                </c:pt>
                <c:pt idx="72">
                  <c:v>205.73480750126311</c:v>
                </c:pt>
                <c:pt idx="73">
                  <c:v>204.09879941608821</c:v>
                </c:pt>
                <c:pt idx="74">
                  <c:v>206.15045223827195</c:v>
                </c:pt>
                <c:pt idx="75">
                  <c:v>207.16529226774753</c:v>
                </c:pt>
                <c:pt idx="76">
                  <c:v>214.48596728982571</c:v>
                </c:pt>
                <c:pt idx="77">
                  <c:v>211.32857957771807</c:v>
                </c:pt>
                <c:pt idx="78">
                  <c:v>214.93133445241008</c:v>
                </c:pt>
                <c:pt idx="79">
                  <c:v>207.49737346246874</c:v>
                </c:pt>
                <c:pt idx="80">
                  <c:v>213.64255208577202</c:v>
                </c:pt>
                <c:pt idx="81">
                  <c:v>208.02683270891109</c:v>
                </c:pt>
                <c:pt idx="82">
                  <c:v>204.00317492006778</c:v>
                </c:pt>
                <c:pt idx="83">
                  <c:v>206.2216978764458</c:v>
                </c:pt>
                <c:pt idx="84">
                  <c:v>211.60765035618203</c:v>
                </c:pt>
                <c:pt idx="85">
                  <c:v>205.76368809982512</c:v>
                </c:pt>
                <c:pt idx="86">
                  <c:v>206.85063541806275</c:v>
                </c:pt>
                <c:pt idx="87">
                  <c:v>212.602877277597</c:v>
                </c:pt>
                <c:pt idx="88">
                  <c:v>214.62970280520918</c:v>
                </c:pt>
                <c:pt idx="89">
                  <c:v>214.21039393088034</c:v>
                </c:pt>
                <c:pt idx="90">
                  <c:v>216.76978828453719</c:v>
                </c:pt>
                <c:pt idx="91">
                  <c:v>209.49315561842982</c:v>
                </c:pt>
                <c:pt idx="92">
                  <c:v>206.00619067973767</c:v>
                </c:pt>
                <c:pt idx="93">
                  <c:v>200.1763832461466</c:v>
                </c:pt>
                <c:pt idx="94">
                  <c:v>195.68080056507489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8474-FA46-A0A9-E06E8EA2867F}"/>
            </c:ext>
          </c:extLst>
        </c:ser>
        <c:ser>
          <c:idx val="72"/>
          <c:order val="72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'Q6'!$E$74:$CU$74</c:f>
              <c:numCache>
                <c:formatCode>General</c:formatCode>
                <c:ptCount val="95"/>
                <c:pt idx="0">
                  <c:v>222.13</c:v>
                </c:pt>
                <c:pt idx="1">
                  <c:v>227.7678268994415</c:v>
                </c:pt>
                <c:pt idx="2">
                  <c:v>229.68466926426277</c:v>
                </c:pt>
                <c:pt idx="3">
                  <c:v>228.61596714143897</c:v>
                </c:pt>
                <c:pt idx="4">
                  <c:v>225.79516518081579</c:v>
                </c:pt>
                <c:pt idx="5">
                  <c:v>222.98153976140608</c:v>
                </c:pt>
                <c:pt idx="6">
                  <c:v>219.36115770804716</c:v>
                </c:pt>
                <c:pt idx="7">
                  <c:v>220.61024445559289</c:v>
                </c:pt>
                <c:pt idx="8">
                  <c:v>213.69982942803551</c:v>
                </c:pt>
                <c:pt idx="9">
                  <c:v>214.9100269040789</c:v>
                </c:pt>
                <c:pt idx="10">
                  <c:v>219.47315824769731</c:v>
                </c:pt>
                <c:pt idx="11">
                  <c:v>230.17417706564521</c:v>
                </c:pt>
                <c:pt idx="12">
                  <c:v>230.88277943585871</c:v>
                </c:pt>
                <c:pt idx="13">
                  <c:v>232.82086391050657</c:v>
                </c:pt>
                <c:pt idx="14">
                  <c:v>223.1818939663888</c:v>
                </c:pt>
                <c:pt idx="15">
                  <c:v>227.74972964606187</c:v>
                </c:pt>
                <c:pt idx="16">
                  <c:v>230.41834475724787</c:v>
                </c:pt>
                <c:pt idx="17">
                  <c:v>230.98457968914116</c:v>
                </c:pt>
                <c:pt idx="18">
                  <c:v>239.38334900052939</c:v>
                </c:pt>
                <c:pt idx="19">
                  <c:v>237.72352748584544</c:v>
                </c:pt>
                <c:pt idx="20">
                  <c:v>234.02110670796336</c:v>
                </c:pt>
                <c:pt idx="21">
                  <c:v>240.14571604866998</c:v>
                </c:pt>
                <c:pt idx="22">
                  <c:v>240.31989044617794</c:v>
                </c:pt>
                <c:pt idx="23">
                  <c:v>241.42453256365786</c:v>
                </c:pt>
                <c:pt idx="24">
                  <c:v>244.77268030527873</c:v>
                </c:pt>
                <c:pt idx="25">
                  <c:v>240.08392985648698</c:v>
                </c:pt>
                <c:pt idx="26">
                  <c:v>237.45348102333332</c:v>
                </c:pt>
                <c:pt idx="27">
                  <c:v>245.30821437027211</c:v>
                </c:pt>
                <c:pt idx="28">
                  <c:v>238.94756265326038</c:v>
                </c:pt>
                <c:pt idx="29">
                  <c:v>242.34259404665238</c:v>
                </c:pt>
                <c:pt idx="30">
                  <c:v>236.69974377363411</c:v>
                </c:pt>
                <c:pt idx="31">
                  <c:v>237.4213177676165</c:v>
                </c:pt>
                <c:pt idx="32">
                  <c:v>225.73061415939512</c:v>
                </c:pt>
                <c:pt idx="33">
                  <c:v>219.16194274277774</c:v>
                </c:pt>
                <c:pt idx="34">
                  <c:v>223.86127037900326</c:v>
                </c:pt>
                <c:pt idx="35">
                  <c:v>225.75064390171153</c:v>
                </c:pt>
                <c:pt idx="36">
                  <c:v>229.63463519809835</c:v>
                </c:pt>
                <c:pt idx="37">
                  <c:v>221.58884652261335</c:v>
                </c:pt>
                <c:pt idx="38">
                  <c:v>222.64622623485792</c:v>
                </c:pt>
                <c:pt idx="39">
                  <c:v>218.75358820695359</c:v>
                </c:pt>
                <c:pt idx="40">
                  <c:v>214.6525397741425</c:v>
                </c:pt>
                <c:pt idx="41">
                  <c:v>215.69545437264946</c:v>
                </c:pt>
                <c:pt idx="42">
                  <c:v>216.10671600383901</c:v>
                </c:pt>
                <c:pt idx="43">
                  <c:v>212.53917461236085</c:v>
                </c:pt>
                <c:pt idx="44">
                  <c:v>208.58893762411589</c:v>
                </c:pt>
                <c:pt idx="45">
                  <c:v>210.02907143591864</c:v>
                </c:pt>
                <c:pt idx="46">
                  <c:v>212.99439991119633</c:v>
                </c:pt>
                <c:pt idx="47">
                  <c:v>207.93083703679244</c:v>
                </c:pt>
                <c:pt idx="48">
                  <c:v>213.13692094674551</c:v>
                </c:pt>
                <c:pt idx="49">
                  <c:v>213.82707681730466</c:v>
                </c:pt>
                <c:pt idx="50">
                  <c:v>210.58761400038333</c:v>
                </c:pt>
                <c:pt idx="51">
                  <c:v>219.66268400419361</c:v>
                </c:pt>
                <c:pt idx="52">
                  <c:v>217.77424144354944</c:v>
                </c:pt>
                <c:pt idx="53">
                  <c:v>217.66325952126854</c:v>
                </c:pt>
                <c:pt idx="54">
                  <c:v>219.27818917132211</c:v>
                </c:pt>
                <c:pt idx="55">
                  <c:v>214.06543231777997</c:v>
                </c:pt>
                <c:pt idx="56">
                  <c:v>205.25733030517083</c:v>
                </c:pt>
                <c:pt idx="57">
                  <c:v>202.94252542879101</c:v>
                </c:pt>
                <c:pt idx="58">
                  <c:v>194.10334397279547</c:v>
                </c:pt>
                <c:pt idx="59">
                  <c:v>196.64810523986898</c:v>
                </c:pt>
                <c:pt idx="60">
                  <c:v>200.90049288248369</c:v>
                </c:pt>
                <c:pt idx="61">
                  <c:v>199.83658909490649</c:v>
                </c:pt>
                <c:pt idx="62">
                  <c:v>202.61494647217202</c:v>
                </c:pt>
                <c:pt idx="63">
                  <c:v>202.2750637924274</c:v>
                </c:pt>
                <c:pt idx="64">
                  <c:v>195.64225603423486</c:v>
                </c:pt>
                <c:pt idx="65">
                  <c:v>198.32178099194738</c:v>
                </c:pt>
                <c:pt idx="66">
                  <c:v>193.53153754903482</c:v>
                </c:pt>
                <c:pt idx="67">
                  <c:v>185.76130516928816</c:v>
                </c:pt>
                <c:pt idx="68">
                  <c:v>185.68376198139316</c:v>
                </c:pt>
                <c:pt idx="69">
                  <c:v>197.10185637433239</c:v>
                </c:pt>
                <c:pt idx="70">
                  <c:v>196.88211808493986</c:v>
                </c:pt>
                <c:pt idx="71">
                  <c:v>198.60786024074417</c:v>
                </c:pt>
                <c:pt idx="72">
                  <c:v>197.40408717107175</c:v>
                </c:pt>
                <c:pt idx="73">
                  <c:v>192.36650157894272</c:v>
                </c:pt>
                <c:pt idx="74">
                  <c:v>189.66294999261385</c:v>
                </c:pt>
                <c:pt idx="75">
                  <c:v>197.68731319364406</c:v>
                </c:pt>
                <c:pt idx="76">
                  <c:v>203.99969310278908</c:v>
                </c:pt>
                <c:pt idx="77">
                  <c:v>205.34160488496084</c:v>
                </c:pt>
                <c:pt idx="78">
                  <c:v>194.99349699393915</c:v>
                </c:pt>
                <c:pt idx="79">
                  <c:v>192.13016091428318</c:v>
                </c:pt>
                <c:pt idx="80">
                  <c:v>195.84036337713928</c:v>
                </c:pt>
                <c:pt idx="81">
                  <c:v>196.32033545903428</c:v>
                </c:pt>
                <c:pt idx="82">
                  <c:v>198.95050044516492</c:v>
                </c:pt>
                <c:pt idx="83">
                  <c:v>200.10242085498518</c:v>
                </c:pt>
                <c:pt idx="84">
                  <c:v>197.9816620408838</c:v>
                </c:pt>
                <c:pt idx="85">
                  <c:v>198.05921054221406</c:v>
                </c:pt>
                <c:pt idx="86">
                  <c:v>201.02037994498957</c:v>
                </c:pt>
                <c:pt idx="87">
                  <c:v>194.92531631782381</c:v>
                </c:pt>
                <c:pt idx="88">
                  <c:v>193.71015337151789</c:v>
                </c:pt>
                <c:pt idx="89">
                  <c:v>189.77075886977789</c:v>
                </c:pt>
                <c:pt idx="90">
                  <c:v>189.9897224525329</c:v>
                </c:pt>
                <c:pt idx="91">
                  <c:v>190.79012140932446</c:v>
                </c:pt>
                <c:pt idx="92">
                  <c:v>192.08541109311065</c:v>
                </c:pt>
                <c:pt idx="93">
                  <c:v>189.90430495787345</c:v>
                </c:pt>
                <c:pt idx="94">
                  <c:v>188.2013778830179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8474-FA46-A0A9-E06E8EA2867F}"/>
            </c:ext>
          </c:extLst>
        </c:ser>
        <c:ser>
          <c:idx val="73"/>
          <c:order val="73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'Q6'!$E$75:$CU$75</c:f>
              <c:numCache>
                <c:formatCode>General</c:formatCode>
                <c:ptCount val="95"/>
                <c:pt idx="0">
                  <c:v>222.13</c:v>
                </c:pt>
                <c:pt idx="1">
                  <c:v>222.93219000609534</c:v>
                </c:pt>
                <c:pt idx="2">
                  <c:v>223.43773141125681</c:v>
                </c:pt>
                <c:pt idx="3">
                  <c:v>226.00591496002002</c:v>
                </c:pt>
                <c:pt idx="4">
                  <c:v>223.06417774661242</c:v>
                </c:pt>
                <c:pt idx="5">
                  <c:v>224.88955392375917</c:v>
                </c:pt>
                <c:pt idx="6">
                  <c:v>220.79610281638048</c:v>
                </c:pt>
                <c:pt idx="7">
                  <c:v>218.63169264345456</c:v>
                </c:pt>
                <c:pt idx="8">
                  <c:v>222.310492084575</c:v>
                </c:pt>
                <c:pt idx="9">
                  <c:v>221.77576167840618</c:v>
                </c:pt>
                <c:pt idx="10">
                  <c:v>223.659858777457</c:v>
                </c:pt>
                <c:pt idx="11">
                  <c:v>210.13734696377688</c:v>
                </c:pt>
                <c:pt idx="12">
                  <c:v>214.06690746328152</c:v>
                </c:pt>
                <c:pt idx="13">
                  <c:v>207.84180658078719</c:v>
                </c:pt>
                <c:pt idx="14">
                  <c:v>212.68164763865644</c:v>
                </c:pt>
                <c:pt idx="15">
                  <c:v>209.50694865725663</c:v>
                </c:pt>
                <c:pt idx="16">
                  <c:v>212.95168969563767</c:v>
                </c:pt>
                <c:pt idx="17">
                  <c:v>214.31195501280743</c:v>
                </c:pt>
                <c:pt idx="18">
                  <c:v>215.75105937122268</c:v>
                </c:pt>
                <c:pt idx="19">
                  <c:v>220.55641673037184</c:v>
                </c:pt>
                <c:pt idx="20">
                  <c:v>226.54662315083544</c:v>
                </c:pt>
                <c:pt idx="21">
                  <c:v>232.58573436808888</c:v>
                </c:pt>
                <c:pt idx="22">
                  <c:v>228.64032051737803</c:v>
                </c:pt>
                <c:pt idx="23">
                  <c:v>229.98388141591849</c:v>
                </c:pt>
                <c:pt idx="24">
                  <c:v>229.48803501460165</c:v>
                </c:pt>
                <c:pt idx="25">
                  <c:v>220.6896103991443</c:v>
                </c:pt>
                <c:pt idx="26">
                  <c:v>220.23605644862852</c:v>
                </c:pt>
                <c:pt idx="27">
                  <c:v>225.91526281266692</c:v>
                </c:pt>
                <c:pt idx="28">
                  <c:v>228.39098433093025</c:v>
                </c:pt>
                <c:pt idx="29">
                  <c:v>218.77785194695716</c:v>
                </c:pt>
                <c:pt idx="30">
                  <c:v>218.61679632957006</c:v>
                </c:pt>
                <c:pt idx="31">
                  <c:v>210.92107504641322</c:v>
                </c:pt>
                <c:pt idx="32">
                  <c:v>216.79867610593107</c:v>
                </c:pt>
                <c:pt idx="33">
                  <c:v>212.65960647779281</c:v>
                </c:pt>
                <c:pt idx="34">
                  <c:v>208.89292695743382</c:v>
                </c:pt>
                <c:pt idx="35">
                  <c:v>217.34704581834811</c:v>
                </c:pt>
                <c:pt idx="36">
                  <c:v>210.94781626784825</c:v>
                </c:pt>
                <c:pt idx="37">
                  <c:v>220.25195529561637</c:v>
                </c:pt>
                <c:pt idx="38">
                  <c:v>220.36790094856863</c:v>
                </c:pt>
                <c:pt idx="39">
                  <c:v>215.71110265573239</c:v>
                </c:pt>
                <c:pt idx="40">
                  <c:v>217.60457796642163</c:v>
                </c:pt>
                <c:pt idx="41">
                  <c:v>215.66512741086535</c:v>
                </c:pt>
                <c:pt idx="42">
                  <c:v>220.39053420608542</c:v>
                </c:pt>
                <c:pt idx="43">
                  <c:v>231.24144851690349</c:v>
                </c:pt>
                <c:pt idx="44">
                  <c:v>232.60548314314994</c:v>
                </c:pt>
                <c:pt idx="45">
                  <c:v>230.39798396921071</c:v>
                </c:pt>
                <c:pt idx="46">
                  <c:v>239.33430526456451</c:v>
                </c:pt>
                <c:pt idx="47">
                  <c:v>233.16794164257169</c:v>
                </c:pt>
                <c:pt idx="48">
                  <c:v>243.13803749257866</c:v>
                </c:pt>
                <c:pt idx="49">
                  <c:v>244.55686044586074</c:v>
                </c:pt>
                <c:pt idx="50">
                  <c:v>247.96412869651911</c:v>
                </c:pt>
                <c:pt idx="51">
                  <c:v>244.61936007391381</c:v>
                </c:pt>
                <c:pt idx="52">
                  <c:v>243.93073350127139</c:v>
                </c:pt>
                <c:pt idx="53">
                  <c:v>255.27642981961654</c:v>
                </c:pt>
                <c:pt idx="54">
                  <c:v>262.06385412020256</c:v>
                </c:pt>
                <c:pt idx="55">
                  <c:v>261.75101695922217</c:v>
                </c:pt>
                <c:pt idx="56">
                  <c:v>267.37122461237732</c:v>
                </c:pt>
                <c:pt idx="57">
                  <c:v>263.87988334627948</c:v>
                </c:pt>
                <c:pt idx="58">
                  <c:v>279.51500604070719</c:v>
                </c:pt>
                <c:pt idx="59">
                  <c:v>274.98497434128632</c:v>
                </c:pt>
                <c:pt idx="60">
                  <c:v>264.27058554256769</c:v>
                </c:pt>
                <c:pt idx="61">
                  <c:v>261.25171438673345</c:v>
                </c:pt>
                <c:pt idx="62">
                  <c:v>271.06668024281913</c:v>
                </c:pt>
                <c:pt idx="63">
                  <c:v>277.89723846541415</c:v>
                </c:pt>
                <c:pt idx="64">
                  <c:v>284.33728738302</c:v>
                </c:pt>
                <c:pt idx="65">
                  <c:v>279.7593527096102</c:v>
                </c:pt>
                <c:pt idx="66">
                  <c:v>286.45274592057376</c:v>
                </c:pt>
                <c:pt idx="67">
                  <c:v>280.99596700993123</c:v>
                </c:pt>
                <c:pt idx="68">
                  <c:v>284.66922061030994</c:v>
                </c:pt>
                <c:pt idx="69">
                  <c:v>274.63939280848388</c:v>
                </c:pt>
                <c:pt idx="70">
                  <c:v>267.71643382303353</c:v>
                </c:pt>
                <c:pt idx="71">
                  <c:v>263.99116651883782</c:v>
                </c:pt>
                <c:pt idx="72">
                  <c:v>264.29042458265735</c:v>
                </c:pt>
                <c:pt idx="73">
                  <c:v>262.95715360533876</c:v>
                </c:pt>
                <c:pt idx="74">
                  <c:v>268.85421272629748</c:v>
                </c:pt>
                <c:pt idx="75">
                  <c:v>268.40296992150388</c:v>
                </c:pt>
                <c:pt idx="76">
                  <c:v>262.7020307735595</c:v>
                </c:pt>
                <c:pt idx="77">
                  <c:v>264.4943024164582</c:v>
                </c:pt>
                <c:pt idx="78">
                  <c:v>260.4035439734327</c:v>
                </c:pt>
                <c:pt idx="79">
                  <c:v>253.76595765232577</c:v>
                </c:pt>
                <c:pt idx="80">
                  <c:v>247.3999689475169</c:v>
                </c:pt>
                <c:pt idx="81">
                  <c:v>244.15728600662021</c:v>
                </c:pt>
                <c:pt idx="82">
                  <c:v>242.19002390581178</c:v>
                </c:pt>
                <c:pt idx="83">
                  <c:v>249.39486173967171</c:v>
                </c:pt>
                <c:pt idx="84">
                  <c:v>256.46446895229718</c:v>
                </c:pt>
                <c:pt idx="85">
                  <c:v>254.9547381584724</c:v>
                </c:pt>
                <c:pt idx="86">
                  <c:v>252.41800133718468</c:v>
                </c:pt>
                <c:pt idx="87">
                  <c:v>262.00510319352634</c:v>
                </c:pt>
                <c:pt idx="88">
                  <c:v>263.82208267801627</c:v>
                </c:pt>
                <c:pt idx="89">
                  <c:v>276.68718278282313</c:v>
                </c:pt>
                <c:pt idx="90">
                  <c:v>278.39773168224201</c:v>
                </c:pt>
                <c:pt idx="91">
                  <c:v>272.06161912974443</c:v>
                </c:pt>
                <c:pt idx="92">
                  <c:v>265.35291132656727</c:v>
                </c:pt>
                <c:pt idx="93">
                  <c:v>272.27225894938613</c:v>
                </c:pt>
                <c:pt idx="94">
                  <c:v>270.27138296688355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8474-FA46-A0A9-E06E8EA2867F}"/>
            </c:ext>
          </c:extLst>
        </c:ser>
        <c:ser>
          <c:idx val="74"/>
          <c:order val="74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'Q6'!$E$76:$CU$76</c:f>
              <c:numCache>
                <c:formatCode>General</c:formatCode>
                <c:ptCount val="95"/>
                <c:pt idx="0">
                  <c:v>222.13</c:v>
                </c:pt>
                <c:pt idx="1">
                  <c:v>213.99577455361865</c:v>
                </c:pt>
                <c:pt idx="2">
                  <c:v>216.1803261081721</c:v>
                </c:pt>
                <c:pt idx="3">
                  <c:v>209.90403632531778</c:v>
                </c:pt>
                <c:pt idx="4">
                  <c:v>208.51504528698285</c:v>
                </c:pt>
                <c:pt idx="5">
                  <c:v>210.07606516077399</c:v>
                </c:pt>
                <c:pt idx="6">
                  <c:v>217.8422068416377</c:v>
                </c:pt>
                <c:pt idx="7">
                  <c:v>219.59470548028389</c:v>
                </c:pt>
                <c:pt idx="8">
                  <c:v>220.847572299831</c:v>
                </c:pt>
                <c:pt idx="9">
                  <c:v>226.32628262213757</c:v>
                </c:pt>
                <c:pt idx="10">
                  <c:v>233.36323091102531</c:v>
                </c:pt>
                <c:pt idx="11">
                  <c:v>230.83870275908166</c:v>
                </c:pt>
                <c:pt idx="12">
                  <c:v>233.65511178460247</c:v>
                </c:pt>
                <c:pt idx="13">
                  <c:v>238.18398271212689</c:v>
                </c:pt>
                <c:pt idx="14">
                  <c:v>237.92920968860628</c:v>
                </c:pt>
                <c:pt idx="15">
                  <c:v>241.14957054679056</c:v>
                </c:pt>
                <c:pt idx="16">
                  <c:v>231.75242844186459</c:v>
                </c:pt>
                <c:pt idx="17">
                  <c:v>227.71768134910863</c:v>
                </c:pt>
                <c:pt idx="18">
                  <c:v>226.78870311167765</c:v>
                </c:pt>
                <c:pt idx="19">
                  <c:v>226.29917058528522</c:v>
                </c:pt>
                <c:pt idx="20">
                  <c:v>218.95530839193091</c:v>
                </c:pt>
                <c:pt idx="21">
                  <c:v>229.32512617062486</c:v>
                </c:pt>
                <c:pt idx="22">
                  <c:v>222.21546436300949</c:v>
                </c:pt>
                <c:pt idx="23">
                  <c:v>226.070001447518</c:v>
                </c:pt>
                <c:pt idx="24">
                  <c:v>213.40120349163098</c:v>
                </c:pt>
                <c:pt idx="25">
                  <c:v>208.40970930655325</c:v>
                </c:pt>
                <c:pt idx="26">
                  <c:v>214.27238180416458</c:v>
                </c:pt>
                <c:pt idx="27">
                  <c:v>210.79498010922811</c:v>
                </c:pt>
                <c:pt idx="28">
                  <c:v>208.90933360797672</c:v>
                </c:pt>
                <c:pt idx="29">
                  <c:v>203.58256276679464</c:v>
                </c:pt>
                <c:pt idx="30">
                  <c:v>207.60171085427456</c:v>
                </c:pt>
                <c:pt idx="31">
                  <c:v>204.89093586629699</c:v>
                </c:pt>
                <c:pt idx="32">
                  <c:v>209.4060982177661</c:v>
                </c:pt>
                <c:pt idx="33">
                  <c:v>205.57572638645559</c:v>
                </c:pt>
                <c:pt idx="34">
                  <c:v>203.14683548080183</c:v>
                </c:pt>
                <c:pt idx="35">
                  <c:v>198.90165178426091</c:v>
                </c:pt>
                <c:pt idx="36">
                  <c:v>194.92015258673203</c:v>
                </c:pt>
                <c:pt idx="37">
                  <c:v>191.18149492426039</c:v>
                </c:pt>
                <c:pt idx="38">
                  <c:v>184.27795896956644</c:v>
                </c:pt>
                <c:pt idx="39">
                  <c:v>177.5519350571366</c:v>
                </c:pt>
                <c:pt idx="40">
                  <c:v>172.28968332471797</c:v>
                </c:pt>
                <c:pt idx="41">
                  <c:v>175.15011755587969</c:v>
                </c:pt>
                <c:pt idx="42">
                  <c:v>177.28695029462355</c:v>
                </c:pt>
                <c:pt idx="43">
                  <c:v>171.97136072472816</c:v>
                </c:pt>
                <c:pt idx="44">
                  <c:v>175.58559214382859</c:v>
                </c:pt>
                <c:pt idx="45">
                  <c:v>173.4801720632355</c:v>
                </c:pt>
                <c:pt idx="46">
                  <c:v>174.35910395553339</c:v>
                </c:pt>
                <c:pt idx="47">
                  <c:v>175.78441439739487</c:v>
                </c:pt>
                <c:pt idx="48">
                  <c:v>171.09995378239043</c:v>
                </c:pt>
                <c:pt idx="49">
                  <c:v>169.75524392868252</c:v>
                </c:pt>
                <c:pt idx="50">
                  <c:v>175.809715202256</c:v>
                </c:pt>
                <c:pt idx="51">
                  <c:v>176.8748364080744</c:v>
                </c:pt>
                <c:pt idx="52">
                  <c:v>182.89326714398354</c:v>
                </c:pt>
                <c:pt idx="53">
                  <c:v>187.31788047564902</c:v>
                </c:pt>
                <c:pt idx="54">
                  <c:v>199.30558965546012</c:v>
                </c:pt>
                <c:pt idx="55">
                  <c:v>198.38556240257421</c:v>
                </c:pt>
                <c:pt idx="56">
                  <c:v>193.41485480807941</c:v>
                </c:pt>
                <c:pt idx="57">
                  <c:v>199.76099447140007</c:v>
                </c:pt>
                <c:pt idx="58">
                  <c:v>194.17531661608248</c:v>
                </c:pt>
                <c:pt idx="59">
                  <c:v>192.8681464367786</c:v>
                </c:pt>
                <c:pt idx="60">
                  <c:v>192.58906468819436</c:v>
                </c:pt>
                <c:pt idx="61">
                  <c:v>195.96757446303465</c:v>
                </c:pt>
                <c:pt idx="62">
                  <c:v>199.06405191297446</c:v>
                </c:pt>
                <c:pt idx="63">
                  <c:v>208.71639983305553</c:v>
                </c:pt>
                <c:pt idx="64">
                  <c:v>210.13915000146991</c:v>
                </c:pt>
                <c:pt idx="65">
                  <c:v>203.54691836144187</c:v>
                </c:pt>
                <c:pt idx="66">
                  <c:v>203.40234603348608</c:v>
                </c:pt>
                <c:pt idx="67">
                  <c:v>208.72575971423089</c:v>
                </c:pt>
                <c:pt idx="68">
                  <c:v>215.44824754030702</c:v>
                </c:pt>
                <c:pt idx="69">
                  <c:v>214.68582122278309</c:v>
                </c:pt>
                <c:pt idx="70">
                  <c:v>213.72767276118608</c:v>
                </c:pt>
                <c:pt idx="71">
                  <c:v>211.41105730573599</c:v>
                </c:pt>
                <c:pt idx="72">
                  <c:v>215.519962881054</c:v>
                </c:pt>
                <c:pt idx="73">
                  <c:v>211.78502519481637</c:v>
                </c:pt>
                <c:pt idx="74">
                  <c:v>218.66149901707215</c:v>
                </c:pt>
                <c:pt idx="75">
                  <c:v>218.98478047369593</c:v>
                </c:pt>
                <c:pt idx="76">
                  <c:v>219.71357380846862</c:v>
                </c:pt>
                <c:pt idx="77">
                  <c:v>211.00807351955024</c:v>
                </c:pt>
                <c:pt idx="78">
                  <c:v>217.55837294192423</c:v>
                </c:pt>
                <c:pt idx="79">
                  <c:v>215.50388557028131</c:v>
                </c:pt>
                <c:pt idx="80">
                  <c:v>217.21458759024242</c:v>
                </c:pt>
                <c:pt idx="81">
                  <c:v>224.56039835742922</c:v>
                </c:pt>
                <c:pt idx="82">
                  <c:v>221.43282354041497</c:v>
                </c:pt>
                <c:pt idx="83">
                  <c:v>223.72052667068255</c:v>
                </c:pt>
                <c:pt idx="84">
                  <c:v>215.94019160690391</c:v>
                </c:pt>
                <c:pt idx="85">
                  <c:v>203.87471883171344</c:v>
                </c:pt>
                <c:pt idx="86">
                  <c:v>192.07592165932672</c:v>
                </c:pt>
                <c:pt idx="87">
                  <c:v>192.4559300973412</c:v>
                </c:pt>
                <c:pt idx="88">
                  <c:v>199.46130276427303</c:v>
                </c:pt>
                <c:pt idx="89">
                  <c:v>202.36647776735941</c:v>
                </c:pt>
                <c:pt idx="90">
                  <c:v>192.72330637335082</c:v>
                </c:pt>
                <c:pt idx="91">
                  <c:v>193.53412619050599</c:v>
                </c:pt>
                <c:pt idx="92">
                  <c:v>189.76906917089059</c:v>
                </c:pt>
                <c:pt idx="93">
                  <c:v>187.1669999380216</c:v>
                </c:pt>
                <c:pt idx="94">
                  <c:v>191.6340007977636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8474-FA46-A0A9-E06E8EA2867F}"/>
            </c:ext>
          </c:extLst>
        </c:ser>
        <c:ser>
          <c:idx val="75"/>
          <c:order val="75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'Q6'!$E$77:$CU$77</c:f>
              <c:numCache>
                <c:formatCode>General</c:formatCode>
                <c:ptCount val="95"/>
                <c:pt idx="0">
                  <c:v>222.13</c:v>
                </c:pt>
                <c:pt idx="1">
                  <c:v>229.49988264721816</c:v>
                </c:pt>
                <c:pt idx="2">
                  <c:v>223.70654531525582</c:v>
                </c:pt>
                <c:pt idx="3">
                  <c:v>223.3181522512771</c:v>
                </c:pt>
                <c:pt idx="4">
                  <c:v>221.92039272199094</c:v>
                </c:pt>
                <c:pt idx="5">
                  <c:v>220.13016702589388</c:v>
                </c:pt>
                <c:pt idx="6">
                  <c:v>219.4995154508872</c:v>
                </c:pt>
                <c:pt idx="7">
                  <c:v>219.76187763661304</c:v>
                </c:pt>
                <c:pt idx="8">
                  <c:v>217.73937161648712</c:v>
                </c:pt>
                <c:pt idx="9">
                  <c:v>217.09534782440991</c:v>
                </c:pt>
                <c:pt idx="10">
                  <c:v>215.92219792569429</c:v>
                </c:pt>
                <c:pt idx="11">
                  <c:v>215.72962707230911</c:v>
                </c:pt>
                <c:pt idx="12">
                  <c:v>219.67780667352591</c:v>
                </c:pt>
                <c:pt idx="13">
                  <c:v>216.44850175059113</c:v>
                </c:pt>
                <c:pt idx="14">
                  <c:v>211.21465981346395</c:v>
                </c:pt>
                <c:pt idx="15">
                  <c:v>210.82171517848846</c:v>
                </c:pt>
                <c:pt idx="16">
                  <c:v>203.22217882358029</c:v>
                </c:pt>
                <c:pt idx="17">
                  <c:v>204.63754921153958</c:v>
                </c:pt>
                <c:pt idx="18">
                  <c:v>200.42820515090355</c:v>
                </c:pt>
                <c:pt idx="19">
                  <c:v>195.54406086165798</c:v>
                </c:pt>
                <c:pt idx="20">
                  <c:v>195.66340276687993</c:v>
                </c:pt>
                <c:pt idx="21">
                  <c:v>193.19364734617511</c:v>
                </c:pt>
                <c:pt idx="22">
                  <c:v>192.3001201941064</c:v>
                </c:pt>
                <c:pt idx="23">
                  <c:v>187.70375995693726</c:v>
                </c:pt>
                <c:pt idx="24">
                  <c:v>192.05996186499411</c:v>
                </c:pt>
                <c:pt idx="25">
                  <c:v>189.22407985200499</c:v>
                </c:pt>
                <c:pt idx="26">
                  <c:v>195.73025437180755</c:v>
                </c:pt>
                <c:pt idx="27">
                  <c:v>195.33396778172198</c:v>
                </c:pt>
                <c:pt idx="28">
                  <c:v>199.65324243458605</c:v>
                </c:pt>
                <c:pt idx="29">
                  <c:v>200.54121206971828</c:v>
                </c:pt>
                <c:pt idx="30">
                  <c:v>201.64188014431997</c:v>
                </c:pt>
                <c:pt idx="31">
                  <c:v>212.05482077452541</c:v>
                </c:pt>
                <c:pt idx="32">
                  <c:v>207.1413092455407</c:v>
                </c:pt>
                <c:pt idx="33">
                  <c:v>202.3262995113171</c:v>
                </c:pt>
                <c:pt idx="34">
                  <c:v>197.03298291320223</c:v>
                </c:pt>
                <c:pt idx="35">
                  <c:v>196.90485582965661</c:v>
                </c:pt>
                <c:pt idx="36">
                  <c:v>194.94980343059589</c:v>
                </c:pt>
                <c:pt idx="37">
                  <c:v>197.8108635719216</c:v>
                </c:pt>
                <c:pt idx="38">
                  <c:v>196.23205947544162</c:v>
                </c:pt>
                <c:pt idx="39">
                  <c:v>184.91655995264827</c:v>
                </c:pt>
                <c:pt idx="40">
                  <c:v>186.77555930423512</c:v>
                </c:pt>
                <c:pt idx="41">
                  <c:v>185.56365640489028</c:v>
                </c:pt>
                <c:pt idx="42">
                  <c:v>186.69933130729581</c:v>
                </c:pt>
                <c:pt idx="43">
                  <c:v>179.58204082817869</c:v>
                </c:pt>
                <c:pt idx="44">
                  <c:v>176.7888607435894</c:v>
                </c:pt>
                <c:pt idx="45">
                  <c:v>175.72955225696302</c:v>
                </c:pt>
                <c:pt idx="46">
                  <c:v>171.17961122319085</c:v>
                </c:pt>
                <c:pt idx="47">
                  <c:v>167.31245322543572</c:v>
                </c:pt>
                <c:pt idx="48">
                  <c:v>158.55818376050672</c:v>
                </c:pt>
                <c:pt idx="49">
                  <c:v>158.0571952687213</c:v>
                </c:pt>
                <c:pt idx="50">
                  <c:v>156.89378965895946</c:v>
                </c:pt>
                <c:pt idx="51">
                  <c:v>155.2952907610879</c:v>
                </c:pt>
                <c:pt idx="52">
                  <c:v>153.54093637546222</c:v>
                </c:pt>
                <c:pt idx="53">
                  <c:v>149.00348000324345</c:v>
                </c:pt>
                <c:pt idx="54">
                  <c:v>144.09499682653316</c:v>
                </c:pt>
                <c:pt idx="55">
                  <c:v>142.14277751297163</c:v>
                </c:pt>
                <c:pt idx="56">
                  <c:v>143.44052319615065</c:v>
                </c:pt>
                <c:pt idx="57">
                  <c:v>141.62376208387963</c:v>
                </c:pt>
                <c:pt idx="58">
                  <c:v>140.08481403434945</c:v>
                </c:pt>
                <c:pt idx="59">
                  <c:v>142.05143228105447</c:v>
                </c:pt>
                <c:pt idx="60">
                  <c:v>147.23821700822612</c:v>
                </c:pt>
                <c:pt idx="61">
                  <c:v>142.7182296341621</c:v>
                </c:pt>
                <c:pt idx="62">
                  <c:v>134.25294805129226</c:v>
                </c:pt>
                <c:pt idx="63">
                  <c:v>132.41719896339038</c:v>
                </c:pt>
                <c:pt idx="64">
                  <c:v>131.35381875432233</c:v>
                </c:pt>
                <c:pt idx="65">
                  <c:v>135.69262717201136</c:v>
                </c:pt>
                <c:pt idx="66">
                  <c:v>134.86460613208831</c:v>
                </c:pt>
                <c:pt idx="67">
                  <c:v>138.02117677113708</c:v>
                </c:pt>
                <c:pt idx="68">
                  <c:v>135.88390518022828</c:v>
                </c:pt>
                <c:pt idx="69">
                  <c:v>136.54303325666734</c:v>
                </c:pt>
                <c:pt idx="70">
                  <c:v>132.8995542369064</c:v>
                </c:pt>
                <c:pt idx="71">
                  <c:v>136.45200238247591</c:v>
                </c:pt>
                <c:pt idx="72">
                  <c:v>133.42083659389743</c:v>
                </c:pt>
                <c:pt idx="73">
                  <c:v>141.72076305743101</c:v>
                </c:pt>
                <c:pt idx="74">
                  <c:v>146.89189329673184</c:v>
                </c:pt>
                <c:pt idx="75">
                  <c:v>146.33788176098295</c:v>
                </c:pt>
                <c:pt idx="76">
                  <c:v>151.33655776479233</c:v>
                </c:pt>
                <c:pt idx="77">
                  <c:v>148.9218137411851</c:v>
                </c:pt>
                <c:pt idx="78">
                  <c:v>148.40004796437569</c:v>
                </c:pt>
                <c:pt idx="79">
                  <c:v>149.21239008912389</c:v>
                </c:pt>
                <c:pt idx="80">
                  <c:v>150.01275293166731</c:v>
                </c:pt>
                <c:pt idx="81">
                  <c:v>153.36813267466798</c:v>
                </c:pt>
                <c:pt idx="82">
                  <c:v>156.17409790879185</c:v>
                </c:pt>
                <c:pt idx="83">
                  <c:v>153.72101687817695</c:v>
                </c:pt>
                <c:pt idx="84">
                  <c:v>147.91480073021734</c:v>
                </c:pt>
                <c:pt idx="85">
                  <c:v>149.47771426602986</c:v>
                </c:pt>
                <c:pt idx="86">
                  <c:v>145.73294159346429</c:v>
                </c:pt>
                <c:pt idx="87">
                  <c:v>149.79471252050618</c:v>
                </c:pt>
                <c:pt idx="88">
                  <c:v>155.54003178150145</c:v>
                </c:pt>
                <c:pt idx="89">
                  <c:v>154.0216367945456</c:v>
                </c:pt>
                <c:pt idx="90">
                  <c:v>159.23711337479202</c:v>
                </c:pt>
                <c:pt idx="91">
                  <c:v>160.95406967000153</c:v>
                </c:pt>
                <c:pt idx="92">
                  <c:v>166.18608900161479</c:v>
                </c:pt>
                <c:pt idx="93">
                  <c:v>169.73075164764987</c:v>
                </c:pt>
                <c:pt idx="94">
                  <c:v>175.01734153570726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8474-FA46-A0A9-E06E8EA2867F}"/>
            </c:ext>
          </c:extLst>
        </c:ser>
        <c:ser>
          <c:idx val="76"/>
          <c:order val="76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'Q6'!$E$78:$CU$78</c:f>
              <c:numCache>
                <c:formatCode>General</c:formatCode>
                <c:ptCount val="95"/>
                <c:pt idx="0">
                  <c:v>222.13</c:v>
                </c:pt>
                <c:pt idx="1">
                  <c:v>217.70766237751013</c:v>
                </c:pt>
                <c:pt idx="2">
                  <c:v>226.00534502465794</c:v>
                </c:pt>
                <c:pt idx="3">
                  <c:v>224.10447615318</c:v>
                </c:pt>
                <c:pt idx="4">
                  <c:v>216.31921286796927</c:v>
                </c:pt>
                <c:pt idx="5">
                  <c:v>209.78578541857667</c:v>
                </c:pt>
                <c:pt idx="6">
                  <c:v>205.59869920348851</c:v>
                </c:pt>
                <c:pt idx="7">
                  <c:v>207.70451055528548</c:v>
                </c:pt>
                <c:pt idx="8">
                  <c:v>203.51340262774522</c:v>
                </c:pt>
                <c:pt idx="9">
                  <c:v>207.06434421316595</c:v>
                </c:pt>
                <c:pt idx="10">
                  <c:v>205.32275138298235</c:v>
                </c:pt>
                <c:pt idx="11">
                  <c:v>199.37165632131217</c:v>
                </c:pt>
                <c:pt idx="12">
                  <c:v>193.72560172810532</c:v>
                </c:pt>
                <c:pt idx="13">
                  <c:v>193.17446842420969</c:v>
                </c:pt>
                <c:pt idx="14">
                  <c:v>196.55894837774426</c:v>
                </c:pt>
                <c:pt idx="15">
                  <c:v>193.15213296846954</c:v>
                </c:pt>
                <c:pt idx="16">
                  <c:v>181.87590197668371</c:v>
                </c:pt>
                <c:pt idx="17">
                  <c:v>179.57411440848469</c:v>
                </c:pt>
                <c:pt idx="18">
                  <c:v>182.20801364258142</c:v>
                </c:pt>
                <c:pt idx="19">
                  <c:v>192.5184003627819</c:v>
                </c:pt>
                <c:pt idx="20">
                  <c:v>189.44128943873068</c:v>
                </c:pt>
                <c:pt idx="21">
                  <c:v>193.00886117303722</c:v>
                </c:pt>
                <c:pt idx="22">
                  <c:v>198.02484790177692</c:v>
                </c:pt>
                <c:pt idx="23">
                  <c:v>194.38935814316932</c:v>
                </c:pt>
                <c:pt idx="24">
                  <c:v>195.17706810580208</c:v>
                </c:pt>
                <c:pt idx="25">
                  <c:v>194.42220128561362</c:v>
                </c:pt>
                <c:pt idx="26">
                  <c:v>193.16549525579984</c:v>
                </c:pt>
                <c:pt idx="27">
                  <c:v>201.03953629809891</c:v>
                </c:pt>
                <c:pt idx="28">
                  <c:v>211.93765341827009</c:v>
                </c:pt>
                <c:pt idx="29">
                  <c:v>221.52722354247155</c:v>
                </c:pt>
                <c:pt idx="30">
                  <c:v>224.44725713186475</c:v>
                </c:pt>
                <c:pt idx="31">
                  <c:v>222.5019026878002</c:v>
                </c:pt>
                <c:pt idx="32">
                  <c:v>228.78375743462044</c:v>
                </c:pt>
                <c:pt idx="33">
                  <c:v>233.14937552340376</c:v>
                </c:pt>
                <c:pt idx="34">
                  <c:v>224.78857552386887</c:v>
                </c:pt>
                <c:pt idx="35">
                  <c:v>224.303748960462</c:v>
                </c:pt>
                <c:pt idx="36">
                  <c:v>227.88671053791307</c:v>
                </c:pt>
                <c:pt idx="37">
                  <c:v>229.46566704373461</c:v>
                </c:pt>
                <c:pt idx="38">
                  <c:v>224.25113997725899</c:v>
                </c:pt>
                <c:pt idx="39">
                  <c:v>231.23871057970834</c:v>
                </c:pt>
                <c:pt idx="40">
                  <c:v>235.39960410747747</c:v>
                </c:pt>
                <c:pt idx="41">
                  <c:v>240.60043672183392</c:v>
                </c:pt>
                <c:pt idx="42">
                  <c:v>237.76467148293898</c:v>
                </c:pt>
                <c:pt idx="43">
                  <c:v>239.39720909749272</c:v>
                </c:pt>
                <c:pt idx="44">
                  <c:v>243.54020775820987</c:v>
                </c:pt>
                <c:pt idx="45">
                  <c:v>241.70047928014046</c:v>
                </c:pt>
                <c:pt idx="46">
                  <c:v>244.51985199031594</c:v>
                </c:pt>
                <c:pt idx="47">
                  <c:v>250.88898076083643</c:v>
                </c:pt>
                <c:pt idx="48">
                  <c:v>239.75551638904892</c:v>
                </c:pt>
                <c:pt idx="49">
                  <c:v>244.99164904690761</c:v>
                </c:pt>
                <c:pt idx="50">
                  <c:v>249.42104787352216</c:v>
                </c:pt>
                <c:pt idx="51">
                  <c:v>247.97709337279736</c:v>
                </c:pt>
                <c:pt idx="52">
                  <c:v>243.66288573153</c:v>
                </c:pt>
                <c:pt idx="53">
                  <c:v>237.98708606037451</c:v>
                </c:pt>
                <c:pt idx="54">
                  <c:v>234.25194436662358</c:v>
                </c:pt>
                <c:pt idx="55">
                  <c:v>225.69006669380883</c:v>
                </c:pt>
                <c:pt idx="56">
                  <c:v>229.75529882409762</c:v>
                </c:pt>
                <c:pt idx="57">
                  <c:v>229.93617261665958</c:v>
                </c:pt>
                <c:pt idx="58">
                  <c:v>231.19414614886773</c:v>
                </c:pt>
                <c:pt idx="59">
                  <c:v>237.62697134765097</c:v>
                </c:pt>
                <c:pt idx="60">
                  <c:v>232.97347058624194</c:v>
                </c:pt>
                <c:pt idx="61">
                  <c:v>237.56723809403798</c:v>
                </c:pt>
                <c:pt idx="62">
                  <c:v>244.89648135440606</c:v>
                </c:pt>
                <c:pt idx="63">
                  <c:v>249.71240299725852</c:v>
                </c:pt>
                <c:pt idx="64">
                  <c:v>253.31528825570052</c:v>
                </c:pt>
                <c:pt idx="65">
                  <c:v>263.89777947120837</c:v>
                </c:pt>
                <c:pt idx="66">
                  <c:v>254.15906873159551</c:v>
                </c:pt>
                <c:pt idx="67">
                  <c:v>262.14420038684347</c:v>
                </c:pt>
                <c:pt idx="68">
                  <c:v>267.67503853421698</c:v>
                </c:pt>
                <c:pt idx="69">
                  <c:v>260.28826771216433</c:v>
                </c:pt>
                <c:pt idx="70">
                  <c:v>264.24465493089588</c:v>
                </c:pt>
                <c:pt idx="71">
                  <c:v>256.49398011664175</c:v>
                </c:pt>
                <c:pt idx="72">
                  <c:v>256.86915693470121</c:v>
                </c:pt>
                <c:pt idx="73">
                  <c:v>264.62218332545672</c:v>
                </c:pt>
                <c:pt idx="74">
                  <c:v>274.89436042937513</c:v>
                </c:pt>
                <c:pt idx="75">
                  <c:v>263.23086988174941</c:v>
                </c:pt>
                <c:pt idx="76">
                  <c:v>263.17738366807652</c:v>
                </c:pt>
                <c:pt idx="77">
                  <c:v>254.21399254586237</c:v>
                </c:pt>
                <c:pt idx="78">
                  <c:v>251.71645588172973</c:v>
                </c:pt>
                <c:pt idx="79">
                  <c:v>253.27200695373239</c:v>
                </c:pt>
                <c:pt idx="80">
                  <c:v>257.97388932542077</c:v>
                </c:pt>
                <c:pt idx="81">
                  <c:v>261.06734648533302</c:v>
                </c:pt>
                <c:pt idx="82">
                  <c:v>255.22464168678559</c:v>
                </c:pt>
                <c:pt idx="83">
                  <c:v>249.3177520031318</c:v>
                </c:pt>
                <c:pt idx="84">
                  <c:v>247.34485133594413</c:v>
                </c:pt>
                <c:pt idx="85">
                  <c:v>246.26463705741313</c:v>
                </c:pt>
                <c:pt idx="86">
                  <c:v>254.50011602442058</c:v>
                </c:pt>
                <c:pt idx="87">
                  <c:v>255.9231529289317</c:v>
                </c:pt>
                <c:pt idx="88">
                  <c:v>254.55781942078008</c:v>
                </c:pt>
                <c:pt idx="89">
                  <c:v>247.95705327061572</c:v>
                </c:pt>
                <c:pt idx="90">
                  <c:v>243.03056626454813</c:v>
                </c:pt>
                <c:pt idx="91">
                  <c:v>246.91442070983382</c:v>
                </c:pt>
                <c:pt idx="92">
                  <c:v>250.95265369219237</c:v>
                </c:pt>
                <c:pt idx="93">
                  <c:v>255.06095111437506</c:v>
                </c:pt>
                <c:pt idx="94">
                  <c:v>259.58206627786706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8474-FA46-A0A9-E06E8EA2867F}"/>
            </c:ext>
          </c:extLst>
        </c:ser>
        <c:ser>
          <c:idx val="77"/>
          <c:order val="77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'Q6'!$E$79:$CU$79</c:f>
              <c:numCache>
                <c:formatCode>General</c:formatCode>
                <c:ptCount val="95"/>
                <c:pt idx="0">
                  <c:v>222.13</c:v>
                </c:pt>
                <c:pt idx="1">
                  <c:v>221.27802751720785</c:v>
                </c:pt>
                <c:pt idx="2">
                  <c:v>217.71589573004738</c:v>
                </c:pt>
                <c:pt idx="3">
                  <c:v>222.67552770974314</c:v>
                </c:pt>
                <c:pt idx="4">
                  <c:v>221.55798996051968</c:v>
                </c:pt>
                <c:pt idx="5">
                  <c:v>231.35638479398858</c:v>
                </c:pt>
                <c:pt idx="6">
                  <c:v>230.20871997282478</c:v>
                </c:pt>
                <c:pt idx="7">
                  <c:v>237.20615727020214</c:v>
                </c:pt>
                <c:pt idx="8">
                  <c:v>229.66349165906141</c:v>
                </c:pt>
                <c:pt idx="9">
                  <c:v>227.75977044113787</c:v>
                </c:pt>
                <c:pt idx="10">
                  <c:v>228.73488149211181</c:v>
                </c:pt>
                <c:pt idx="11">
                  <c:v>217.31646261877881</c:v>
                </c:pt>
                <c:pt idx="12">
                  <c:v>225.30744071976062</c:v>
                </c:pt>
                <c:pt idx="13">
                  <c:v>221.62660545344445</c:v>
                </c:pt>
                <c:pt idx="14">
                  <c:v>223.52866999013438</c:v>
                </c:pt>
                <c:pt idx="15">
                  <c:v>223.38761848849578</c:v>
                </c:pt>
                <c:pt idx="16">
                  <c:v>229.62958609929743</c:v>
                </c:pt>
                <c:pt idx="17">
                  <c:v>226.31813470929984</c:v>
                </c:pt>
                <c:pt idx="18">
                  <c:v>230.14661811676416</c:v>
                </c:pt>
                <c:pt idx="19">
                  <c:v>229.06384398878984</c:v>
                </c:pt>
                <c:pt idx="20">
                  <c:v>224.27350791070035</c:v>
                </c:pt>
                <c:pt idx="21">
                  <c:v>221.25458419088133</c:v>
                </c:pt>
                <c:pt idx="22">
                  <c:v>221.2110253366186</c:v>
                </c:pt>
                <c:pt idx="23">
                  <c:v>221.74011260669636</c:v>
                </c:pt>
                <c:pt idx="24">
                  <c:v>220.52254329939717</c:v>
                </c:pt>
                <c:pt idx="25">
                  <c:v>216.47556154876543</c:v>
                </c:pt>
                <c:pt idx="26">
                  <c:v>216.37172071336684</c:v>
                </c:pt>
                <c:pt idx="27">
                  <c:v>212.1539276767694</c:v>
                </c:pt>
                <c:pt idx="28">
                  <c:v>213.01724776696722</c:v>
                </c:pt>
                <c:pt idx="29">
                  <c:v>214.18829513003976</c:v>
                </c:pt>
                <c:pt idx="30">
                  <c:v>222.84042446141538</c:v>
                </c:pt>
                <c:pt idx="31">
                  <c:v>217.56732353672288</c:v>
                </c:pt>
                <c:pt idx="32">
                  <c:v>214.22026612352627</c:v>
                </c:pt>
                <c:pt idx="33">
                  <c:v>215.96340470002352</c:v>
                </c:pt>
                <c:pt idx="34">
                  <c:v>215.351765151743</c:v>
                </c:pt>
                <c:pt idx="35">
                  <c:v>227.30805010821462</c:v>
                </c:pt>
                <c:pt idx="36">
                  <c:v>230.9113077683941</c:v>
                </c:pt>
                <c:pt idx="37">
                  <c:v>229.42389333148336</c:v>
                </c:pt>
                <c:pt idx="38">
                  <c:v>229.95209805129204</c:v>
                </c:pt>
                <c:pt idx="39">
                  <c:v>234.58403661095312</c:v>
                </c:pt>
                <c:pt idx="40">
                  <c:v>230.83413447281308</c:v>
                </c:pt>
                <c:pt idx="41">
                  <c:v>237.18923994200676</c:v>
                </c:pt>
                <c:pt idx="42">
                  <c:v>238.10224222119581</c:v>
                </c:pt>
                <c:pt idx="43">
                  <c:v>244.36978681562891</c:v>
                </c:pt>
                <c:pt idx="44">
                  <c:v>243.73759729495399</c:v>
                </c:pt>
                <c:pt idx="45">
                  <c:v>241.49833981453554</c:v>
                </c:pt>
                <c:pt idx="46">
                  <c:v>244.74656651220522</c:v>
                </c:pt>
                <c:pt idx="47">
                  <c:v>238.18540821609517</c:v>
                </c:pt>
                <c:pt idx="48">
                  <c:v>233.05984628422306</c:v>
                </c:pt>
                <c:pt idx="49">
                  <c:v>237.6669220438794</c:v>
                </c:pt>
                <c:pt idx="50">
                  <c:v>240.38526291068399</c:v>
                </c:pt>
                <c:pt idx="51">
                  <c:v>234.24440239300688</c:v>
                </c:pt>
                <c:pt idx="52">
                  <c:v>225.12504566514011</c:v>
                </c:pt>
                <c:pt idx="53">
                  <c:v>217.55999912548083</c:v>
                </c:pt>
                <c:pt idx="54">
                  <c:v>209.53053155904254</c:v>
                </c:pt>
                <c:pt idx="55">
                  <c:v>213.67554317744063</c:v>
                </c:pt>
                <c:pt idx="56">
                  <c:v>206.08254926242606</c:v>
                </c:pt>
                <c:pt idx="57">
                  <c:v>206.10790407804078</c:v>
                </c:pt>
                <c:pt idx="58">
                  <c:v>210.42206278198066</c:v>
                </c:pt>
                <c:pt idx="59">
                  <c:v>206.45952805431415</c:v>
                </c:pt>
                <c:pt idx="60">
                  <c:v>214.02895199172374</c:v>
                </c:pt>
                <c:pt idx="61">
                  <c:v>214.15994527056384</c:v>
                </c:pt>
                <c:pt idx="62">
                  <c:v>208.00867174574441</c:v>
                </c:pt>
                <c:pt idx="63">
                  <c:v>210.18097273868943</c:v>
                </c:pt>
                <c:pt idx="64">
                  <c:v>214.00323303255223</c:v>
                </c:pt>
                <c:pt idx="65">
                  <c:v>214.22396874219595</c:v>
                </c:pt>
                <c:pt idx="66">
                  <c:v>208.28145648819117</c:v>
                </c:pt>
                <c:pt idx="67">
                  <c:v>215.31409261230215</c:v>
                </c:pt>
                <c:pt idx="68">
                  <c:v>220.49899621459318</c:v>
                </c:pt>
                <c:pt idx="69">
                  <c:v>226.15917023069588</c:v>
                </c:pt>
                <c:pt idx="70">
                  <c:v>231.15846383398059</c:v>
                </c:pt>
                <c:pt idx="71">
                  <c:v>235.47559283350415</c:v>
                </c:pt>
                <c:pt idx="72">
                  <c:v>239.4650331956415</c:v>
                </c:pt>
                <c:pt idx="73">
                  <c:v>233.99054491129459</c:v>
                </c:pt>
                <c:pt idx="74">
                  <c:v>229.81721430492883</c:v>
                </c:pt>
                <c:pt idx="75">
                  <c:v>230.22883946820303</c:v>
                </c:pt>
                <c:pt idx="76">
                  <c:v>232.89066621407613</c:v>
                </c:pt>
                <c:pt idx="77">
                  <c:v>236.55405695601721</c:v>
                </c:pt>
                <c:pt idx="78">
                  <c:v>246.28050778283122</c:v>
                </c:pt>
                <c:pt idx="79">
                  <c:v>241.20561780585257</c:v>
                </c:pt>
                <c:pt idx="80">
                  <c:v>246.83733974709958</c:v>
                </c:pt>
                <c:pt idx="81">
                  <c:v>249.59319471170627</c:v>
                </c:pt>
                <c:pt idx="82">
                  <c:v>252.78783158435766</c:v>
                </c:pt>
                <c:pt idx="83">
                  <c:v>256.75436010232704</c:v>
                </c:pt>
                <c:pt idx="84">
                  <c:v>261.5774986436914</c:v>
                </c:pt>
                <c:pt idx="85">
                  <c:v>259.92482781283337</c:v>
                </c:pt>
                <c:pt idx="86">
                  <c:v>266.47150403041087</c:v>
                </c:pt>
                <c:pt idx="87">
                  <c:v>268.81319429619765</c:v>
                </c:pt>
                <c:pt idx="88">
                  <c:v>276.71324582760843</c:v>
                </c:pt>
                <c:pt idx="89">
                  <c:v>255.93335172884602</c:v>
                </c:pt>
                <c:pt idx="90">
                  <c:v>266.19069506124555</c:v>
                </c:pt>
                <c:pt idx="91">
                  <c:v>270.90804057286948</c:v>
                </c:pt>
                <c:pt idx="92">
                  <c:v>270.35681340588155</c:v>
                </c:pt>
                <c:pt idx="93">
                  <c:v>277.66890159746021</c:v>
                </c:pt>
                <c:pt idx="94">
                  <c:v>286.92650728503526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8474-FA46-A0A9-E06E8EA2867F}"/>
            </c:ext>
          </c:extLst>
        </c:ser>
        <c:ser>
          <c:idx val="78"/>
          <c:order val="78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'Q6'!$E$80:$CU$80</c:f>
              <c:numCache>
                <c:formatCode>General</c:formatCode>
                <c:ptCount val="95"/>
                <c:pt idx="0">
                  <c:v>222.13</c:v>
                </c:pt>
                <c:pt idx="1">
                  <c:v>216.39997364222913</c:v>
                </c:pt>
                <c:pt idx="2">
                  <c:v>219.52401637145218</c:v>
                </c:pt>
                <c:pt idx="3">
                  <c:v>222.24035151159745</c:v>
                </c:pt>
                <c:pt idx="4">
                  <c:v>217.1920943913787</c:v>
                </c:pt>
                <c:pt idx="5">
                  <c:v>214.33343068781659</c:v>
                </c:pt>
                <c:pt idx="6">
                  <c:v>211.01166227008255</c:v>
                </c:pt>
                <c:pt idx="7">
                  <c:v>216.28293035784625</c:v>
                </c:pt>
                <c:pt idx="8">
                  <c:v>220.22083860839405</c:v>
                </c:pt>
                <c:pt idx="9">
                  <c:v>214.98063150128891</c:v>
                </c:pt>
                <c:pt idx="10">
                  <c:v>212.85466721035704</c:v>
                </c:pt>
                <c:pt idx="11">
                  <c:v>207.29717441644641</c:v>
                </c:pt>
                <c:pt idx="12">
                  <c:v>214.58637880033586</c:v>
                </c:pt>
                <c:pt idx="13">
                  <c:v>212.92315006510998</c:v>
                </c:pt>
                <c:pt idx="14">
                  <c:v>209.59773354891627</c:v>
                </c:pt>
                <c:pt idx="15">
                  <c:v>200.12245455152899</c:v>
                </c:pt>
                <c:pt idx="16">
                  <c:v>191.16347838808031</c:v>
                </c:pt>
                <c:pt idx="17">
                  <c:v>192.41015385666972</c:v>
                </c:pt>
                <c:pt idx="18">
                  <c:v>190.63480939728885</c:v>
                </c:pt>
                <c:pt idx="19">
                  <c:v>185.26654629799469</c:v>
                </c:pt>
                <c:pt idx="20">
                  <c:v>187.96245955852177</c:v>
                </c:pt>
                <c:pt idx="21">
                  <c:v>195.74966762975919</c:v>
                </c:pt>
                <c:pt idx="22">
                  <c:v>202.45771271810602</c:v>
                </c:pt>
                <c:pt idx="23">
                  <c:v>200.49116837774702</c:v>
                </c:pt>
                <c:pt idx="24">
                  <c:v>196.08256094011142</c:v>
                </c:pt>
                <c:pt idx="25">
                  <c:v>189.03008404816919</c:v>
                </c:pt>
                <c:pt idx="26">
                  <c:v>181.56304602212933</c:v>
                </c:pt>
                <c:pt idx="27">
                  <c:v>186.23863311299547</c:v>
                </c:pt>
                <c:pt idx="28">
                  <c:v>186.20947992346882</c:v>
                </c:pt>
                <c:pt idx="29">
                  <c:v>186.28267685079723</c:v>
                </c:pt>
                <c:pt idx="30">
                  <c:v>185.08199894012827</c:v>
                </c:pt>
                <c:pt idx="31">
                  <c:v>181.95853406919312</c:v>
                </c:pt>
                <c:pt idx="32">
                  <c:v>179.56997473715663</c:v>
                </c:pt>
                <c:pt idx="33">
                  <c:v>186.40170977728519</c:v>
                </c:pt>
                <c:pt idx="34">
                  <c:v>189.03238622149439</c:v>
                </c:pt>
                <c:pt idx="35">
                  <c:v>193.00765656846153</c:v>
                </c:pt>
                <c:pt idx="36">
                  <c:v>189.20262403574202</c:v>
                </c:pt>
                <c:pt idx="37">
                  <c:v>192.18261723659691</c:v>
                </c:pt>
                <c:pt idx="38">
                  <c:v>189.68631983891618</c:v>
                </c:pt>
                <c:pt idx="39">
                  <c:v>192.32658325937885</c:v>
                </c:pt>
                <c:pt idx="40">
                  <c:v>198.28617385588063</c:v>
                </c:pt>
                <c:pt idx="41">
                  <c:v>198.64056192171401</c:v>
                </c:pt>
                <c:pt idx="42">
                  <c:v>194.94635459831767</c:v>
                </c:pt>
                <c:pt idx="43">
                  <c:v>194.65561356460339</c:v>
                </c:pt>
                <c:pt idx="44">
                  <c:v>194.18964539159461</c:v>
                </c:pt>
                <c:pt idx="45">
                  <c:v>185.30290815658969</c:v>
                </c:pt>
                <c:pt idx="46">
                  <c:v>180.5029811996294</c:v>
                </c:pt>
                <c:pt idx="47">
                  <c:v>186.94129343324698</c:v>
                </c:pt>
                <c:pt idx="48">
                  <c:v>184.55256744742647</c:v>
                </c:pt>
                <c:pt idx="49">
                  <c:v>185.63854631474774</c:v>
                </c:pt>
                <c:pt idx="50">
                  <c:v>192.89216494032689</c:v>
                </c:pt>
                <c:pt idx="51">
                  <c:v>192.23022022196284</c:v>
                </c:pt>
                <c:pt idx="52">
                  <c:v>188.89095908879267</c:v>
                </c:pt>
                <c:pt idx="53">
                  <c:v>180.01600797461882</c:v>
                </c:pt>
                <c:pt idx="54">
                  <c:v>182.00435090365963</c:v>
                </c:pt>
                <c:pt idx="55">
                  <c:v>180.86212297752442</c:v>
                </c:pt>
                <c:pt idx="56">
                  <c:v>186.67025394417988</c:v>
                </c:pt>
                <c:pt idx="57">
                  <c:v>188.90102481922025</c:v>
                </c:pt>
                <c:pt idx="58">
                  <c:v>190.92203950785296</c:v>
                </c:pt>
                <c:pt idx="59">
                  <c:v>188.18598414887725</c:v>
                </c:pt>
                <c:pt idx="60">
                  <c:v>193.60814705083442</c:v>
                </c:pt>
                <c:pt idx="61">
                  <c:v>191.04301224143558</c:v>
                </c:pt>
                <c:pt idx="62">
                  <c:v>183.02190568175428</c:v>
                </c:pt>
                <c:pt idx="63">
                  <c:v>186.39150283953674</c:v>
                </c:pt>
                <c:pt idx="64">
                  <c:v>186.42553900407941</c:v>
                </c:pt>
                <c:pt idx="65">
                  <c:v>184.42693265375945</c:v>
                </c:pt>
                <c:pt idx="66">
                  <c:v>180.85492332400142</c:v>
                </c:pt>
                <c:pt idx="67">
                  <c:v>182.04138414443207</c:v>
                </c:pt>
                <c:pt idx="68">
                  <c:v>180.39865390559365</c:v>
                </c:pt>
                <c:pt idx="69">
                  <c:v>180.55235109239243</c:v>
                </c:pt>
                <c:pt idx="70">
                  <c:v>184.76614123040616</c:v>
                </c:pt>
                <c:pt idx="71">
                  <c:v>186.70074069399047</c:v>
                </c:pt>
                <c:pt idx="72">
                  <c:v>192.03799011098289</c:v>
                </c:pt>
                <c:pt idx="73">
                  <c:v>187.5973997456822</c:v>
                </c:pt>
                <c:pt idx="74">
                  <c:v>187.95960130325105</c:v>
                </c:pt>
                <c:pt idx="75">
                  <c:v>181.35520898132017</c:v>
                </c:pt>
                <c:pt idx="76">
                  <c:v>174.89819212297755</c:v>
                </c:pt>
                <c:pt idx="77">
                  <c:v>174.59102479124553</c:v>
                </c:pt>
                <c:pt idx="78">
                  <c:v>172.28659424114122</c:v>
                </c:pt>
                <c:pt idx="79">
                  <c:v>170.15365489052957</c:v>
                </c:pt>
                <c:pt idx="80">
                  <c:v>172.90277148038021</c:v>
                </c:pt>
                <c:pt idx="81">
                  <c:v>173.58548261235134</c:v>
                </c:pt>
                <c:pt idx="82">
                  <c:v>169.84424112517627</c:v>
                </c:pt>
                <c:pt idx="83">
                  <c:v>170.66966895963765</c:v>
                </c:pt>
                <c:pt idx="84">
                  <c:v>169.56265258179423</c:v>
                </c:pt>
                <c:pt idx="85">
                  <c:v>160.26462405653686</c:v>
                </c:pt>
                <c:pt idx="86">
                  <c:v>165.50052743703486</c:v>
                </c:pt>
                <c:pt idx="87">
                  <c:v>162.43620914778614</c:v>
                </c:pt>
                <c:pt idx="88">
                  <c:v>163.68759749549349</c:v>
                </c:pt>
                <c:pt idx="89">
                  <c:v>161.55091853538184</c:v>
                </c:pt>
                <c:pt idx="90">
                  <c:v>163.74193918618656</c:v>
                </c:pt>
                <c:pt idx="91">
                  <c:v>164.76876837098425</c:v>
                </c:pt>
                <c:pt idx="92">
                  <c:v>164.36726316780423</c:v>
                </c:pt>
                <c:pt idx="93">
                  <c:v>166.48782498226248</c:v>
                </c:pt>
                <c:pt idx="94">
                  <c:v>165.96422849041156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8474-FA46-A0A9-E06E8EA2867F}"/>
            </c:ext>
          </c:extLst>
        </c:ser>
        <c:ser>
          <c:idx val="79"/>
          <c:order val="79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'Q6'!$E$81:$CU$81</c:f>
              <c:numCache>
                <c:formatCode>General</c:formatCode>
                <c:ptCount val="95"/>
                <c:pt idx="0">
                  <c:v>222.13</c:v>
                </c:pt>
                <c:pt idx="1">
                  <c:v>231.18387402454042</c:v>
                </c:pt>
                <c:pt idx="2">
                  <c:v>228.29847432470206</c:v>
                </c:pt>
                <c:pt idx="3">
                  <c:v>231.99403284172197</c:v>
                </c:pt>
                <c:pt idx="4">
                  <c:v>227.99145973428469</c:v>
                </c:pt>
                <c:pt idx="5">
                  <c:v>232.37282772980228</c:v>
                </c:pt>
                <c:pt idx="6">
                  <c:v>228.1879340975629</c:v>
                </c:pt>
                <c:pt idx="7">
                  <c:v>232.02132857441785</c:v>
                </c:pt>
                <c:pt idx="8">
                  <c:v>220.97486865549399</c:v>
                </c:pt>
                <c:pt idx="9">
                  <c:v>212.93760707838635</c:v>
                </c:pt>
                <c:pt idx="10">
                  <c:v>223.70256955233287</c:v>
                </c:pt>
                <c:pt idx="11">
                  <c:v>222.75520104190252</c:v>
                </c:pt>
                <c:pt idx="12">
                  <c:v>225.58213314997303</c:v>
                </c:pt>
                <c:pt idx="13">
                  <c:v>225.32563828547862</c:v>
                </c:pt>
                <c:pt idx="14">
                  <c:v>230.7850323745092</c:v>
                </c:pt>
                <c:pt idx="15">
                  <c:v>233.35119325456466</c:v>
                </c:pt>
                <c:pt idx="16">
                  <c:v>230.32940616140334</c:v>
                </c:pt>
                <c:pt idx="17">
                  <c:v>219.92876581553909</c:v>
                </c:pt>
                <c:pt idx="18">
                  <c:v>220.09127766400294</c:v>
                </c:pt>
                <c:pt idx="19">
                  <c:v>218.52527599013018</c:v>
                </c:pt>
                <c:pt idx="20">
                  <c:v>216.21632066372663</c:v>
                </c:pt>
                <c:pt idx="21">
                  <c:v>216.82214081769337</c:v>
                </c:pt>
                <c:pt idx="22">
                  <c:v>215.28708681039902</c:v>
                </c:pt>
                <c:pt idx="23">
                  <c:v>221.56666116098481</c:v>
                </c:pt>
                <c:pt idx="24">
                  <c:v>215.49154701912133</c:v>
                </c:pt>
                <c:pt idx="25">
                  <c:v>223.33573822409122</c:v>
                </c:pt>
                <c:pt idx="26">
                  <c:v>226.27522940056224</c:v>
                </c:pt>
                <c:pt idx="27">
                  <c:v>226.5189920020735</c:v>
                </c:pt>
                <c:pt idx="28">
                  <c:v>222.87824027687975</c:v>
                </c:pt>
                <c:pt idx="29">
                  <c:v>223.80385947776534</c:v>
                </c:pt>
                <c:pt idx="30">
                  <c:v>228.69792230571923</c:v>
                </c:pt>
                <c:pt idx="31">
                  <c:v>219.07233110423621</c:v>
                </c:pt>
                <c:pt idx="32">
                  <c:v>220.1985678570766</c:v>
                </c:pt>
                <c:pt idx="33">
                  <c:v>224.39251058414672</c:v>
                </c:pt>
                <c:pt idx="34">
                  <c:v>224.92480359919907</c:v>
                </c:pt>
                <c:pt idx="35">
                  <c:v>223.21699186157682</c:v>
                </c:pt>
                <c:pt idx="36">
                  <c:v>230.14883210840864</c:v>
                </c:pt>
                <c:pt idx="37">
                  <c:v>232.9986627521352</c:v>
                </c:pt>
                <c:pt idx="38">
                  <c:v>233.44929278547676</c:v>
                </c:pt>
                <c:pt idx="39">
                  <c:v>227.21629544086667</c:v>
                </c:pt>
                <c:pt idx="40">
                  <c:v>226.13812572403583</c:v>
                </c:pt>
                <c:pt idx="41">
                  <c:v>232.95686415512449</c:v>
                </c:pt>
                <c:pt idx="42">
                  <c:v>243.53073607651567</c:v>
                </c:pt>
                <c:pt idx="43">
                  <c:v>246.6206857385433</c:v>
                </c:pt>
                <c:pt idx="44">
                  <c:v>249.21202642747795</c:v>
                </c:pt>
                <c:pt idx="45">
                  <c:v>240.46664030232026</c:v>
                </c:pt>
                <c:pt idx="46">
                  <c:v>250.85680500536046</c:v>
                </c:pt>
                <c:pt idx="47">
                  <c:v>263.24837373062508</c:v>
                </c:pt>
                <c:pt idx="48">
                  <c:v>258.01369453134134</c:v>
                </c:pt>
                <c:pt idx="49">
                  <c:v>249.67274984862127</c:v>
                </c:pt>
                <c:pt idx="50">
                  <c:v>260.93719016833603</c:v>
                </c:pt>
                <c:pt idx="51">
                  <c:v>259.05450520189032</c:v>
                </c:pt>
                <c:pt idx="52">
                  <c:v>268.7667473567995</c:v>
                </c:pt>
                <c:pt idx="53">
                  <c:v>260.38943610607799</c:v>
                </c:pt>
                <c:pt idx="54">
                  <c:v>267.67560865404914</c:v>
                </c:pt>
                <c:pt idx="55">
                  <c:v>274.31968295575706</c:v>
                </c:pt>
                <c:pt idx="56">
                  <c:v>278.15359568690741</c:v>
                </c:pt>
                <c:pt idx="57">
                  <c:v>272.64134197003108</c:v>
                </c:pt>
                <c:pt idx="58">
                  <c:v>276.15534910547666</c:v>
                </c:pt>
                <c:pt idx="59">
                  <c:v>280.67875471800403</c:v>
                </c:pt>
                <c:pt idx="60">
                  <c:v>290.57927210583898</c:v>
                </c:pt>
                <c:pt idx="61">
                  <c:v>288.55407580100268</c:v>
                </c:pt>
                <c:pt idx="62">
                  <c:v>284.57128534116526</c:v>
                </c:pt>
                <c:pt idx="63">
                  <c:v>291.35963327279518</c:v>
                </c:pt>
                <c:pt idx="64">
                  <c:v>286.02077431189969</c:v>
                </c:pt>
                <c:pt idx="65">
                  <c:v>282.99897880383423</c:v>
                </c:pt>
                <c:pt idx="66">
                  <c:v>281.9146015950742</c:v>
                </c:pt>
                <c:pt idx="67">
                  <c:v>280.73401051216007</c:v>
                </c:pt>
                <c:pt idx="68">
                  <c:v>284.89680599061506</c:v>
                </c:pt>
                <c:pt idx="69">
                  <c:v>295.45114776647233</c:v>
                </c:pt>
                <c:pt idx="70">
                  <c:v>283.52178278106675</c:v>
                </c:pt>
                <c:pt idx="71">
                  <c:v>288.46577084938275</c:v>
                </c:pt>
                <c:pt idx="72">
                  <c:v>285.5727216255907</c:v>
                </c:pt>
                <c:pt idx="73">
                  <c:v>285.58785775114171</c:v>
                </c:pt>
                <c:pt idx="74">
                  <c:v>276.96076544701964</c:v>
                </c:pt>
                <c:pt idx="75">
                  <c:v>281.39330999742907</c:v>
                </c:pt>
                <c:pt idx="76">
                  <c:v>289.82243945601203</c:v>
                </c:pt>
                <c:pt idx="77">
                  <c:v>285.41477121809925</c:v>
                </c:pt>
                <c:pt idx="78">
                  <c:v>274.18228910505098</c:v>
                </c:pt>
                <c:pt idx="79">
                  <c:v>276.25165699002713</c:v>
                </c:pt>
                <c:pt idx="80">
                  <c:v>276.11758972342386</c:v>
                </c:pt>
                <c:pt idx="81">
                  <c:v>272.47279026760953</c:v>
                </c:pt>
                <c:pt idx="82">
                  <c:v>266.96426404229533</c:v>
                </c:pt>
                <c:pt idx="83">
                  <c:v>269.80588794450415</c:v>
                </c:pt>
                <c:pt idx="84">
                  <c:v>269.38176621370934</c:v>
                </c:pt>
                <c:pt idx="85">
                  <c:v>273.78457040973979</c:v>
                </c:pt>
                <c:pt idx="86">
                  <c:v>270.54857921083681</c:v>
                </c:pt>
                <c:pt idx="87">
                  <c:v>269.95622706264629</c:v>
                </c:pt>
                <c:pt idx="88">
                  <c:v>267.08718092507809</c:v>
                </c:pt>
                <c:pt idx="89">
                  <c:v>259.6590970796791</c:v>
                </c:pt>
                <c:pt idx="90">
                  <c:v>265.01569201208724</c:v>
                </c:pt>
                <c:pt idx="91">
                  <c:v>265.29515561364246</c:v>
                </c:pt>
                <c:pt idx="92">
                  <c:v>269.6414320362544</c:v>
                </c:pt>
                <c:pt idx="93">
                  <c:v>266.1356622138951</c:v>
                </c:pt>
                <c:pt idx="94">
                  <c:v>260.41724756288721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8474-FA46-A0A9-E06E8EA2867F}"/>
            </c:ext>
          </c:extLst>
        </c:ser>
        <c:ser>
          <c:idx val="80"/>
          <c:order val="80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'Q6'!$E$82:$CU$82</c:f>
              <c:numCache>
                <c:formatCode>General</c:formatCode>
                <c:ptCount val="95"/>
                <c:pt idx="0">
                  <c:v>222.13</c:v>
                </c:pt>
                <c:pt idx="1">
                  <c:v>222.37957799675166</c:v>
                </c:pt>
                <c:pt idx="2">
                  <c:v>224.02204836665669</c:v>
                </c:pt>
                <c:pt idx="3">
                  <c:v>224.71855501811373</c:v>
                </c:pt>
                <c:pt idx="4">
                  <c:v>220.08517493314207</c:v>
                </c:pt>
                <c:pt idx="5">
                  <c:v>218.79128273733252</c:v>
                </c:pt>
                <c:pt idx="6">
                  <c:v>215.85494577902094</c:v>
                </c:pt>
                <c:pt idx="7">
                  <c:v>210.61322621425498</c:v>
                </c:pt>
                <c:pt idx="8">
                  <c:v>216.17143946610366</c:v>
                </c:pt>
                <c:pt idx="9">
                  <c:v>208.53985989751578</c:v>
                </c:pt>
                <c:pt idx="10">
                  <c:v>202.79196917729686</c:v>
                </c:pt>
                <c:pt idx="11">
                  <c:v>200.88309561456867</c:v>
                </c:pt>
                <c:pt idx="12">
                  <c:v>201.93510812331459</c:v>
                </c:pt>
                <c:pt idx="13">
                  <c:v>202.83267911165834</c:v>
                </c:pt>
                <c:pt idx="14">
                  <c:v>205.24288465124982</c:v>
                </c:pt>
                <c:pt idx="15">
                  <c:v>205.46499806010658</c:v>
                </c:pt>
                <c:pt idx="16">
                  <c:v>208.78220289182784</c:v>
                </c:pt>
                <c:pt idx="17">
                  <c:v>206.51798542716401</c:v>
                </c:pt>
                <c:pt idx="18">
                  <c:v>211.66716199593188</c:v>
                </c:pt>
                <c:pt idx="19">
                  <c:v>206.6510369786117</c:v>
                </c:pt>
                <c:pt idx="20">
                  <c:v>207.17924408888467</c:v>
                </c:pt>
                <c:pt idx="21">
                  <c:v>219.46863490538902</c:v>
                </c:pt>
                <c:pt idx="22">
                  <c:v>220.81049013466188</c:v>
                </c:pt>
                <c:pt idx="23">
                  <c:v>223.13083553643551</c:v>
                </c:pt>
                <c:pt idx="24">
                  <c:v>221.03861828248267</c:v>
                </c:pt>
                <c:pt idx="25">
                  <c:v>210.86804356711119</c:v>
                </c:pt>
                <c:pt idx="26">
                  <c:v>211.22235329157581</c:v>
                </c:pt>
                <c:pt idx="27">
                  <c:v>209.8819988689213</c:v>
                </c:pt>
                <c:pt idx="28">
                  <c:v>214.17266626770254</c:v>
                </c:pt>
                <c:pt idx="29">
                  <c:v>218.42874004968115</c:v>
                </c:pt>
                <c:pt idx="30">
                  <c:v>214.12418005522835</c:v>
                </c:pt>
                <c:pt idx="31">
                  <c:v>212.74625272259578</c:v>
                </c:pt>
                <c:pt idx="32">
                  <c:v>218.86520097599666</c:v>
                </c:pt>
                <c:pt idx="33">
                  <c:v>211.0786459063234</c:v>
                </c:pt>
                <c:pt idx="34">
                  <c:v>200.9893810165523</c:v>
                </c:pt>
                <c:pt idx="35">
                  <c:v>194.32668422328007</c:v>
                </c:pt>
                <c:pt idx="36">
                  <c:v>191.62839821997431</c:v>
                </c:pt>
                <c:pt idx="37">
                  <c:v>192.69874098481114</c:v>
                </c:pt>
                <c:pt idx="38">
                  <c:v>183.99647570835413</c:v>
                </c:pt>
                <c:pt idx="39">
                  <c:v>177.30516846348226</c:v>
                </c:pt>
                <c:pt idx="40">
                  <c:v>175.97288515340796</c:v>
                </c:pt>
                <c:pt idx="41">
                  <c:v>171.99712644703138</c:v>
                </c:pt>
                <c:pt idx="42">
                  <c:v>174.7883011586286</c:v>
                </c:pt>
                <c:pt idx="43">
                  <c:v>181.86818086013841</c:v>
                </c:pt>
                <c:pt idx="44">
                  <c:v>173.07027171079548</c:v>
                </c:pt>
                <c:pt idx="45">
                  <c:v>173.47208278104654</c:v>
                </c:pt>
                <c:pt idx="46">
                  <c:v>169.73283209501369</c:v>
                </c:pt>
                <c:pt idx="47">
                  <c:v>166.02312037097329</c:v>
                </c:pt>
                <c:pt idx="48">
                  <c:v>165.00702782019076</c:v>
                </c:pt>
                <c:pt idx="49">
                  <c:v>174.16047506015738</c:v>
                </c:pt>
                <c:pt idx="50">
                  <c:v>174.06482325724591</c:v>
                </c:pt>
                <c:pt idx="51">
                  <c:v>177.16962141973579</c:v>
                </c:pt>
                <c:pt idx="52">
                  <c:v>172.02720418761666</c:v>
                </c:pt>
                <c:pt idx="53">
                  <c:v>168.25393691209098</c:v>
                </c:pt>
                <c:pt idx="54">
                  <c:v>164.35973066128903</c:v>
                </c:pt>
                <c:pt idx="55">
                  <c:v>159.41172486553273</c:v>
                </c:pt>
                <c:pt idx="56">
                  <c:v>155.03254374619931</c:v>
                </c:pt>
                <c:pt idx="57">
                  <c:v>153.47747455966334</c:v>
                </c:pt>
                <c:pt idx="58">
                  <c:v>154.06063779126561</c:v>
                </c:pt>
                <c:pt idx="59">
                  <c:v>151.67564915089866</c:v>
                </c:pt>
                <c:pt idx="60">
                  <c:v>155.30130746070475</c:v>
                </c:pt>
                <c:pt idx="61">
                  <c:v>155.6436083611369</c:v>
                </c:pt>
                <c:pt idx="62">
                  <c:v>156.647468207267</c:v>
                </c:pt>
                <c:pt idx="63">
                  <c:v>156.66623365828065</c:v>
                </c:pt>
                <c:pt idx="64">
                  <c:v>151.75251349375986</c:v>
                </c:pt>
                <c:pt idx="65">
                  <c:v>154.8435512794187</c:v>
                </c:pt>
                <c:pt idx="66">
                  <c:v>146.26509291712958</c:v>
                </c:pt>
                <c:pt idx="67">
                  <c:v>144.14575318695449</c:v>
                </c:pt>
                <c:pt idx="68">
                  <c:v>142.56437683044632</c:v>
                </c:pt>
                <c:pt idx="69">
                  <c:v>137.41198750185475</c:v>
                </c:pt>
                <c:pt idx="70">
                  <c:v>136.11028096441586</c:v>
                </c:pt>
                <c:pt idx="71">
                  <c:v>137.49196072861275</c:v>
                </c:pt>
                <c:pt idx="72">
                  <c:v>136.46276657278239</c:v>
                </c:pt>
                <c:pt idx="73">
                  <c:v>135.26595020057289</c:v>
                </c:pt>
                <c:pt idx="74">
                  <c:v>133.72494202630588</c:v>
                </c:pt>
                <c:pt idx="75">
                  <c:v>131.3091294592092</c:v>
                </c:pt>
                <c:pt idx="76">
                  <c:v>129.74904772147778</c:v>
                </c:pt>
                <c:pt idx="77">
                  <c:v>128.42922262844985</c:v>
                </c:pt>
                <c:pt idx="78">
                  <c:v>129.32443738184514</c:v>
                </c:pt>
                <c:pt idx="79">
                  <c:v>127.48479509020622</c:v>
                </c:pt>
                <c:pt idx="80">
                  <c:v>130.62728954779971</c:v>
                </c:pt>
                <c:pt idx="81">
                  <c:v>128.70352445528053</c:v>
                </c:pt>
                <c:pt idx="82">
                  <c:v>130.90966093315424</c:v>
                </c:pt>
                <c:pt idx="83">
                  <c:v>137.03163930167321</c:v>
                </c:pt>
                <c:pt idx="84">
                  <c:v>131.93129007870252</c:v>
                </c:pt>
                <c:pt idx="85">
                  <c:v>133.26043338493727</c:v>
                </c:pt>
                <c:pt idx="86">
                  <c:v>136.70004716375141</c:v>
                </c:pt>
                <c:pt idx="87">
                  <c:v>134.6710526444752</c:v>
                </c:pt>
                <c:pt idx="88">
                  <c:v>136.12190667674545</c:v>
                </c:pt>
                <c:pt idx="89">
                  <c:v>132.40059460940313</c:v>
                </c:pt>
                <c:pt idx="90">
                  <c:v>135.5961727509746</c:v>
                </c:pt>
                <c:pt idx="91">
                  <c:v>139.45644750592948</c:v>
                </c:pt>
                <c:pt idx="92">
                  <c:v>139.16626032481187</c:v>
                </c:pt>
                <c:pt idx="93">
                  <c:v>135.38371549907245</c:v>
                </c:pt>
                <c:pt idx="94">
                  <c:v>138.65532362475406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8474-FA46-A0A9-E06E8EA2867F}"/>
            </c:ext>
          </c:extLst>
        </c:ser>
        <c:ser>
          <c:idx val="81"/>
          <c:order val="81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'Q6'!$E$83:$CU$83</c:f>
              <c:numCache>
                <c:formatCode>General</c:formatCode>
                <c:ptCount val="95"/>
                <c:pt idx="0">
                  <c:v>222.13</c:v>
                </c:pt>
                <c:pt idx="1">
                  <c:v>218.68965686881506</c:v>
                </c:pt>
                <c:pt idx="2">
                  <c:v>222.61577330966955</c:v>
                </c:pt>
                <c:pt idx="3">
                  <c:v>228.53695007158026</c:v>
                </c:pt>
                <c:pt idx="4">
                  <c:v>229.91158469954553</c:v>
                </c:pt>
                <c:pt idx="5">
                  <c:v>228.4837574836904</c:v>
                </c:pt>
                <c:pt idx="6">
                  <c:v>235.04569603685638</c:v>
                </c:pt>
                <c:pt idx="7">
                  <c:v>240.89940430929667</c:v>
                </c:pt>
                <c:pt idx="8">
                  <c:v>241.54251628757169</c:v>
                </c:pt>
                <c:pt idx="9">
                  <c:v>244.69352082646083</c:v>
                </c:pt>
                <c:pt idx="10">
                  <c:v>242.63799950637082</c:v>
                </c:pt>
                <c:pt idx="11">
                  <c:v>247.10969494368007</c:v>
                </c:pt>
                <c:pt idx="12">
                  <c:v>249.65731760290396</c:v>
                </c:pt>
                <c:pt idx="13">
                  <c:v>252.06167767862161</c:v>
                </c:pt>
                <c:pt idx="14">
                  <c:v>254.48983633405015</c:v>
                </c:pt>
                <c:pt idx="15">
                  <c:v>256.91418270774011</c:v>
                </c:pt>
                <c:pt idx="16">
                  <c:v>261.43961040564017</c:v>
                </c:pt>
                <c:pt idx="17">
                  <c:v>259.06916296166509</c:v>
                </c:pt>
                <c:pt idx="18">
                  <c:v>266.19486625644896</c:v>
                </c:pt>
                <c:pt idx="19">
                  <c:v>266.65272909183506</c:v>
                </c:pt>
                <c:pt idx="20">
                  <c:v>266.33401788787239</c:v>
                </c:pt>
                <c:pt idx="21">
                  <c:v>275.50895891888263</c:v>
                </c:pt>
                <c:pt idx="22">
                  <c:v>278.4705228552524</c:v>
                </c:pt>
                <c:pt idx="23">
                  <c:v>270.81149581245614</c:v>
                </c:pt>
                <c:pt idx="24">
                  <c:v>275.08858010080525</c:v>
                </c:pt>
                <c:pt idx="25">
                  <c:v>280.93286455592948</c:v>
                </c:pt>
                <c:pt idx="26">
                  <c:v>277.96775765868745</c:v>
                </c:pt>
                <c:pt idx="27">
                  <c:v>275.78685692615494</c:v>
                </c:pt>
                <c:pt idx="28">
                  <c:v>275.86790571584243</c:v>
                </c:pt>
                <c:pt idx="29">
                  <c:v>272.34255736634805</c:v>
                </c:pt>
                <c:pt idx="30">
                  <c:v>285.28199978561469</c:v>
                </c:pt>
                <c:pt idx="31">
                  <c:v>279.97940056260137</c:v>
                </c:pt>
                <c:pt idx="32">
                  <c:v>273.8355704884018</c:v>
                </c:pt>
                <c:pt idx="33">
                  <c:v>287.68641764939457</c:v>
                </c:pt>
                <c:pt idx="34">
                  <c:v>280.63494263655912</c:v>
                </c:pt>
                <c:pt idx="35">
                  <c:v>278.87720635205221</c:v>
                </c:pt>
                <c:pt idx="36">
                  <c:v>277.80975190169431</c:v>
                </c:pt>
                <c:pt idx="37">
                  <c:v>281.17422529859311</c:v>
                </c:pt>
                <c:pt idx="38">
                  <c:v>284.33830756493313</c:v>
                </c:pt>
                <c:pt idx="39">
                  <c:v>290.99614531572166</c:v>
                </c:pt>
                <c:pt idx="40">
                  <c:v>298.55554468899714</c:v>
                </c:pt>
                <c:pt idx="41">
                  <c:v>303.36561773072577</c:v>
                </c:pt>
                <c:pt idx="42">
                  <c:v>298.29556665491799</c:v>
                </c:pt>
                <c:pt idx="43">
                  <c:v>304.67664825403426</c:v>
                </c:pt>
                <c:pt idx="44">
                  <c:v>303.30633232426601</c:v>
                </c:pt>
                <c:pt idx="45">
                  <c:v>297.79909836411997</c:v>
                </c:pt>
                <c:pt idx="46">
                  <c:v>306.7904783305022</c:v>
                </c:pt>
                <c:pt idx="47">
                  <c:v>297.95618975502225</c:v>
                </c:pt>
                <c:pt idx="48">
                  <c:v>295.72468976203015</c:v>
                </c:pt>
                <c:pt idx="49">
                  <c:v>298.78598431304965</c:v>
                </c:pt>
                <c:pt idx="50">
                  <c:v>312.66344912296228</c:v>
                </c:pt>
                <c:pt idx="51">
                  <c:v>322.16813796768275</c:v>
                </c:pt>
                <c:pt idx="52">
                  <c:v>321.35060239469459</c:v>
                </c:pt>
                <c:pt idx="53">
                  <c:v>316.59066804885623</c:v>
                </c:pt>
                <c:pt idx="54">
                  <c:v>316.35412690545502</c:v>
                </c:pt>
                <c:pt idx="55">
                  <c:v>315.88292159215848</c:v>
                </c:pt>
                <c:pt idx="56">
                  <c:v>312.46266115705515</c:v>
                </c:pt>
                <c:pt idx="57">
                  <c:v>306.7288123188975</c:v>
                </c:pt>
                <c:pt idx="58">
                  <c:v>305.36617345673113</c:v>
                </c:pt>
                <c:pt idx="59">
                  <c:v>314.57464372188787</c:v>
                </c:pt>
                <c:pt idx="60">
                  <c:v>317.53928359080237</c:v>
                </c:pt>
                <c:pt idx="61">
                  <c:v>319.0924440472765</c:v>
                </c:pt>
                <c:pt idx="62">
                  <c:v>320.949079415592</c:v>
                </c:pt>
                <c:pt idx="63">
                  <c:v>317.76502873351149</c:v>
                </c:pt>
                <c:pt idx="64">
                  <c:v>303.49912683161438</c:v>
                </c:pt>
                <c:pt idx="65">
                  <c:v>313.80653134640011</c:v>
                </c:pt>
                <c:pt idx="66">
                  <c:v>334.95666706261602</c:v>
                </c:pt>
                <c:pt idx="67">
                  <c:v>347.70550740941769</c:v>
                </c:pt>
                <c:pt idx="68">
                  <c:v>347.77676953089912</c:v>
                </c:pt>
                <c:pt idx="69">
                  <c:v>353.83405333024393</c:v>
                </c:pt>
                <c:pt idx="70">
                  <c:v>343.74984469201968</c:v>
                </c:pt>
                <c:pt idx="71">
                  <c:v>346.90019770278656</c:v>
                </c:pt>
                <c:pt idx="72">
                  <c:v>344.94386139658951</c:v>
                </c:pt>
                <c:pt idx="73">
                  <c:v>351.60030299340519</c:v>
                </c:pt>
                <c:pt idx="74">
                  <c:v>349.24215315482382</c:v>
                </c:pt>
                <c:pt idx="75">
                  <c:v>351.77759867078748</c:v>
                </c:pt>
                <c:pt idx="76">
                  <c:v>349.49136066490206</c:v>
                </c:pt>
                <c:pt idx="77">
                  <c:v>358.16576311620418</c:v>
                </c:pt>
                <c:pt idx="78">
                  <c:v>359.08685514082441</c:v>
                </c:pt>
                <c:pt idx="79">
                  <c:v>355.41959801856046</c:v>
                </c:pt>
                <c:pt idx="80">
                  <c:v>356.95527421898942</c:v>
                </c:pt>
                <c:pt idx="81">
                  <c:v>343.33254320540073</c:v>
                </c:pt>
                <c:pt idx="82">
                  <c:v>338.76512587785993</c:v>
                </c:pt>
                <c:pt idx="83">
                  <c:v>324.28605678474747</c:v>
                </c:pt>
                <c:pt idx="84">
                  <c:v>328.25668914900598</c:v>
                </c:pt>
                <c:pt idx="85">
                  <c:v>326.26757287351313</c:v>
                </c:pt>
                <c:pt idx="86">
                  <c:v>324.09125835510685</c:v>
                </c:pt>
                <c:pt idx="87">
                  <c:v>316.79773675813385</c:v>
                </c:pt>
                <c:pt idx="88">
                  <c:v>325.52677462464743</c:v>
                </c:pt>
                <c:pt idx="89">
                  <c:v>320.22332097603567</c:v>
                </c:pt>
                <c:pt idx="90">
                  <c:v>316.01925330143047</c:v>
                </c:pt>
                <c:pt idx="91">
                  <c:v>315.8060815031514</c:v>
                </c:pt>
                <c:pt idx="92">
                  <c:v>312.6296027827936</c:v>
                </c:pt>
                <c:pt idx="93">
                  <c:v>313.7019116397164</c:v>
                </c:pt>
                <c:pt idx="94">
                  <c:v>303.55125884811747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8474-FA46-A0A9-E06E8EA2867F}"/>
            </c:ext>
          </c:extLst>
        </c:ser>
        <c:ser>
          <c:idx val="82"/>
          <c:order val="82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'Q6'!$E$84:$CU$84</c:f>
              <c:numCache>
                <c:formatCode>General</c:formatCode>
                <c:ptCount val="95"/>
                <c:pt idx="0">
                  <c:v>222.13</c:v>
                </c:pt>
                <c:pt idx="1">
                  <c:v>205.27486944090873</c:v>
                </c:pt>
                <c:pt idx="2">
                  <c:v>200.99776284662826</c:v>
                </c:pt>
                <c:pt idx="3">
                  <c:v>201.54091469382888</c:v>
                </c:pt>
                <c:pt idx="4">
                  <c:v>191.90115545410706</c:v>
                </c:pt>
                <c:pt idx="5">
                  <c:v>198.15559522527855</c:v>
                </c:pt>
                <c:pt idx="6">
                  <c:v>204.05691463292311</c:v>
                </c:pt>
                <c:pt idx="7">
                  <c:v>203.48655442833308</c:v>
                </c:pt>
                <c:pt idx="8">
                  <c:v>195.9023728054654</c:v>
                </c:pt>
                <c:pt idx="9">
                  <c:v>196.42221037245105</c:v>
                </c:pt>
                <c:pt idx="10">
                  <c:v>192.30356307328307</c:v>
                </c:pt>
                <c:pt idx="11">
                  <c:v>193.296222970011</c:v>
                </c:pt>
                <c:pt idx="12">
                  <c:v>189.65516029722065</c:v>
                </c:pt>
                <c:pt idx="13">
                  <c:v>188.73139274795105</c:v>
                </c:pt>
                <c:pt idx="14">
                  <c:v>189.47623002900303</c:v>
                </c:pt>
                <c:pt idx="15">
                  <c:v>188.85035471172236</c:v>
                </c:pt>
                <c:pt idx="16">
                  <c:v>188.767945800506</c:v>
                </c:pt>
                <c:pt idx="17">
                  <c:v>182.79651534576672</c:v>
                </c:pt>
                <c:pt idx="18">
                  <c:v>178.71412703432864</c:v>
                </c:pt>
                <c:pt idx="19">
                  <c:v>173.65206282899987</c:v>
                </c:pt>
                <c:pt idx="20">
                  <c:v>174.40039983141901</c:v>
                </c:pt>
                <c:pt idx="21">
                  <c:v>176.27141708901405</c:v>
                </c:pt>
                <c:pt idx="22">
                  <c:v>169.37823271594436</c:v>
                </c:pt>
                <c:pt idx="23">
                  <c:v>164.56732482328624</c:v>
                </c:pt>
                <c:pt idx="24">
                  <c:v>160.15442725027825</c:v>
                </c:pt>
                <c:pt idx="25">
                  <c:v>155.35265548664361</c:v>
                </c:pt>
                <c:pt idx="26">
                  <c:v>150.5872355739042</c:v>
                </c:pt>
                <c:pt idx="27">
                  <c:v>153.1888851073075</c:v>
                </c:pt>
                <c:pt idx="28">
                  <c:v>151.53761917998284</c:v>
                </c:pt>
                <c:pt idx="29">
                  <c:v>154.63014679744947</c:v>
                </c:pt>
                <c:pt idx="30">
                  <c:v>153.27255085528824</c:v>
                </c:pt>
                <c:pt idx="31">
                  <c:v>151.72888149387478</c:v>
                </c:pt>
                <c:pt idx="32">
                  <c:v>152.94949421809778</c:v>
                </c:pt>
                <c:pt idx="33">
                  <c:v>146.5673713049656</c:v>
                </c:pt>
                <c:pt idx="34">
                  <c:v>146.00495754913402</c:v>
                </c:pt>
                <c:pt idx="35">
                  <c:v>145.02905362119256</c:v>
                </c:pt>
                <c:pt idx="36">
                  <c:v>145.71839356207283</c:v>
                </c:pt>
                <c:pt idx="37">
                  <c:v>147.37385026028991</c:v>
                </c:pt>
                <c:pt idx="38">
                  <c:v>146.91909616890277</c:v>
                </c:pt>
                <c:pt idx="39">
                  <c:v>142.70324405097062</c:v>
                </c:pt>
                <c:pt idx="40">
                  <c:v>148.7336081670384</c:v>
                </c:pt>
                <c:pt idx="41">
                  <c:v>144.59210481239217</c:v>
                </c:pt>
                <c:pt idx="42">
                  <c:v>145.06240125402255</c:v>
                </c:pt>
                <c:pt idx="43">
                  <c:v>144.00323457194932</c:v>
                </c:pt>
                <c:pt idx="44">
                  <c:v>143.69593644204659</c:v>
                </c:pt>
                <c:pt idx="45">
                  <c:v>145.57269697705476</c:v>
                </c:pt>
                <c:pt idx="46">
                  <c:v>149.56814054791528</c:v>
                </c:pt>
                <c:pt idx="47">
                  <c:v>149.97965306058745</c:v>
                </c:pt>
                <c:pt idx="48">
                  <c:v>151.22934209061088</c:v>
                </c:pt>
                <c:pt idx="49">
                  <c:v>145.41843747979433</c:v>
                </c:pt>
                <c:pt idx="50">
                  <c:v>154.32082003299999</c:v>
                </c:pt>
                <c:pt idx="51">
                  <c:v>149.21832598972873</c:v>
                </c:pt>
                <c:pt idx="52">
                  <c:v>150.62421157734201</c:v>
                </c:pt>
                <c:pt idx="53">
                  <c:v>150.42899184978896</c:v>
                </c:pt>
                <c:pt idx="54">
                  <c:v>147.02795166775203</c:v>
                </c:pt>
                <c:pt idx="55">
                  <c:v>146.96188479920968</c:v>
                </c:pt>
                <c:pt idx="56">
                  <c:v>141.11794218279459</c:v>
                </c:pt>
                <c:pt idx="57">
                  <c:v>145.21958831396515</c:v>
                </c:pt>
                <c:pt idx="58">
                  <c:v>143.05803504289344</c:v>
                </c:pt>
                <c:pt idx="59">
                  <c:v>137.03155752397726</c:v>
                </c:pt>
                <c:pt idx="60">
                  <c:v>134.64530885872159</c:v>
                </c:pt>
                <c:pt idx="61">
                  <c:v>133.3560139619569</c:v>
                </c:pt>
                <c:pt idx="62">
                  <c:v>133.52463786760015</c:v>
                </c:pt>
                <c:pt idx="63">
                  <c:v>137.22563789846052</c:v>
                </c:pt>
                <c:pt idx="64">
                  <c:v>138.98864978416242</c:v>
                </c:pt>
                <c:pt idx="65">
                  <c:v>140.33834705623639</c:v>
                </c:pt>
                <c:pt idx="66">
                  <c:v>144.71237594002221</c:v>
                </c:pt>
                <c:pt idx="67">
                  <c:v>141.18462740096192</c:v>
                </c:pt>
                <c:pt idx="68">
                  <c:v>141.14314632163953</c:v>
                </c:pt>
                <c:pt idx="69">
                  <c:v>140.96485551003394</c:v>
                </c:pt>
                <c:pt idx="70">
                  <c:v>145.62852200964676</c:v>
                </c:pt>
                <c:pt idx="71">
                  <c:v>149.43906888460157</c:v>
                </c:pt>
                <c:pt idx="72">
                  <c:v>145.92060569512691</c:v>
                </c:pt>
                <c:pt idx="73">
                  <c:v>143.57521246099978</c:v>
                </c:pt>
                <c:pt idx="74">
                  <c:v>146.34174727129357</c:v>
                </c:pt>
                <c:pt idx="75">
                  <c:v>143.56232936037333</c:v>
                </c:pt>
                <c:pt idx="76">
                  <c:v>136.55533171850945</c:v>
                </c:pt>
                <c:pt idx="77">
                  <c:v>136.21431881928342</c:v>
                </c:pt>
                <c:pt idx="78">
                  <c:v>138.38290284305191</c:v>
                </c:pt>
                <c:pt idx="79">
                  <c:v>138.60827183115518</c:v>
                </c:pt>
                <c:pt idx="80">
                  <c:v>136.16350532708094</c:v>
                </c:pt>
                <c:pt idx="81">
                  <c:v>130.76923322931052</c:v>
                </c:pt>
                <c:pt idx="82">
                  <c:v>129.32217540618348</c:v>
                </c:pt>
                <c:pt idx="83">
                  <c:v>132.08566285170261</c:v>
                </c:pt>
                <c:pt idx="84">
                  <c:v>125.06289848740501</c:v>
                </c:pt>
                <c:pt idx="85">
                  <c:v>118.78232191803478</c:v>
                </c:pt>
                <c:pt idx="86">
                  <c:v>120.55368240247395</c:v>
                </c:pt>
                <c:pt idx="87">
                  <c:v>120.59107695504645</c:v>
                </c:pt>
                <c:pt idx="88">
                  <c:v>113.7333275075848</c:v>
                </c:pt>
                <c:pt idx="89">
                  <c:v>112.06980964371274</c:v>
                </c:pt>
                <c:pt idx="90">
                  <c:v>115.12960095112724</c:v>
                </c:pt>
                <c:pt idx="91">
                  <c:v>113.78398829309928</c:v>
                </c:pt>
                <c:pt idx="92">
                  <c:v>112.66710244944167</c:v>
                </c:pt>
                <c:pt idx="93">
                  <c:v>112.56516059730757</c:v>
                </c:pt>
                <c:pt idx="94">
                  <c:v>112.69834529905621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8474-FA46-A0A9-E06E8EA2867F}"/>
            </c:ext>
          </c:extLst>
        </c:ser>
        <c:ser>
          <c:idx val="83"/>
          <c:order val="83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'Q6'!$E$85:$CU$85</c:f>
              <c:numCache>
                <c:formatCode>General</c:formatCode>
                <c:ptCount val="95"/>
                <c:pt idx="0">
                  <c:v>222.13</c:v>
                </c:pt>
                <c:pt idx="1">
                  <c:v>217.12556829460635</c:v>
                </c:pt>
                <c:pt idx="2">
                  <c:v>219.74321018151716</c:v>
                </c:pt>
                <c:pt idx="3">
                  <c:v>221.16147416167121</c:v>
                </c:pt>
                <c:pt idx="4">
                  <c:v>227.23748772989046</c:v>
                </c:pt>
                <c:pt idx="5">
                  <c:v>232.65787908026488</c:v>
                </c:pt>
                <c:pt idx="6">
                  <c:v>240.81152860383753</c:v>
                </c:pt>
                <c:pt idx="7">
                  <c:v>233.84472468099443</c:v>
                </c:pt>
                <c:pt idx="8">
                  <c:v>229.01931494632586</c:v>
                </c:pt>
                <c:pt idx="9">
                  <c:v>233.6156915216429</c:v>
                </c:pt>
                <c:pt idx="10">
                  <c:v>235.4646562107956</c:v>
                </c:pt>
                <c:pt idx="11">
                  <c:v>227.70683527849511</c:v>
                </c:pt>
                <c:pt idx="12">
                  <c:v>229.21478320283794</c:v>
                </c:pt>
                <c:pt idx="13">
                  <c:v>221.95875327933132</c:v>
                </c:pt>
                <c:pt idx="14">
                  <c:v>228.26679258155428</c:v>
                </c:pt>
                <c:pt idx="15">
                  <c:v>222.43407893285936</c:v>
                </c:pt>
                <c:pt idx="16">
                  <c:v>221.38707685943834</c:v>
                </c:pt>
                <c:pt idx="17">
                  <c:v>227.5129415271187</c:v>
                </c:pt>
                <c:pt idx="18">
                  <c:v>227.33689514504243</c:v>
                </c:pt>
                <c:pt idx="19">
                  <c:v>224.89039136074732</c:v>
                </c:pt>
                <c:pt idx="20">
                  <c:v>224.11696050633645</c:v>
                </c:pt>
                <c:pt idx="21">
                  <c:v>222.42242088455791</c:v>
                </c:pt>
                <c:pt idx="22">
                  <c:v>228.19117821406391</c:v>
                </c:pt>
                <c:pt idx="23">
                  <c:v>229.5553873849943</c:v>
                </c:pt>
                <c:pt idx="24">
                  <c:v>219.22694030657581</c:v>
                </c:pt>
                <c:pt idx="25">
                  <c:v>206.72347635477476</c:v>
                </c:pt>
                <c:pt idx="26">
                  <c:v>208.11269588844405</c:v>
                </c:pt>
                <c:pt idx="27">
                  <c:v>214.77098002674606</c:v>
                </c:pt>
                <c:pt idx="28">
                  <c:v>219.80023693523367</c:v>
                </c:pt>
                <c:pt idx="29">
                  <c:v>226.92543611176987</c:v>
                </c:pt>
                <c:pt idx="30">
                  <c:v>213.38602806985762</c:v>
                </c:pt>
                <c:pt idx="31">
                  <c:v>205.89750087544795</c:v>
                </c:pt>
                <c:pt idx="32">
                  <c:v>210.28514713880884</c:v>
                </c:pt>
                <c:pt idx="33">
                  <c:v>207.72030583397174</c:v>
                </c:pt>
                <c:pt idx="34">
                  <c:v>211.45413914069215</c:v>
                </c:pt>
                <c:pt idx="35">
                  <c:v>214.89908076248241</c:v>
                </c:pt>
                <c:pt idx="36">
                  <c:v>227.05417184875841</c:v>
                </c:pt>
                <c:pt idx="37">
                  <c:v>228.88315293452575</c:v>
                </c:pt>
                <c:pt idx="38">
                  <c:v>223.80669695070105</c:v>
                </c:pt>
                <c:pt idx="39">
                  <c:v>229.98056308964831</c:v>
                </c:pt>
                <c:pt idx="40">
                  <c:v>225.43817633569878</c:v>
                </c:pt>
                <c:pt idx="41">
                  <c:v>225.37838374901608</c:v>
                </c:pt>
                <c:pt idx="42">
                  <c:v>223.71843088179187</c:v>
                </c:pt>
                <c:pt idx="43">
                  <c:v>221.54707916750203</c:v>
                </c:pt>
                <c:pt idx="44">
                  <c:v>214.99623755517183</c:v>
                </c:pt>
                <c:pt idx="45">
                  <c:v>212.42686331457062</c:v>
                </c:pt>
                <c:pt idx="46">
                  <c:v>210.04196055200376</c:v>
                </c:pt>
                <c:pt idx="47">
                  <c:v>213.90613056455175</c:v>
                </c:pt>
                <c:pt idx="48">
                  <c:v>215.19642036711579</c:v>
                </c:pt>
                <c:pt idx="49">
                  <c:v>218.2528859173446</c:v>
                </c:pt>
                <c:pt idx="50">
                  <c:v>228.99828069194749</c:v>
                </c:pt>
                <c:pt idx="51">
                  <c:v>225.51228581146592</c:v>
                </c:pt>
                <c:pt idx="52">
                  <c:v>222.71852325461819</c:v>
                </c:pt>
                <c:pt idx="53">
                  <c:v>223.00837415167496</c:v>
                </c:pt>
                <c:pt idx="54">
                  <c:v>211.75815872542472</c:v>
                </c:pt>
                <c:pt idx="55">
                  <c:v>210.41690588543881</c:v>
                </c:pt>
                <c:pt idx="56">
                  <c:v>214.15971310553812</c:v>
                </c:pt>
                <c:pt idx="57">
                  <c:v>213.06116483036624</c:v>
                </c:pt>
                <c:pt idx="58">
                  <c:v>211.05025816953889</c:v>
                </c:pt>
                <c:pt idx="59">
                  <c:v>206.8743951775524</c:v>
                </c:pt>
                <c:pt idx="60">
                  <c:v>207.34457083944176</c:v>
                </c:pt>
                <c:pt idx="61">
                  <c:v>210.26798095163375</c:v>
                </c:pt>
                <c:pt idx="62">
                  <c:v>213.44657675263272</c:v>
                </c:pt>
                <c:pt idx="63">
                  <c:v>219.65439210336123</c:v>
                </c:pt>
                <c:pt idx="64">
                  <c:v>224.34963446307231</c:v>
                </c:pt>
                <c:pt idx="65">
                  <c:v>213.88428321429453</c:v>
                </c:pt>
                <c:pt idx="66">
                  <c:v>206.8967703640559</c:v>
                </c:pt>
                <c:pt idx="67">
                  <c:v>212.78302991410283</c:v>
                </c:pt>
                <c:pt idx="68">
                  <c:v>211.11687155496907</c:v>
                </c:pt>
                <c:pt idx="69">
                  <c:v>209.10688477126996</c:v>
                </c:pt>
                <c:pt idx="70">
                  <c:v>217.33974339261144</c:v>
                </c:pt>
                <c:pt idx="71">
                  <c:v>213.26677151915075</c:v>
                </c:pt>
                <c:pt idx="72">
                  <c:v>210.87194831877451</c:v>
                </c:pt>
                <c:pt idx="73">
                  <c:v>209.13510036709945</c:v>
                </c:pt>
                <c:pt idx="74">
                  <c:v>215.67510331880638</c:v>
                </c:pt>
                <c:pt idx="75">
                  <c:v>212.66505387554795</c:v>
                </c:pt>
                <c:pt idx="76">
                  <c:v>214.19125934382006</c:v>
                </c:pt>
                <c:pt idx="77">
                  <c:v>218.97778234933628</c:v>
                </c:pt>
                <c:pt idx="78">
                  <c:v>225.38141286946308</c:v>
                </c:pt>
                <c:pt idx="79">
                  <c:v>224.92185387340018</c:v>
                </c:pt>
                <c:pt idx="80">
                  <c:v>226.47493525044331</c:v>
                </c:pt>
                <c:pt idx="81">
                  <c:v>231.46164971393878</c:v>
                </c:pt>
                <c:pt idx="82">
                  <c:v>234.5147067099017</c:v>
                </c:pt>
                <c:pt idx="83">
                  <c:v>243.28118694135296</c:v>
                </c:pt>
                <c:pt idx="84">
                  <c:v>237.16065649404089</c:v>
                </c:pt>
                <c:pt idx="85">
                  <c:v>232.16948431164198</c:v>
                </c:pt>
                <c:pt idx="86">
                  <c:v>234.73676986531476</c:v>
                </c:pt>
                <c:pt idx="87">
                  <c:v>233.10824574838327</c:v>
                </c:pt>
                <c:pt idx="88">
                  <c:v>236.21570271817765</c:v>
                </c:pt>
                <c:pt idx="89">
                  <c:v>237.16744302623874</c:v>
                </c:pt>
                <c:pt idx="90">
                  <c:v>236.28963961725762</c:v>
                </c:pt>
                <c:pt idx="91">
                  <c:v>239.18691186935538</c:v>
                </c:pt>
                <c:pt idx="92">
                  <c:v>243.00861929534949</c:v>
                </c:pt>
                <c:pt idx="93">
                  <c:v>241.77047221337025</c:v>
                </c:pt>
                <c:pt idx="94">
                  <c:v>235.46759797286003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8474-FA46-A0A9-E06E8EA2867F}"/>
            </c:ext>
          </c:extLst>
        </c:ser>
        <c:ser>
          <c:idx val="84"/>
          <c:order val="84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'Q6'!$E$86:$CU$86</c:f>
              <c:numCache>
                <c:formatCode>General</c:formatCode>
                <c:ptCount val="95"/>
                <c:pt idx="0">
                  <c:v>222.13</c:v>
                </c:pt>
                <c:pt idx="1">
                  <c:v>225.19362155301164</c:v>
                </c:pt>
                <c:pt idx="2">
                  <c:v>226.57177569816642</c:v>
                </c:pt>
                <c:pt idx="3">
                  <c:v>232.2202826499188</c:v>
                </c:pt>
                <c:pt idx="4">
                  <c:v>230.34865345206009</c:v>
                </c:pt>
                <c:pt idx="5">
                  <c:v>231.07836439033224</c:v>
                </c:pt>
                <c:pt idx="6">
                  <c:v>231.68310867006775</c:v>
                </c:pt>
                <c:pt idx="7">
                  <c:v>232.19953001404397</c:v>
                </c:pt>
                <c:pt idx="8">
                  <c:v>226.9399211587891</c:v>
                </c:pt>
                <c:pt idx="9">
                  <c:v>226.42703177938546</c:v>
                </c:pt>
                <c:pt idx="10">
                  <c:v>221.45696224714902</c:v>
                </c:pt>
                <c:pt idx="11">
                  <c:v>221.97395140557941</c:v>
                </c:pt>
                <c:pt idx="12">
                  <c:v>222.89068271916824</c:v>
                </c:pt>
                <c:pt idx="13">
                  <c:v>212.39285085899573</c:v>
                </c:pt>
                <c:pt idx="14">
                  <c:v>216.45183673076679</c:v>
                </c:pt>
                <c:pt idx="15">
                  <c:v>216.28578333298205</c:v>
                </c:pt>
                <c:pt idx="16">
                  <c:v>219.18452040256213</c:v>
                </c:pt>
                <c:pt idx="17">
                  <c:v>218.7850140604161</c:v>
                </c:pt>
                <c:pt idx="18">
                  <c:v>217.81408457831219</c:v>
                </c:pt>
                <c:pt idx="19">
                  <c:v>220.98052712242378</c:v>
                </c:pt>
                <c:pt idx="20">
                  <c:v>221.06907262439432</c:v>
                </c:pt>
                <c:pt idx="21">
                  <c:v>242.61213051215569</c:v>
                </c:pt>
                <c:pt idx="22">
                  <c:v>241.85922154098236</c:v>
                </c:pt>
                <c:pt idx="23">
                  <c:v>241.21873985795497</c:v>
                </c:pt>
                <c:pt idx="24">
                  <c:v>241.50680162972012</c:v>
                </c:pt>
                <c:pt idx="25">
                  <c:v>242.03719230005919</c:v>
                </c:pt>
                <c:pt idx="26">
                  <c:v>237.61151653834676</c:v>
                </c:pt>
                <c:pt idx="27">
                  <c:v>227.82007348421874</c:v>
                </c:pt>
                <c:pt idx="28">
                  <c:v>227.42370137170693</c:v>
                </c:pt>
                <c:pt idx="29">
                  <c:v>230.69695536580983</c:v>
                </c:pt>
                <c:pt idx="30">
                  <c:v>225.03933658925237</c:v>
                </c:pt>
                <c:pt idx="31">
                  <c:v>232.64944792247556</c:v>
                </c:pt>
                <c:pt idx="32">
                  <c:v>238.75396658623802</c:v>
                </c:pt>
                <c:pt idx="33">
                  <c:v>238.13012215407753</c:v>
                </c:pt>
                <c:pt idx="34">
                  <c:v>237.71044838759198</c:v>
                </c:pt>
                <c:pt idx="35">
                  <c:v>250.41770213455752</c:v>
                </c:pt>
                <c:pt idx="36">
                  <c:v>261.80893953461293</c:v>
                </c:pt>
                <c:pt idx="37">
                  <c:v>257.70520337894499</c:v>
                </c:pt>
                <c:pt idx="38">
                  <c:v>259.05333912752013</c:v>
                </c:pt>
                <c:pt idx="39">
                  <c:v>257.58329403975841</c:v>
                </c:pt>
                <c:pt idx="40">
                  <c:v>255.96503148343996</c:v>
                </c:pt>
                <c:pt idx="41">
                  <c:v>255.76009683371197</c:v>
                </c:pt>
                <c:pt idx="42">
                  <c:v>258.25483512083656</c:v>
                </c:pt>
                <c:pt idx="43">
                  <c:v>261.24325216102108</c:v>
                </c:pt>
                <c:pt idx="44">
                  <c:v>266.45636435537034</c:v>
                </c:pt>
                <c:pt idx="45">
                  <c:v>271.31897086528494</c:v>
                </c:pt>
                <c:pt idx="46">
                  <c:v>260.19186528029184</c:v>
                </c:pt>
                <c:pt idx="47">
                  <c:v>262.95265460850055</c:v>
                </c:pt>
                <c:pt idx="48">
                  <c:v>262.21727497174186</c:v>
                </c:pt>
                <c:pt idx="49">
                  <c:v>260.31953773563595</c:v>
                </c:pt>
                <c:pt idx="50">
                  <c:v>254.92535683787571</c:v>
                </c:pt>
                <c:pt idx="51">
                  <c:v>247.3734887638617</c:v>
                </c:pt>
                <c:pt idx="52">
                  <c:v>230.77810527792923</c:v>
                </c:pt>
                <c:pt idx="53">
                  <c:v>218.40004825854578</c:v>
                </c:pt>
                <c:pt idx="54">
                  <c:v>209.93287041053796</c:v>
                </c:pt>
                <c:pt idx="55">
                  <c:v>210.62746086208026</c:v>
                </c:pt>
                <c:pt idx="56">
                  <c:v>202.84033368149019</c:v>
                </c:pt>
                <c:pt idx="57">
                  <c:v>204.72683346635648</c:v>
                </c:pt>
                <c:pt idx="58">
                  <c:v>202.6377031184187</c:v>
                </c:pt>
                <c:pt idx="59">
                  <c:v>202.934855382846</c:v>
                </c:pt>
                <c:pt idx="60">
                  <c:v>203.15443552511451</c:v>
                </c:pt>
                <c:pt idx="61">
                  <c:v>197.99760970416821</c:v>
                </c:pt>
                <c:pt idx="62">
                  <c:v>200.09317245254121</c:v>
                </c:pt>
                <c:pt idx="63">
                  <c:v>196.54241184427835</c:v>
                </c:pt>
                <c:pt idx="64">
                  <c:v>197.29754792197585</c:v>
                </c:pt>
                <c:pt idx="65">
                  <c:v>197.45640634043372</c:v>
                </c:pt>
                <c:pt idx="66">
                  <c:v>202.35771317242592</c:v>
                </c:pt>
                <c:pt idx="67">
                  <c:v>205.61372641165613</c:v>
                </c:pt>
                <c:pt idx="68">
                  <c:v>197.67894157065138</c:v>
                </c:pt>
                <c:pt idx="69">
                  <c:v>198.44698679917246</c:v>
                </c:pt>
                <c:pt idx="70">
                  <c:v>194.8385923905598</c:v>
                </c:pt>
                <c:pt idx="71">
                  <c:v>199.52528406365334</c:v>
                </c:pt>
                <c:pt idx="72">
                  <c:v>197.8536027654996</c:v>
                </c:pt>
                <c:pt idx="73">
                  <c:v>198.26063568204933</c:v>
                </c:pt>
                <c:pt idx="74">
                  <c:v>205.95221017029664</c:v>
                </c:pt>
                <c:pt idx="75">
                  <c:v>200.42147621925324</c:v>
                </c:pt>
                <c:pt idx="76">
                  <c:v>208.99128587102189</c:v>
                </c:pt>
                <c:pt idx="77">
                  <c:v>207.37765194009717</c:v>
                </c:pt>
                <c:pt idx="78">
                  <c:v>205.40628681504447</c:v>
                </c:pt>
                <c:pt idx="79">
                  <c:v>214.57051526624693</c:v>
                </c:pt>
                <c:pt idx="80">
                  <c:v>208.48793229904123</c:v>
                </c:pt>
                <c:pt idx="81">
                  <c:v>212.68255537518789</c:v>
                </c:pt>
                <c:pt idx="82">
                  <c:v>217.07975312413114</c:v>
                </c:pt>
                <c:pt idx="83">
                  <c:v>216.43902773612959</c:v>
                </c:pt>
                <c:pt idx="84">
                  <c:v>218.40503261753472</c:v>
                </c:pt>
                <c:pt idx="85">
                  <c:v>222.79391586277302</c:v>
                </c:pt>
                <c:pt idx="86">
                  <c:v>219.51893861590412</c:v>
                </c:pt>
                <c:pt idx="87">
                  <c:v>217.68235414098626</c:v>
                </c:pt>
                <c:pt idx="88">
                  <c:v>205.06396753041068</c:v>
                </c:pt>
                <c:pt idx="89">
                  <c:v>198.52802120836813</c:v>
                </c:pt>
                <c:pt idx="90">
                  <c:v>199.87661448786452</c:v>
                </c:pt>
                <c:pt idx="91">
                  <c:v>199.09140291210085</c:v>
                </c:pt>
                <c:pt idx="92">
                  <c:v>200.81761407885358</c:v>
                </c:pt>
                <c:pt idx="93">
                  <c:v>202.49290822325045</c:v>
                </c:pt>
                <c:pt idx="94">
                  <c:v>202.25053286308881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8474-FA46-A0A9-E06E8EA2867F}"/>
            </c:ext>
          </c:extLst>
        </c:ser>
        <c:ser>
          <c:idx val="85"/>
          <c:order val="85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'Q6'!$E$87:$CU$87</c:f>
              <c:numCache>
                <c:formatCode>General</c:formatCode>
                <c:ptCount val="95"/>
                <c:pt idx="0">
                  <c:v>222.13</c:v>
                </c:pt>
                <c:pt idx="1">
                  <c:v>218.41138364355393</c:v>
                </c:pt>
                <c:pt idx="2">
                  <c:v>222.32908916658178</c:v>
                </c:pt>
                <c:pt idx="3">
                  <c:v>215.88505356977285</c:v>
                </c:pt>
                <c:pt idx="4">
                  <c:v>220.74017039576609</c:v>
                </c:pt>
                <c:pt idx="5">
                  <c:v>216.75970086908703</c:v>
                </c:pt>
                <c:pt idx="6">
                  <c:v>217.97679742772129</c:v>
                </c:pt>
                <c:pt idx="7">
                  <c:v>219.05330603611762</c:v>
                </c:pt>
                <c:pt idx="8">
                  <c:v>223.06527912660724</c:v>
                </c:pt>
                <c:pt idx="9">
                  <c:v>222.41558424248069</c:v>
                </c:pt>
                <c:pt idx="10">
                  <c:v>219.72437548885702</c:v>
                </c:pt>
                <c:pt idx="11">
                  <c:v>225.33515364079895</c:v>
                </c:pt>
                <c:pt idx="12">
                  <c:v>226.041830293072</c:v>
                </c:pt>
                <c:pt idx="13">
                  <c:v>224.79086104687974</c:v>
                </c:pt>
                <c:pt idx="14">
                  <c:v>224.28712268353641</c:v>
                </c:pt>
                <c:pt idx="15">
                  <c:v>233.24194616979671</c:v>
                </c:pt>
                <c:pt idx="16">
                  <c:v>225.01841663774596</c:v>
                </c:pt>
                <c:pt idx="17">
                  <c:v>227.64473104447487</c:v>
                </c:pt>
                <c:pt idx="18">
                  <c:v>224.34022219620948</c:v>
                </c:pt>
                <c:pt idx="19">
                  <c:v>224.59341703965734</c:v>
                </c:pt>
                <c:pt idx="20">
                  <c:v>226.10346319591881</c:v>
                </c:pt>
                <c:pt idx="21">
                  <c:v>225.74539021771812</c:v>
                </c:pt>
                <c:pt idx="22">
                  <c:v>219.8721403147976</c:v>
                </c:pt>
                <c:pt idx="23">
                  <c:v>220.01138796942848</c:v>
                </c:pt>
                <c:pt idx="24">
                  <c:v>219.97064828363145</c:v>
                </c:pt>
                <c:pt idx="25">
                  <c:v>215.60261282842913</c:v>
                </c:pt>
                <c:pt idx="26">
                  <c:v>219.55487859048409</c:v>
                </c:pt>
                <c:pt idx="27">
                  <c:v>219.03959769169634</c:v>
                </c:pt>
                <c:pt idx="28">
                  <c:v>222.50340135895792</c:v>
                </c:pt>
                <c:pt idx="29">
                  <c:v>230.07553600414752</c:v>
                </c:pt>
                <c:pt idx="30">
                  <c:v>233.12128269949898</c:v>
                </c:pt>
                <c:pt idx="31">
                  <c:v>238.38378056405179</c:v>
                </c:pt>
                <c:pt idx="32">
                  <c:v>244.49478603760869</c:v>
                </c:pt>
                <c:pt idx="33">
                  <c:v>250.51838235739282</c:v>
                </c:pt>
                <c:pt idx="34">
                  <c:v>256.0634068163169</c:v>
                </c:pt>
                <c:pt idx="35">
                  <c:v>265.43176107423704</c:v>
                </c:pt>
                <c:pt idx="36">
                  <c:v>271.69426430084656</c:v>
                </c:pt>
                <c:pt idx="37">
                  <c:v>259.94962990815748</c:v>
                </c:pt>
                <c:pt idx="38">
                  <c:v>254.24225748891567</c:v>
                </c:pt>
                <c:pt idx="39">
                  <c:v>260.86101770854873</c:v>
                </c:pt>
                <c:pt idx="40">
                  <c:v>259.70688810647465</c:v>
                </c:pt>
                <c:pt idx="41">
                  <c:v>267.02457137284421</c:v>
                </c:pt>
                <c:pt idx="42">
                  <c:v>275.16338572695588</c:v>
                </c:pt>
                <c:pt idx="43">
                  <c:v>276.19476274659172</c:v>
                </c:pt>
                <c:pt idx="44">
                  <c:v>273.53497519619521</c:v>
                </c:pt>
                <c:pt idx="45">
                  <c:v>286.2651609681073</c:v>
                </c:pt>
                <c:pt idx="46">
                  <c:v>285.94308841802467</c:v>
                </c:pt>
                <c:pt idx="47">
                  <c:v>283.2820991980841</c:v>
                </c:pt>
                <c:pt idx="48">
                  <c:v>283.42710425846917</c:v>
                </c:pt>
                <c:pt idx="49">
                  <c:v>290.17870599242082</c:v>
                </c:pt>
                <c:pt idx="50">
                  <c:v>286.11189617474855</c:v>
                </c:pt>
                <c:pt idx="51">
                  <c:v>277.70235992599351</c:v>
                </c:pt>
                <c:pt idx="52">
                  <c:v>284.3252632187631</c:v>
                </c:pt>
                <c:pt idx="53">
                  <c:v>289.22908786084417</c:v>
                </c:pt>
                <c:pt idx="54">
                  <c:v>290.29482476658154</c:v>
                </c:pt>
                <c:pt idx="55">
                  <c:v>292.25210445919907</c:v>
                </c:pt>
                <c:pt idx="56">
                  <c:v>287.36410840695373</c:v>
                </c:pt>
                <c:pt idx="57">
                  <c:v>297.41702975508099</c:v>
                </c:pt>
                <c:pt idx="58">
                  <c:v>295.77937826187656</c:v>
                </c:pt>
                <c:pt idx="59">
                  <c:v>299.94030064797113</c:v>
                </c:pt>
                <c:pt idx="60">
                  <c:v>311.01165851301101</c:v>
                </c:pt>
                <c:pt idx="61">
                  <c:v>316.31994874387061</c:v>
                </c:pt>
                <c:pt idx="62">
                  <c:v>323.56916569810789</c:v>
                </c:pt>
                <c:pt idx="63">
                  <c:v>325.78867784525431</c:v>
                </c:pt>
                <c:pt idx="64">
                  <c:v>327.15952840203278</c:v>
                </c:pt>
                <c:pt idx="65">
                  <c:v>317.14311023212099</c:v>
                </c:pt>
                <c:pt idx="66">
                  <c:v>317.1520397408832</c:v>
                </c:pt>
                <c:pt idx="67">
                  <c:v>310.73210517649505</c:v>
                </c:pt>
                <c:pt idx="68">
                  <c:v>313.98955185896159</c:v>
                </c:pt>
                <c:pt idx="69">
                  <c:v>322.83119297302818</c:v>
                </c:pt>
                <c:pt idx="70">
                  <c:v>323.37826430124858</c:v>
                </c:pt>
                <c:pt idx="71">
                  <c:v>326.6682397019095</c:v>
                </c:pt>
                <c:pt idx="72">
                  <c:v>320.29728114074868</c:v>
                </c:pt>
                <c:pt idx="73">
                  <c:v>318.23755524026143</c:v>
                </c:pt>
                <c:pt idx="74">
                  <c:v>310.28423202296784</c:v>
                </c:pt>
                <c:pt idx="75">
                  <c:v>303.98920496758996</c:v>
                </c:pt>
                <c:pt idx="76">
                  <c:v>301.11785556006845</c:v>
                </c:pt>
                <c:pt idx="77">
                  <c:v>304.78521687087135</c:v>
                </c:pt>
                <c:pt idx="78">
                  <c:v>315.45503171086528</c:v>
                </c:pt>
                <c:pt idx="79">
                  <c:v>315.57314771054502</c:v>
                </c:pt>
                <c:pt idx="80">
                  <c:v>311.66422055590567</c:v>
                </c:pt>
                <c:pt idx="81">
                  <c:v>309.57652820510873</c:v>
                </c:pt>
                <c:pt idx="82">
                  <c:v>305.09616073675829</c:v>
                </c:pt>
                <c:pt idx="83">
                  <c:v>300.85864828890811</c:v>
                </c:pt>
                <c:pt idx="84">
                  <c:v>295.82614653976543</c:v>
                </c:pt>
                <c:pt idx="85">
                  <c:v>301.58181743329243</c:v>
                </c:pt>
                <c:pt idx="86">
                  <c:v>300.60534006898325</c:v>
                </c:pt>
                <c:pt idx="87">
                  <c:v>303.76617841813078</c:v>
                </c:pt>
                <c:pt idx="88">
                  <c:v>298.44831288597584</c:v>
                </c:pt>
                <c:pt idx="89">
                  <c:v>307.49471063821449</c:v>
                </c:pt>
                <c:pt idx="90">
                  <c:v>307.18565085043952</c:v>
                </c:pt>
                <c:pt idx="91">
                  <c:v>300.13476938568039</c:v>
                </c:pt>
                <c:pt idx="92">
                  <c:v>302.51895421581344</c:v>
                </c:pt>
                <c:pt idx="93">
                  <c:v>291.02195873539688</c:v>
                </c:pt>
                <c:pt idx="94">
                  <c:v>282.9735518569122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8474-FA46-A0A9-E06E8EA2867F}"/>
            </c:ext>
          </c:extLst>
        </c:ser>
        <c:ser>
          <c:idx val="86"/>
          <c:order val="86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'Q6'!$E$88:$CU$88</c:f>
              <c:numCache>
                <c:formatCode>General</c:formatCode>
                <c:ptCount val="95"/>
                <c:pt idx="0">
                  <c:v>222.13</c:v>
                </c:pt>
                <c:pt idx="1">
                  <c:v>220.29018995921447</c:v>
                </c:pt>
                <c:pt idx="2">
                  <c:v>212.40984106581368</c:v>
                </c:pt>
                <c:pt idx="3">
                  <c:v>213.3580641800076</c:v>
                </c:pt>
                <c:pt idx="4">
                  <c:v>204.59629409148144</c:v>
                </c:pt>
                <c:pt idx="5">
                  <c:v>209.78369452708944</c:v>
                </c:pt>
                <c:pt idx="6">
                  <c:v>211.25124312335211</c:v>
                </c:pt>
                <c:pt idx="7">
                  <c:v>212.41692051017364</c:v>
                </c:pt>
                <c:pt idx="8">
                  <c:v>207.43473599271096</c:v>
                </c:pt>
                <c:pt idx="9">
                  <c:v>206.3197096288944</c:v>
                </c:pt>
                <c:pt idx="10">
                  <c:v>206.29836360367329</c:v>
                </c:pt>
                <c:pt idx="11">
                  <c:v>203.49367681851629</c:v>
                </c:pt>
                <c:pt idx="12">
                  <c:v>202.6145168572059</c:v>
                </c:pt>
                <c:pt idx="13">
                  <c:v>204.10177594872192</c:v>
                </c:pt>
                <c:pt idx="14">
                  <c:v>202.65815469105442</c:v>
                </c:pt>
                <c:pt idx="15">
                  <c:v>197.18947234733778</c:v>
                </c:pt>
                <c:pt idx="16">
                  <c:v>199.75393203396152</c:v>
                </c:pt>
                <c:pt idx="17">
                  <c:v>197.20133863473785</c:v>
                </c:pt>
                <c:pt idx="18">
                  <c:v>196.334532924862</c:v>
                </c:pt>
                <c:pt idx="19">
                  <c:v>193.88214764035231</c:v>
                </c:pt>
                <c:pt idx="20">
                  <c:v>198.49123946111828</c:v>
                </c:pt>
                <c:pt idx="21">
                  <c:v>204.89337935870205</c:v>
                </c:pt>
                <c:pt idx="22">
                  <c:v>218.94940966756678</c:v>
                </c:pt>
                <c:pt idx="23">
                  <c:v>213.47236679678852</c:v>
                </c:pt>
                <c:pt idx="24">
                  <c:v>213.94040519648129</c:v>
                </c:pt>
                <c:pt idx="25">
                  <c:v>212.91314239238773</c:v>
                </c:pt>
                <c:pt idx="26">
                  <c:v>218.71000721321528</c:v>
                </c:pt>
                <c:pt idx="27">
                  <c:v>208.8015945696506</c:v>
                </c:pt>
                <c:pt idx="28">
                  <c:v>208.01849341447235</c:v>
                </c:pt>
                <c:pt idx="29">
                  <c:v>206.38261228302892</c:v>
                </c:pt>
                <c:pt idx="30">
                  <c:v>207.82375288703977</c:v>
                </c:pt>
                <c:pt idx="31">
                  <c:v>211.44649288902241</c:v>
                </c:pt>
                <c:pt idx="32">
                  <c:v>217.02783449000805</c:v>
                </c:pt>
                <c:pt idx="33">
                  <c:v>210.41748899363594</c:v>
                </c:pt>
                <c:pt idx="34">
                  <c:v>204.20223230499883</c:v>
                </c:pt>
                <c:pt idx="35">
                  <c:v>204.84767903627798</c:v>
                </c:pt>
                <c:pt idx="36">
                  <c:v>194.08681980648947</c:v>
                </c:pt>
                <c:pt idx="37">
                  <c:v>200.27584861910788</c:v>
                </c:pt>
                <c:pt idx="38">
                  <c:v>201.00319360953114</c:v>
                </c:pt>
                <c:pt idx="39">
                  <c:v>201.37739730102658</c:v>
                </c:pt>
                <c:pt idx="40">
                  <c:v>201.06104314508067</c:v>
                </c:pt>
                <c:pt idx="41">
                  <c:v>204.23369790856776</c:v>
                </c:pt>
                <c:pt idx="42">
                  <c:v>204.03770514445557</c:v>
                </c:pt>
                <c:pt idx="43">
                  <c:v>205.40557572172651</c:v>
                </c:pt>
                <c:pt idx="44">
                  <c:v>206.15448640223198</c:v>
                </c:pt>
                <c:pt idx="45">
                  <c:v>193.00949512296893</c:v>
                </c:pt>
                <c:pt idx="46">
                  <c:v>198.717288074625</c:v>
                </c:pt>
                <c:pt idx="47">
                  <c:v>196.24733510666331</c:v>
                </c:pt>
                <c:pt idx="48">
                  <c:v>196.51732959189729</c:v>
                </c:pt>
                <c:pt idx="49">
                  <c:v>189.85201070309131</c:v>
                </c:pt>
                <c:pt idx="50">
                  <c:v>193.72114546744834</c:v>
                </c:pt>
                <c:pt idx="51">
                  <c:v>193.75580291333975</c:v>
                </c:pt>
                <c:pt idx="52">
                  <c:v>199.11405505319465</c:v>
                </c:pt>
                <c:pt idx="53">
                  <c:v>191.01126723882109</c:v>
                </c:pt>
                <c:pt idx="54">
                  <c:v>187.75202825656257</c:v>
                </c:pt>
                <c:pt idx="55">
                  <c:v>182.30559271805009</c:v>
                </c:pt>
                <c:pt idx="56">
                  <c:v>182.91704579420554</c:v>
                </c:pt>
                <c:pt idx="57">
                  <c:v>174.75394933900344</c:v>
                </c:pt>
                <c:pt idx="58">
                  <c:v>179.86887058446771</c:v>
                </c:pt>
                <c:pt idx="59">
                  <c:v>180.49976551397</c:v>
                </c:pt>
                <c:pt idx="60">
                  <c:v>181.28054205696299</c:v>
                </c:pt>
                <c:pt idx="61">
                  <c:v>181.92190264219056</c:v>
                </c:pt>
                <c:pt idx="62">
                  <c:v>179.09250791120203</c:v>
                </c:pt>
                <c:pt idx="63">
                  <c:v>177.82689514578692</c:v>
                </c:pt>
                <c:pt idx="64">
                  <c:v>176.62443101947878</c:v>
                </c:pt>
                <c:pt idx="65">
                  <c:v>173.55624151146122</c:v>
                </c:pt>
                <c:pt idx="66">
                  <c:v>170.91223153833738</c:v>
                </c:pt>
                <c:pt idx="67">
                  <c:v>167.5481557166201</c:v>
                </c:pt>
                <c:pt idx="68">
                  <c:v>166.82762084825754</c:v>
                </c:pt>
                <c:pt idx="69">
                  <c:v>168.40946479597795</c:v>
                </c:pt>
                <c:pt idx="70">
                  <c:v>169.16162548612792</c:v>
                </c:pt>
                <c:pt idx="71">
                  <c:v>170.01712606234773</c:v>
                </c:pt>
                <c:pt idx="72">
                  <c:v>172.70467124524666</c:v>
                </c:pt>
                <c:pt idx="73">
                  <c:v>168.27646639819824</c:v>
                </c:pt>
                <c:pt idx="74">
                  <c:v>164.55367821169222</c:v>
                </c:pt>
                <c:pt idx="75">
                  <c:v>173.54343933958864</c:v>
                </c:pt>
                <c:pt idx="76">
                  <c:v>172.04731156745117</c:v>
                </c:pt>
                <c:pt idx="77">
                  <c:v>169.79797480339602</c:v>
                </c:pt>
                <c:pt idx="78">
                  <c:v>171.84600334741341</c:v>
                </c:pt>
                <c:pt idx="79">
                  <c:v>171.2621640899392</c:v>
                </c:pt>
                <c:pt idx="80">
                  <c:v>171.2157354239886</c:v>
                </c:pt>
                <c:pt idx="81">
                  <c:v>167.86536704237503</c:v>
                </c:pt>
                <c:pt idx="82">
                  <c:v>157.65588506831742</c:v>
                </c:pt>
                <c:pt idx="83">
                  <c:v>156.48060466667977</c:v>
                </c:pt>
                <c:pt idx="84">
                  <c:v>147.50898846939083</c:v>
                </c:pt>
                <c:pt idx="85">
                  <c:v>144.67332270236136</c:v>
                </c:pt>
                <c:pt idx="86">
                  <c:v>144.29887592388377</c:v>
                </c:pt>
                <c:pt idx="87">
                  <c:v>147.64238943524805</c:v>
                </c:pt>
                <c:pt idx="88">
                  <c:v>147.03763995930396</c:v>
                </c:pt>
                <c:pt idx="89">
                  <c:v>146.18201008158871</c:v>
                </c:pt>
                <c:pt idx="90">
                  <c:v>144.94632298075533</c:v>
                </c:pt>
                <c:pt idx="91">
                  <c:v>148.07320002986768</c:v>
                </c:pt>
                <c:pt idx="92">
                  <c:v>145.26426486438899</c:v>
                </c:pt>
                <c:pt idx="93">
                  <c:v>146.81927433584843</c:v>
                </c:pt>
                <c:pt idx="94">
                  <c:v>145.48521067087111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8474-FA46-A0A9-E06E8EA2867F}"/>
            </c:ext>
          </c:extLst>
        </c:ser>
        <c:ser>
          <c:idx val="87"/>
          <c:order val="87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'Q6'!$E$89:$CU$89</c:f>
              <c:numCache>
                <c:formatCode>General</c:formatCode>
                <c:ptCount val="95"/>
                <c:pt idx="0">
                  <c:v>222.13</c:v>
                </c:pt>
                <c:pt idx="1">
                  <c:v>221.89303642641536</c:v>
                </c:pt>
                <c:pt idx="2">
                  <c:v>221.32606573329932</c:v>
                </c:pt>
                <c:pt idx="3">
                  <c:v>215.96816564653588</c:v>
                </c:pt>
                <c:pt idx="4">
                  <c:v>213.66895804287202</c:v>
                </c:pt>
                <c:pt idx="5">
                  <c:v>207.74985662343141</c:v>
                </c:pt>
                <c:pt idx="6">
                  <c:v>215.13394537576565</c:v>
                </c:pt>
                <c:pt idx="7">
                  <c:v>221.24570420457732</c:v>
                </c:pt>
                <c:pt idx="8">
                  <c:v>220.50452920114833</c:v>
                </c:pt>
                <c:pt idx="9">
                  <c:v>213.83981300535601</c:v>
                </c:pt>
                <c:pt idx="10">
                  <c:v>214.10403609927019</c:v>
                </c:pt>
                <c:pt idx="11">
                  <c:v>218.34066956468826</c:v>
                </c:pt>
                <c:pt idx="12">
                  <c:v>218.82027676352263</c:v>
                </c:pt>
                <c:pt idx="13">
                  <c:v>214.99675039035364</c:v>
                </c:pt>
                <c:pt idx="14">
                  <c:v>225.73062949007419</c:v>
                </c:pt>
                <c:pt idx="15">
                  <c:v>231.35965150016489</c:v>
                </c:pt>
                <c:pt idx="16">
                  <c:v>234.71487902219673</c:v>
                </c:pt>
                <c:pt idx="17">
                  <c:v>231.71047839912208</c:v>
                </c:pt>
                <c:pt idx="18">
                  <c:v>235.17106738639302</c:v>
                </c:pt>
                <c:pt idx="19">
                  <c:v>237.48794300411592</c:v>
                </c:pt>
                <c:pt idx="20">
                  <c:v>236.26314596202567</c:v>
                </c:pt>
                <c:pt idx="21">
                  <c:v>229.03593915631595</c:v>
                </c:pt>
                <c:pt idx="22">
                  <c:v>227.0241241943387</c:v>
                </c:pt>
                <c:pt idx="23">
                  <c:v>230.92037047955569</c:v>
                </c:pt>
                <c:pt idx="24">
                  <c:v>229.95702943425678</c:v>
                </c:pt>
                <c:pt idx="25">
                  <c:v>233.08962049330157</c:v>
                </c:pt>
                <c:pt idx="26">
                  <c:v>231.00001583631024</c:v>
                </c:pt>
                <c:pt idx="27">
                  <c:v>231.14593116757382</c:v>
                </c:pt>
                <c:pt idx="28">
                  <c:v>232.85091054655607</c:v>
                </c:pt>
                <c:pt idx="29">
                  <c:v>235.40737518081994</c:v>
                </c:pt>
                <c:pt idx="30">
                  <c:v>241.42602821137169</c:v>
                </c:pt>
                <c:pt idx="31">
                  <c:v>240.70624343233243</c:v>
                </c:pt>
                <c:pt idx="32">
                  <c:v>251.21843622171573</c:v>
                </c:pt>
                <c:pt idx="33">
                  <c:v>252.15005983685717</c:v>
                </c:pt>
                <c:pt idx="34">
                  <c:v>262.86444818244166</c:v>
                </c:pt>
                <c:pt idx="35">
                  <c:v>250.36214348563323</c:v>
                </c:pt>
                <c:pt idx="36">
                  <c:v>249.36599950578113</c:v>
                </c:pt>
                <c:pt idx="37">
                  <c:v>250.9404283279155</c:v>
                </c:pt>
                <c:pt idx="38">
                  <c:v>240.92381875679069</c:v>
                </c:pt>
                <c:pt idx="39">
                  <c:v>237.8437579132364</c:v>
                </c:pt>
                <c:pt idx="40">
                  <c:v>242.55392361323931</c:v>
                </c:pt>
                <c:pt idx="41">
                  <c:v>239.26884445981071</c:v>
                </c:pt>
                <c:pt idx="42">
                  <c:v>252.2001306045145</c:v>
                </c:pt>
                <c:pt idx="43">
                  <c:v>241.60287129789526</c:v>
                </c:pt>
                <c:pt idx="44">
                  <c:v>247.39197210748239</c:v>
                </c:pt>
                <c:pt idx="45">
                  <c:v>245.0365759914207</c:v>
                </c:pt>
                <c:pt idx="46">
                  <c:v>254.97193544098039</c:v>
                </c:pt>
                <c:pt idx="47">
                  <c:v>256.3652861230662</c:v>
                </c:pt>
                <c:pt idx="48">
                  <c:v>241.40198865473764</c:v>
                </c:pt>
                <c:pt idx="49">
                  <c:v>229.67352253189401</c:v>
                </c:pt>
                <c:pt idx="50">
                  <c:v>231.29981368533223</c:v>
                </c:pt>
                <c:pt idx="51">
                  <c:v>229.11766351285013</c:v>
                </c:pt>
                <c:pt idx="52">
                  <c:v>241.34557878172603</c:v>
                </c:pt>
                <c:pt idx="53">
                  <c:v>236.26347739479363</c:v>
                </c:pt>
                <c:pt idx="54">
                  <c:v>244.45637976067999</c:v>
                </c:pt>
                <c:pt idx="55">
                  <c:v>245.00281084996251</c:v>
                </c:pt>
                <c:pt idx="56">
                  <c:v>250.03143719776745</c:v>
                </c:pt>
                <c:pt idx="57">
                  <c:v>257.39855235516188</c:v>
                </c:pt>
                <c:pt idx="58">
                  <c:v>250.42248276803582</c:v>
                </c:pt>
                <c:pt idx="59">
                  <c:v>255.10382073493534</c:v>
                </c:pt>
                <c:pt idx="60">
                  <c:v>253.37327284743731</c:v>
                </c:pt>
                <c:pt idx="61">
                  <c:v>250.50139256687007</c:v>
                </c:pt>
                <c:pt idx="62">
                  <c:v>250.82128045745941</c:v>
                </c:pt>
                <c:pt idx="63">
                  <c:v>247.367251806409</c:v>
                </c:pt>
                <c:pt idx="64">
                  <c:v>239.34077837975639</c:v>
                </c:pt>
                <c:pt idx="65">
                  <c:v>245.18355298769745</c:v>
                </c:pt>
                <c:pt idx="66">
                  <c:v>237.74282643094898</c:v>
                </c:pt>
                <c:pt idx="67">
                  <c:v>243.18890955541843</c:v>
                </c:pt>
                <c:pt idx="68">
                  <c:v>241.26803356620113</c:v>
                </c:pt>
                <c:pt idx="69">
                  <c:v>234.81301317512722</c:v>
                </c:pt>
                <c:pt idx="70">
                  <c:v>225.35789879625139</c:v>
                </c:pt>
                <c:pt idx="71">
                  <c:v>225.32903868105336</c:v>
                </c:pt>
                <c:pt idx="72">
                  <c:v>223.18932105185471</c:v>
                </c:pt>
                <c:pt idx="73">
                  <c:v>220.54957310142117</c:v>
                </c:pt>
                <c:pt idx="74">
                  <c:v>220.58083813596821</c:v>
                </c:pt>
                <c:pt idx="75">
                  <c:v>233.0110107587833</c:v>
                </c:pt>
                <c:pt idx="76">
                  <c:v>229.74520564133525</c:v>
                </c:pt>
                <c:pt idx="77">
                  <c:v>237.06496401282621</c:v>
                </c:pt>
                <c:pt idx="78">
                  <c:v>233.57209065597306</c:v>
                </c:pt>
                <c:pt idx="79">
                  <c:v>238.2984379290566</c:v>
                </c:pt>
                <c:pt idx="80">
                  <c:v>235.08147380016834</c:v>
                </c:pt>
                <c:pt idx="81">
                  <c:v>236.66367441155987</c:v>
                </c:pt>
                <c:pt idx="82">
                  <c:v>238.1860162787807</c:v>
                </c:pt>
                <c:pt idx="83">
                  <c:v>250.91955826478724</c:v>
                </c:pt>
                <c:pt idx="84">
                  <c:v>249.86536331991277</c:v>
                </c:pt>
                <c:pt idx="85">
                  <c:v>242.93412365370298</c:v>
                </c:pt>
                <c:pt idx="86">
                  <c:v>243.29553946055449</c:v>
                </c:pt>
                <c:pt idx="87">
                  <c:v>244.02779083929062</c:v>
                </c:pt>
                <c:pt idx="88">
                  <c:v>256.94414114730478</c:v>
                </c:pt>
                <c:pt idx="89">
                  <c:v>268.15790571658437</c:v>
                </c:pt>
                <c:pt idx="90">
                  <c:v>261.38578112895004</c:v>
                </c:pt>
                <c:pt idx="91">
                  <c:v>263.33493856415026</c:v>
                </c:pt>
                <c:pt idx="92">
                  <c:v>260.0776072043916</c:v>
                </c:pt>
                <c:pt idx="93">
                  <c:v>254.45277067537904</c:v>
                </c:pt>
                <c:pt idx="94">
                  <c:v>259.98551402101447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8474-FA46-A0A9-E06E8EA2867F}"/>
            </c:ext>
          </c:extLst>
        </c:ser>
        <c:ser>
          <c:idx val="88"/>
          <c:order val="88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'Q6'!$E$90:$CU$90</c:f>
              <c:numCache>
                <c:formatCode>General</c:formatCode>
                <c:ptCount val="95"/>
                <c:pt idx="0">
                  <c:v>222.13</c:v>
                </c:pt>
                <c:pt idx="1">
                  <c:v>219.19932033682741</c:v>
                </c:pt>
                <c:pt idx="2">
                  <c:v>210.86989272183911</c:v>
                </c:pt>
                <c:pt idx="3">
                  <c:v>212.53267846833282</c:v>
                </c:pt>
                <c:pt idx="4">
                  <c:v>211.25788669919132</c:v>
                </c:pt>
                <c:pt idx="5">
                  <c:v>224.17914531629833</c:v>
                </c:pt>
                <c:pt idx="6">
                  <c:v>219.53396939848884</c:v>
                </c:pt>
                <c:pt idx="7">
                  <c:v>212.87448239016337</c:v>
                </c:pt>
                <c:pt idx="8">
                  <c:v>209.15622109703105</c:v>
                </c:pt>
                <c:pt idx="9">
                  <c:v>212.82464390390635</c:v>
                </c:pt>
                <c:pt idx="10">
                  <c:v>208.68670430468086</c:v>
                </c:pt>
                <c:pt idx="11">
                  <c:v>208.99667997418229</c:v>
                </c:pt>
                <c:pt idx="12">
                  <c:v>203.55616319090655</c:v>
                </c:pt>
                <c:pt idx="13">
                  <c:v>204.69986411137842</c:v>
                </c:pt>
                <c:pt idx="14">
                  <c:v>208.35723638644939</c:v>
                </c:pt>
                <c:pt idx="15">
                  <c:v>209.98820169528065</c:v>
                </c:pt>
                <c:pt idx="16">
                  <c:v>210.02581753572005</c:v>
                </c:pt>
                <c:pt idx="17">
                  <c:v>217.41881911265594</c:v>
                </c:pt>
                <c:pt idx="18">
                  <c:v>231.52173539624579</c:v>
                </c:pt>
                <c:pt idx="19">
                  <c:v>224.54203659665225</c:v>
                </c:pt>
                <c:pt idx="20">
                  <c:v>214.47202072809739</c:v>
                </c:pt>
                <c:pt idx="21">
                  <c:v>218.07003309758207</c:v>
                </c:pt>
                <c:pt idx="22">
                  <c:v>228.41561456004294</c:v>
                </c:pt>
                <c:pt idx="23">
                  <c:v>224.40702120022365</c:v>
                </c:pt>
                <c:pt idx="24">
                  <c:v>221.11913444058004</c:v>
                </c:pt>
                <c:pt idx="25">
                  <c:v>226.78095993207657</c:v>
                </c:pt>
                <c:pt idx="26">
                  <c:v>224.85864443841845</c:v>
                </c:pt>
                <c:pt idx="27">
                  <c:v>218.72976804034036</c:v>
                </c:pt>
                <c:pt idx="28">
                  <c:v>223.6386996945661</c:v>
                </c:pt>
                <c:pt idx="29">
                  <c:v>224.36834206053203</c:v>
                </c:pt>
                <c:pt idx="30">
                  <c:v>219.12118084911819</c:v>
                </c:pt>
                <c:pt idx="31">
                  <c:v>229.49257870431981</c:v>
                </c:pt>
                <c:pt idx="32">
                  <c:v>224.95053220846665</c:v>
                </c:pt>
                <c:pt idx="33">
                  <c:v>223.52482780175228</c:v>
                </c:pt>
                <c:pt idx="34">
                  <c:v>236.76252880149127</c:v>
                </c:pt>
                <c:pt idx="35">
                  <c:v>234.17111077506783</c:v>
                </c:pt>
                <c:pt idx="36">
                  <c:v>237.16203150550172</c:v>
                </c:pt>
                <c:pt idx="37">
                  <c:v>238.61475512596269</c:v>
                </c:pt>
                <c:pt idx="38">
                  <c:v>237.40480026018068</c:v>
                </c:pt>
                <c:pt idx="39">
                  <c:v>235.05077196183882</c:v>
                </c:pt>
                <c:pt idx="40">
                  <c:v>239.29150910345859</c:v>
                </c:pt>
                <c:pt idx="41">
                  <c:v>233.97595585004376</c:v>
                </c:pt>
                <c:pt idx="42">
                  <c:v>231.10018561347601</c:v>
                </c:pt>
                <c:pt idx="43">
                  <c:v>236.27309229780295</c:v>
                </c:pt>
                <c:pt idx="44">
                  <c:v>231.73178963516472</c:v>
                </c:pt>
                <c:pt idx="45">
                  <c:v>226.70921094083522</c:v>
                </c:pt>
                <c:pt idx="46">
                  <c:v>221.74371156759508</c:v>
                </c:pt>
                <c:pt idx="47">
                  <c:v>223.71600547680018</c:v>
                </c:pt>
                <c:pt idx="48">
                  <c:v>223.68268959490825</c:v>
                </c:pt>
                <c:pt idx="49">
                  <c:v>229.03806816551204</c:v>
                </c:pt>
                <c:pt idx="50">
                  <c:v>231.1511959856733</c:v>
                </c:pt>
                <c:pt idx="51">
                  <c:v>231.2925234792169</c:v>
                </c:pt>
                <c:pt idx="52">
                  <c:v>227.19995377096544</c:v>
                </c:pt>
                <c:pt idx="53">
                  <c:v>231.67782204837144</c:v>
                </c:pt>
                <c:pt idx="54">
                  <c:v>234.98681268155548</c:v>
                </c:pt>
                <c:pt idx="55">
                  <c:v>242.87143752612138</c:v>
                </c:pt>
                <c:pt idx="56">
                  <c:v>245.41044013732699</c:v>
                </c:pt>
                <c:pt idx="57">
                  <c:v>243.66512426298857</c:v>
                </c:pt>
                <c:pt idx="58">
                  <c:v>244.65373056355983</c:v>
                </c:pt>
                <c:pt idx="59">
                  <c:v>249.61005555175572</c:v>
                </c:pt>
                <c:pt idx="60">
                  <c:v>249.23602696514655</c:v>
                </c:pt>
                <c:pt idx="61">
                  <c:v>252.14912295277773</c:v>
                </c:pt>
                <c:pt idx="62">
                  <c:v>258.50309690972</c:v>
                </c:pt>
                <c:pt idx="63">
                  <c:v>263.92956121641942</c:v>
                </c:pt>
                <c:pt idx="64">
                  <c:v>265.74741697435462</c:v>
                </c:pt>
                <c:pt idx="65">
                  <c:v>260.87060962251985</c:v>
                </c:pt>
                <c:pt idx="66">
                  <c:v>266.50438732707062</c:v>
                </c:pt>
                <c:pt idx="67">
                  <c:v>260.71460589002987</c:v>
                </c:pt>
                <c:pt idx="68">
                  <c:v>261.31396233742726</c:v>
                </c:pt>
                <c:pt idx="69">
                  <c:v>264.91295105300264</c:v>
                </c:pt>
                <c:pt idx="70">
                  <c:v>269.91177916049685</c:v>
                </c:pt>
                <c:pt idx="71">
                  <c:v>269.20959498889238</c:v>
                </c:pt>
                <c:pt idx="72">
                  <c:v>267.53111770206499</c:v>
                </c:pt>
                <c:pt idx="73">
                  <c:v>263.99612091030622</c:v>
                </c:pt>
                <c:pt idx="74">
                  <c:v>266.31794086345349</c:v>
                </c:pt>
                <c:pt idx="75">
                  <c:v>264.56506553997849</c:v>
                </c:pt>
                <c:pt idx="76">
                  <c:v>265.27739238294527</c:v>
                </c:pt>
                <c:pt idx="77">
                  <c:v>263.82192502349511</c:v>
                </c:pt>
                <c:pt idx="78">
                  <c:v>251.46962634290495</c:v>
                </c:pt>
                <c:pt idx="79">
                  <c:v>244.44495162093156</c:v>
                </c:pt>
                <c:pt idx="80">
                  <c:v>246.52065588364951</c:v>
                </c:pt>
                <c:pt idx="81">
                  <c:v>249.5497192504551</c:v>
                </c:pt>
                <c:pt idx="82">
                  <c:v>244.93409432819911</c:v>
                </c:pt>
                <c:pt idx="83">
                  <c:v>250.59823076661203</c:v>
                </c:pt>
                <c:pt idx="84">
                  <c:v>257.85504912093643</c:v>
                </c:pt>
                <c:pt idx="85">
                  <c:v>259.40641966102248</c:v>
                </c:pt>
                <c:pt idx="86">
                  <c:v>263.01877355380805</c:v>
                </c:pt>
                <c:pt idx="87">
                  <c:v>255.52607150443822</c:v>
                </c:pt>
                <c:pt idx="88">
                  <c:v>254.67824036859716</c:v>
                </c:pt>
                <c:pt idx="89">
                  <c:v>246.29457841094438</c:v>
                </c:pt>
                <c:pt idx="90">
                  <c:v>236.46316969640947</c:v>
                </c:pt>
                <c:pt idx="91">
                  <c:v>237.53927367903748</c:v>
                </c:pt>
                <c:pt idx="92">
                  <c:v>232.91244736955625</c:v>
                </c:pt>
                <c:pt idx="93">
                  <c:v>235.82095450781156</c:v>
                </c:pt>
                <c:pt idx="94">
                  <c:v>229.75504578006365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8474-FA46-A0A9-E06E8EA2867F}"/>
            </c:ext>
          </c:extLst>
        </c:ser>
        <c:ser>
          <c:idx val="89"/>
          <c:order val="89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'Q6'!$E$91:$CU$91</c:f>
              <c:numCache>
                <c:formatCode>General</c:formatCode>
                <c:ptCount val="95"/>
                <c:pt idx="0">
                  <c:v>222.13</c:v>
                </c:pt>
                <c:pt idx="1">
                  <c:v>218.97929452425657</c:v>
                </c:pt>
                <c:pt idx="2">
                  <c:v>214.28740012368405</c:v>
                </c:pt>
                <c:pt idx="3">
                  <c:v>207.48014244244902</c:v>
                </c:pt>
                <c:pt idx="4">
                  <c:v>206.89293627893662</c:v>
                </c:pt>
                <c:pt idx="5">
                  <c:v>209.80729227137593</c:v>
                </c:pt>
                <c:pt idx="6">
                  <c:v>213.78468943687702</c:v>
                </c:pt>
                <c:pt idx="7">
                  <c:v>223.3834772622051</c:v>
                </c:pt>
                <c:pt idx="8">
                  <c:v>218.02785529478371</c:v>
                </c:pt>
                <c:pt idx="9">
                  <c:v>216.09989798743175</c:v>
                </c:pt>
                <c:pt idx="10">
                  <c:v>214.36464164767264</c:v>
                </c:pt>
                <c:pt idx="11">
                  <c:v>218.92942933798193</c:v>
                </c:pt>
                <c:pt idx="12">
                  <c:v>216.87832247120696</c:v>
                </c:pt>
                <c:pt idx="13">
                  <c:v>218.50612441111903</c:v>
                </c:pt>
                <c:pt idx="14">
                  <c:v>218.39736707045569</c:v>
                </c:pt>
                <c:pt idx="15">
                  <c:v>217.15327524704193</c:v>
                </c:pt>
                <c:pt idx="16">
                  <c:v>216.3388642842842</c:v>
                </c:pt>
                <c:pt idx="17">
                  <c:v>217.95299424147385</c:v>
                </c:pt>
                <c:pt idx="18">
                  <c:v>217.33757274099813</c:v>
                </c:pt>
                <c:pt idx="19">
                  <c:v>218.10335731968945</c:v>
                </c:pt>
                <c:pt idx="20">
                  <c:v>215.20700777704195</c:v>
                </c:pt>
                <c:pt idx="21">
                  <c:v>212.75389581456525</c:v>
                </c:pt>
                <c:pt idx="22">
                  <c:v>213.9775324060804</c:v>
                </c:pt>
                <c:pt idx="23">
                  <c:v>220.88685797548783</c:v>
                </c:pt>
                <c:pt idx="24">
                  <c:v>224.99806885522653</c:v>
                </c:pt>
                <c:pt idx="25">
                  <c:v>212.54230855906718</c:v>
                </c:pt>
                <c:pt idx="26">
                  <c:v>216.20837264142966</c:v>
                </c:pt>
                <c:pt idx="27">
                  <c:v>208.47417931659967</c:v>
                </c:pt>
                <c:pt idx="28">
                  <c:v>215.73840192673939</c:v>
                </c:pt>
                <c:pt idx="29">
                  <c:v>210.1893203043991</c:v>
                </c:pt>
                <c:pt idx="30">
                  <c:v>215.49673125737678</c:v>
                </c:pt>
                <c:pt idx="31">
                  <c:v>219.81609855933368</c:v>
                </c:pt>
                <c:pt idx="32">
                  <c:v>222.11939500248522</c:v>
                </c:pt>
                <c:pt idx="33">
                  <c:v>219.12177204412504</c:v>
                </c:pt>
                <c:pt idx="34">
                  <c:v>217.55490578056651</c:v>
                </c:pt>
                <c:pt idx="35">
                  <c:v>214.31881622134023</c:v>
                </c:pt>
                <c:pt idx="36">
                  <c:v>214.91979455555767</c:v>
                </c:pt>
                <c:pt idx="37">
                  <c:v>213.01606523461868</c:v>
                </c:pt>
                <c:pt idx="38">
                  <c:v>213.36409218330894</c:v>
                </c:pt>
                <c:pt idx="39">
                  <c:v>214.69524598619122</c:v>
                </c:pt>
                <c:pt idx="40">
                  <c:v>217.99608505720315</c:v>
                </c:pt>
                <c:pt idx="41">
                  <c:v>216.56057479136697</c:v>
                </c:pt>
                <c:pt idx="42">
                  <c:v>208.25210762871293</c:v>
                </c:pt>
                <c:pt idx="43">
                  <c:v>213.66950809513435</c:v>
                </c:pt>
                <c:pt idx="44">
                  <c:v>205.64035670016042</c:v>
                </c:pt>
                <c:pt idx="45">
                  <c:v>203.74897781562731</c:v>
                </c:pt>
                <c:pt idx="46">
                  <c:v>203.20873179113957</c:v>
                </c:pt>
                <c:pt idx="47">
                  <c:v>213.65675500454049</c:v>
                </c:pt>
                <c:pt idx="48">
                  <c:v>208.85418341460968</c:v>
                </c:pt>
                <c:pt idx="49">
                  <c:v>212.35084435915627</c:v>
                </c:pt>
                <c:pt idx="50">
                  <c:v>209.11510460185661</c:v>
                </c:pt>
                <c:pt idx="51">
                  <c:v>201.87692411530668</c:v>
                </c:pt>
                <c:pt idx="52">
                  <c:v>203.60434110755943</c:v>
                </c:pt>
                <c:pt idx="53">
                  <c:v>198.25750505682169</c:v>
                </c:pt>
                <c:pt idx="54">
                  <c:v>195.88002370826931</c:v>
                </c:pt>
                <c:pt idx="55">
                  <c:v>208.91812615177227</c:v>
                </c:pt>
                <c:pt idx="56">
                  <c:v>207.30900878282515</c:v>
                </c:pt>
                <c:pt idx="57">
                  <c:v>207.0188134364397</c:v>
                </c:pt>
                <c:pt idx="58">
                  <c:v>214.26587088694436</c:v>
                </c:pt>
                <c:pt idx="59">
                  <c:v>212.47171821309908</c:v>
                </c:pt>
                <c:pt idx="60">
                  <c:v>212.57745285047133</c:v>
                </c:pt>
                <c:pt idx="61">
                  <c:v>222.08032917032597</c:v>
                </c:pt>
                <c:pt idx="62">
                  <c:v>228.47484526042865</c:v>
                </c:pt>
                <c:pt idx="63">
                  <c:v>225.86201187730359</c:v>
                </c:pt>
                <c:pt idx="64">
                  <c:v>214.84280365894256</c:v>
                </c:pt>
                <c:pt idx="65">
                  <c:v>216.17842611027316</c:v>
                </c:pt>
                <c:pt idx="66">
                  <c:v>212.95496802629714</c:v>
                </c:pt>
                <c:pt idx="67">
                  <c:v>218.3081480326646</c:v>
                </c:pt>
                <c:pt idx="68">
                  <c:v>220.91514841772278</c:v>
                </c:pt>
                <c:pt idx="69">
                  <c:v>215.00548089406226</c:v>
                </c:pt>
                <c:pt idx="70">
                  <c:v>211.82660675429867</c:v>
                </c:pt>
                <c:pt idx="71">
                  <c:v>217.76560605711316</c:v>
                </c:pt>
                <c:pt idx="72">
                  <c:v>232.91906206964367</c:v>
                </c:pt>
                <c:pt idx="73">
                  <c:v>232.3540454251675</c:v>
                </c:pt>
                <c:pt idx="74">
                  <c:v>228.27777475940417</c:v>
                </c:pt>
                <c:pt idx="75">
                  <c:v>225.00059570250659</c:v>
                </c:pt>
                <c:pt idx="76">
                  <c:v>229.41463875400706</c:v>
                </c:pt>
                <c:pt idx="77">
                  <c:v>231.277853809139</c:v>
                </c:pt>
                <c:pt idx="78">
                  <c:v>232.722185662942</c:v>
                </c:pt>
                <c:pt idx="79">
                  <c:v>224.39363434270848</c:v>
                </c:pt>
                <c:pt idx="80">
                  <c:v>221.37937914235175</c:v>
                </c:pt>
                <c:pt idx="81">
                  <c:v>218.79650958176077</c:v>
                </c:pt>
                <c:pt idx="82">
                  <c:v>211.26573659712736</c:v>
                </c:pt>
                <c:pt idx="83">
                  <c:v>207.84563245531757</c:v>
                </c:pt>
                <c:pt idx="84">
                  <c:v>209.89190861546004</c:v>
                </c:pt>
                <c:pt idx="85">
                  <c:v>207.55845103020502</c:v>
                </c:pt>
                <c:pt idx="86">
                  <c:v>212.49521566107757</c:v>
                </c:pt>
                <c:pt idx="87">
                  <c:v>210.44901453697972</c:v>
                </c:pt>
                <c:pt idx="88">
                  <c:v>204.26662907299004</c:v>
                </c:pt>
                <c:pt idx="89">
                  <c:v>200.09093652869936</c:v>
                </c:pt>
                <c:pt idx="90">
                  <c:v>203.4483221572649</c:v>
                </c:pt>
                <c:pt idx="91">
                  <c:v>200.52112567978068</c:v>
                </c:pt>
                <c:pt idx="92">
                  <c:v>202.58859093361926</c:v>
                </c:pt>
                <c:pt idx="93">
                  <c:v>205.37048090025411</c:v>
                </c:pt>
                <c:pt idx="94">
                  <c:v>203.9025930175803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8474-FA46-A0A9-E06E8EA2867F}"/>
            </c:ext>
          </c:extLst>
        </c:ser>
        <c:ser>
          <c:idx val="90"/>
          <c:order val="90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'Q6'!$E$92:$CU$92</c:f>
              <c:numCache>
                <c:formatCode>General</c:formatCode>
                <c:ptCount val="95"/>
                <c:pt idx="0">
                  <c:v>222.13</c:v>
                </c:pt>
                <c:pt idx="1">
                  <c:v>221.46386008196205</c:v>
                </c:pt>
                <c:pt idx="2">
                  <c:v>215.78997011329378</c:v>
                </c:pt>
                <c:pt idx="3">
                  <c:v>212.69748368827476</c:v>
                </c:pt>
                <c:pt idx="4">
                  <c:v>208.38431590136125</c:v>
                </c:pt>
                <c:pt idx="5">
                  <c:v>205.70037737227662</c:v>
                </c:pt>
                <c:pt idx="6">
                  <c:v>206.23720063455193</c:v>
                </c:pt>
                <c:pt idx="7">
                  <c:v>204.76423295678723</c:v>
                </c:pt>
                <c:pt idx="8">
                  <c:v>207.5280953836525</c:v>
                </c:pt>
                <c:pt idx="9">
                  <c:v>209.18987965273573</c:v>
                </c:pt>
                <c:pt idx="10">
                  <c:v>210.54136904422936</c:v>
                </c:pt>
                <c:pt idx="11">
                  <c:v>204.62996896545116</c:v>
                </c:pt>
                <c:pt idx="12">
                  <c:v>214.87171019887776</c:v>
                </c:pt>
                <c:pt idx="13">
                  <c:v>216.67305373783498</c:v>
                </c:pt>
                <c:pt idx="14">
                  <c:v>218.31245982812152</c:v>
                </c:pt>
                <c:pt idx="15">
                  <c:v>215.12624676013252</c:v>
                </c:pt>
                <c:pt idx="16">
                  <c:v>204.67986160177924</c:v>
                </c:pt>
                <c:pt idx="17">
                  <c:v>204.94854600207023</c:v>
                </c:pt>
                <c:pt idx="18">
                  <c:v>206.50564015659634</c:v>
                </c:pt>
                <c:pt idx="19">
                  <c:v>198.27486173281551</c:v>
                </c:pt>
                <c:pt idx="20">
                  <c:v>197.39189337400791</c:v>
                </c:pt>
                <c:pt idx="21">
                  <c:v>197.28935287787334</c:v>
                </c:pt>
                <c:pt idx="22">
                  <c:v>198.34741072051983</c:v>
                </c:pt>
                <c:pt idx="23">
                  <c:v>199.29084158447671</c:v>
                </c:pt>
                <c:pt idx="24">
                  <c:v>194.78274185498489</c:v>
                </c:pt>
                <c:pt idx="25">
                  <c:v>198.96366015856793</c:v>
                </c:pt>
                <c:pt idx="26">
                  <c:v>198.32267510231401</c:v>
                </c:pt>
                <c:pt idx="27">
                  <c:v>192.21619747167674</c:v>
                </c:pt>
                <c:pt idx="28">
                  <c:v>197.43778550788366</c:v>
                </c:pt>
                <c:pt idx="29">
                  <c:v>193.3587076600179</c:v>
                </c:pt>
                <c:pt idx="30">
                  <c:v>200.05133098533435</c:v>
                </c:pt>
                <c:pt idx="31">
                  <c:v>194.43567000827076</c:v>
                </c:pt>
                <c:pt idx="32">
                  <c:v>190.74332510244324</c:v>
                </c:pt>
                <c:pt idx="33">
                  <c:v>190.15782044521413</c:v>
                </c:pt>
                <c:pt idx="34">
                  <c:v>187.77539788144847</c:v>
                </c:pt>
                <c:pt idx="35">
                  <c:v>186.90912175751299</c:v>
                </c:pt>
                <c:pt idx="36">
                  <c:v>190.13854251553619</c:v>
                </c:pt>
                <c:pt idx="37">
                  <c:v>193.55632168778831</c:v>
                </c:pt>
                <c:pt idx="38">
                  <c:v>192.40646336864842</c:v>
                </c:pt>
                <c:pt idx="39">
                  <c:v>192.35129407052148</c:v>
                </c:pt>
                <c:pt idx="40">
                  <c:v>188.99535614111707</c:v>
                </c:pt>
                <c:pt idx="41">
                  <c:v>191.4022481219138</c:v>
                </c:pt>
                <c:pt idx="42">
                  <c:v>187.75222584062536</c:v>
                </c:pt>
                <c:pt idx="43">
                  <c:v>190.14387623623958</c:v>
                </c:pt>
                <c:pt idx="44">
                  <c:v>192.86419762922912</c:v>
                </c:pt>
                <c:pt idx="45">
                  <c:v>194.22648909002538</c:v>
                </c:pt>
                <c:pt idx="46">
                  <c:v>188.51146109157312</c:v>
                </c:pt>
                <c:pt idx="47">
                  <c:v>191.85712429103756</c:v>
                </c:pt>
                <c:pt idx="48">
                  <c:v>196.05702733857393</c:v>
                </c:pt>
                <c:pt idx="49">
                  <c:v>194.95562109529502</c:v>
                </c:pt>
                <c:pt idx="50">
                  <c:v>194.95267146712388</c:v>
                </c:pt>
                <c:pt idx="51">
                  <c:v>189.1068953066443</c:v>
                </c:pt>
                <c:pt idx="52">
                  <c:v>189.62090979974076</c:v>
                </c:pt>
                <c:pt idx="53">
                  <c:v>186.61285599183111</c:v>
                </c:pt>
                <c:pt idx="54">
                  <c:v>191.54102236481646</c:v>
                </c:pt>
                <c:pt idx="55">
                  <c:v>191.37125691812039</c:v>
                </c:pt>
                <c:pt idx="56">
                  <c:v>191.84390162318809</c:v>
                </c:pt>
                <c:pt idx="57">
                  <c:v>195.36781497826431</c:v>
                </c:pt>
                <c:pt idx="58">
                  <c:v>195.43195409481982</c:v>
                </c:pt>
                <c:pt idx="59">
                  <c:v>204.88843119537935</c:v>
                </c:pt>
                <c:pt idx="60">
                  <c:v>201.62330010277853</c:v>
                </c:pt>
                <c:pt idx="61">
                  <c:v>204.37146627991817</c:v>
                </c:pt>
                <c:pt idx="62">
                  <c:v>203.9743436226459</c:v>
                </c:pt>
                <c:pt idx="63">
                  <c:v>202.75963791063427</c:v>
                </c:pt>
                <c:pt idx="64">
                  <c:v>200.21479485072209</c:v>
                </c:pt>
                <c:pt idx="65">
                  <c:v>207.26463143018259</c:v>
                </c:pt>
                <c:pt idx="66">
                  <c:v>212.1122293052675</c:v>
                </c:pt>
                <c:pt idx="67">
                  <c:v>217.35240111423144</c:v>
                </c:pt>
                <c:pt idx="68">
                  <c:v>214.82493423175501</c:v>
                </c:pt>
                <c:pt idx="69">
                  <c:v>225.49308946719134</c:v>
                </c:pt>
                <c:pt idx="70">
                  <c:v>219.97615181097908</c:v>
                </c:pt>
                <c:pt idx="71">
                  <c:v>214.15186326643465</c:v>
                </c:pt>
                <c:pt idx="72">
                  <c:v>207.48517102655902</c:v>
                </c:pt>
                <c:pt idx="73">
                  <c:v>206.87838658095069</c:v>
                </c:pt>
                <c:pt idx="74">
                  <c:v>199.74617341564937</c:v>
                </c:pt>
                <c:pt idx="75">
                  <c:v>197.96510506535557</c:v>
                </c:pt>
                <c:pt idx="76">
                  <c:v>200.89532349404516</c:v>
                </c:pt>
                <c:pt idx="77">
                  <c:v>194.00658285107033</c:v>
                </c:pt>
                <c:pt idx="78">
                  <c:v>193.90773044485124</c:v>
                </c:pt>
                <c:pt idx="79">
                  <c:v>199.08495674985699</c:v>
                </c:pt>
                <c:pt idx="80">
                  <c:v>203.19813524135137</c:v>
                </c:pt>
                <c:pt idx="81">
                  <c:v>203.58254594328147</c:v>
                </c:pt>
                <c:pt idx="82">
                  <c:v>207.76585849081326</c:v>
                </c:pt>
                <c:pt idx="83">
                  <c:v>218.53151252606997</c:v>
                </c:pt>
                <c:pt idx="84">
                  <c:v>223.65583738379598</c:v>
                </c:pt>
                <c:pt idx="85">
                  <c:v>225.06562184086698</c:v>
                </c:pt>
                <c:pt idx="86">
                  <c:v>219.5258324841825</c:v>
                </c:pt>
                <c:pt idx="87">
                  <c:v>217.14501066944698</c:v>
                </c:pt>
                <c:pt idx="88">
                  <c:v>222.25001338159947</c:v>
                </c:pt>
                <c:pt idx="89">
                  <c:v>219.83521977183372</c:v>
                </c:pt>
                <c:pt idx="90">
                  <c:v>225.10871706570538</c:v>
                </c:pt>
                <c:pt idx="91">
                  <c:v>227.17554663865931</c:v>
                </c:pt>
                <c:pt idx="92">
                  <c:v>227.10083841943501</c:v>
                </c:pt>
                <c:pt idx="93">
                  <c:v>233.28329641811771</c:v>
                </c:pt>
                <c:pt idx="94">
                  <c:v>233.1304661496448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8474-FA46-A0A9-E06E8EA2867F}"/>
            </c:ext>
          </c:extLst>
        </c:ser>
        <c:ser>
          <c:idx val="91"/>
          <c:order val="91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'Q6'!$E$93:$CU$93</c:f>
              <c:numCache>
                <c:formatCode>General</c:formatCode>
                <c:ptCount val="95"/>
                <c:pt idx="0">
                  <c:v>222.13</c:v>
                </c:pt>
                <c:pt idx="1">
                  <c:v>223.24690706915226</c:v>
                </c:pt>
                <c:pt idx="2">
                  <c:v>237.56578797293187</c:v>
                </c:pt>
                <c:pt idx="3">
                  <c:v>236.66320229462531</c:v>
                </c:pt>
                <c:pt idx="4">
                  <c:v>247.28920167554048</c:v>
                </c:pt>
                <c:pt idx="5">
                  <c:v>255.12139512955488</c:v>
                </c:pt>
                <c:pt idx="6">
                  <c:v>256.42099020588671</c:v>
                </c:pt>
                <c:pt idx="7">
                  <c:v>263.0704361931206</c:v>
                </c:pt>
                <c:pt idx="8">
                  <c:v>257.69704056253863</c:v>
                </c:pt>
                <c:pt idx="9">
                  <c:v>251.15935512999658</c:v>
                </c:pt>
                <c:pt idx="10">
                  <c:v>251.99714089411253</c:v>
                </c:pt>
                <c:pt idx="11">
                  <c:v>247.87071130279574</c:v>
                </c:pt>
                <c:pt idx="12">
                  <c:v>246.37935457905922</c:v>
                </c:pt>
                <c:pt idx="13">
                  <c:v>239.69060661326694</c:v>
                </c:pt>
                <c:pt idx="14">
                  <c:v>245.99826874361844</c:v>
                </c:pt>
                <c:pt idx="15">
                  <c:v>246.95346951756352</c:v>
                </c:pt>
                <c:pt idx="16">
                  <c:v>248.12141677943859</c:v>
                </c:pt>
                <c:pt idx="17">
                  <c:v>248.11112051950812</c:v>
                </c:pt>
                <c:pt idx="18">
                  <c:v>256.11793759083253</c:v>
                </c:pt>
                <c:pt idx="19">
                  <c:v>258.98899654043686</c:v>
                </c:pt>
                <c:pt idx="20">
                  <c:v>257.685165196056</c:v>
                </c:pt>
                <c:pt idx="21">
                  <c:v>262.19870436898537</c:v>
                </c:pt>
                <c:pt idx="22">
                  <c:v>262.60179899758248</c:v>
                </c:pt>
                <c:pt idx="23">
                  <c:v>264.54995546235506</c:v>
                </c:pt>
                <c:pt idx="24">
                  <c:v>265.7111711881891</c:v>
                </c:pt>
                <c:pt idx="25">
                  <c:v>262.90803720156873</c:v>
                </c:pt>
                <c:pt idx="26">
                  <c:v>270.66924030641195</c:v>
                </c:pt>
                <c:pt idx="27">
                  <c:v>271.32150895213266</c:v>
                </c:pt>
                <c:pt idx="28">
                  <c:v>270.49524839986907</c:v>
                </c:pt>
                <c:pt idx="29">
                  <c:v>273.87733627908716</c:v>
                </c:pt>
                <c:pt idx="30">
                  <c:v>273.60025944808524</c:v>
                </c:pt>
                <c:pt idx="31">
                  <c:v>275.18268671925159</c:v>
                </c:pt>
                <c:pt idx="32">
                  <c:v>269.54995568109371</c:v>
                </c:pt>
                <c:pt idx="33">
                  <c:v>272.81059911813054</c:v>
                </c:pt>
                <c:pt idx="34">
                  <c:v>277.97449351580326</c:v>
                </c:pt>
                <c:pt idx="35">
                  <c:v>275.70665479999406</c:v>
                </c:pt>
                <c:pt idx="36">
                  <c:v>285.2947368534717</c:v>
                </c:pt>
                <c:pt idx="37">
                  <c:v>288.78888351148589</c:v>
                </c:pt>
                <c:pt idx="38">
                  <c:v>296.7958821912024</c:v>
                </c:pt>
                <c:pt idx="39">
                  <c:v>316.2206560678714</c:v>
                </c:pt>
                <c:pt idx="40">
                  <c:v>313.1875844816289</c:v>
                </c:pt>
                <c:pt idx="41">
                  <c:v>305.95198941653996</c:v>
                </c:pt>
                <c:pt idx="42">
                  <c:v>320.06771032211498</c:v>
                </c:pt>
                <c:pt idx="43">
                  <c:v>319.46343389342559</c:v>
                </c:pt>
                <c:pt idx="44">
                  <c:v>330.35351268493901</c:v>
                </c:pt>
                <c:pt idx="45">
                  <c:v>332.50587123219674</c:v>
                </c:pt>
                <c:pt idx="46">
                  <c:v>327.71255007074939</c:v>
                </c:pt>
                <c:pt idx="47">
                  <c:v>322.26509740233934</c:v>
                </c:pt>
                <c:pt idx="48">
                  <c:v>322.76571640571666</c:v>
                </c:pt>
                <c:pt idx="49">
                  <c:v>325.4657278610465</c:v>
                </c:pt>
                <c:pt idx="50">
                  <c:v>328.51203002352702</c:v>
                </c:pt>
                <c:pt idx="51">
                  <c:v>338.75671028012744</c:v>
                </c:pt>
                <c:pt idx="52">
                  <c:v>338.67774717896998</c:v>
                </c:pt>
                <c:pt idx="53">
                  <c:v>321.53286829962565</c:v>
                </c:pt>
                <c:pt idx="54">
                  <c:v>328.03501312742929</c:v>
                </c:pt>
                <c:pt idx="55">
                  <c:v>318.90407215021173</c:v>
                </c:pt>
                <c:pt idx="56">
                  <c:v>317.20860262914562</c:v>
                </c:pt>
                <c:pt idx="57">
                  <c:v>316.11164049360889</c:v>
                </c:pt>
                <c:pt idx="58">
                  <c:v>308.50126269173563</c:v>
                </c:pt>
                <c:pt idx="59">
                  <c:v>304.58949796254046</c:v>
                </c:pt>
                <c:pt idx="60">
                  <c:v>302.20090401250008</c:v>
                </c:pt>
                <c:pt idx="61">
                  <c:v>307.20432045316136</c:v>
                </c:pt>
                <c:pt idx="62">
                  <c:v>302.55073849658493</c:v>
                </c:pt>
                <c:pt idx="63">
                  <c:v>292.51726868751433</c:v>
                </c:pt>
                <c:pt idx="64">
                  <c:v>302.04530205848221</c:v>
                </c:pt>
                <c:pt idx="65">
                  <c:v>305.99153283851103</c:v>
                </c:pt>
                <c:pt idx="66">
                  <c:v>311.62708310853543</c:v>
                </c:pt>
                <c:pt idx="67">
                  <c:v>302.38664261986611</c:v>
                </c:pt>
                <c:pt idx="68">
                  <c:v>302.33784340663698</c:v>
                </c:pt>
                <c:pt idx="69">
                  <c:v>286.83120203777412</c:v>
                </c:pt>
                <c:pt idx="70">
                  <c:v>288.34998747935924</c:v>
                </c:pt>
                <c:pt idx="71">
                  <c:v>280.86880194890534</c:v>
                </c:pt>
                <c:pt idx="72">
                  <c:v>288.49828155177926</c:v>
                </c:pt>
                <c:pt idx="73">
                  <c:v>305.51867193744454</c:v>
                </c:pt>
                <c:pt idx="74">
                  <c:v>298.84441721026411</c:v>
                </c:pt>
                <c:pt idx="75">
                  <c:v>317.71485534654988</c:v>
                </c:pt>
                <c:pt idx="76">
                  <c:v>320.98386582329198</c:v>
                </c:pt>
                <c:pt idx="77">
                  <c:v>331.51971490520117</c:v>
                </c:pt>
                <c:pt idx="78">
                  <c:v>329.56057860794391</c:v>
                </c:pt>
                <c:pt idx="79">
                  <c:v>338.73561234804964</c:v>
                </c:pt>
                <c:pt idx="80">
                  <c:v>343.38760169593587</c:v>
                </c:pt>
                <c:pt idx="81">
                  <c:v>348.89998127328846</c:v>
                </c:pt>
                <c:pt idx="82">
                  <c:v>354.19818487927756</c:v>
                </c:pt>
                <c:pt idx="83">
                  <c:v>350.41660506199077</c:v>
                </c:pt>
                <c:pt idx="84">
                  <c:v>348.77945376870446</c:v>
                </c:pt>
                <c:pt idx="85">
                  <c:v>346.13574820819173</c:v>
                </c:pt>
                <c:pt idx="86">
                  <c:v>355.00008634254601</c:v>
                </c:pt>
                <c:pt idx="87">
                  <c:v>340.8945440890447</c:v>
                </c:pt>
                <c:pt idx="88">
                  <c:v>343.23703731883057</c:v>
                </c:pt>
                <c:pt idx="89">
                  <c:v>355.25839424373021</c:v>
                </c:pt>
                <c:pt idx="90">
                  <c:v>361.04088478617695</c:v>
                </c:pt>
                <c:pt idx="91">
                  <c:v>365.48419468154395</c:v>
                </c:pt>
                <c:pt idx="92">
                  <c:v>370.45702497890181</c:v>
                </c:pt>
                <c:pt idx="93">
                  <c:v>373.47513472495604</c:v>
                </c:pt>
                <c:pt idx="94">
                  <c:v>370.42901579371892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8474-FA46-A0A9-E06E8EA2867F}"/>
            </c:ext>
          </c:extLst>
        </c:ser>
        <c:ser>
          <c:idx val="92"/>
          <c:order val="92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'Q6'!$E$94:$CU$94</c:f>
              <c:numCache>
                <c:formatCode>General</c:formatCode>
                <c:ptCount val="95"/>
                <c:pt idx="0">
                  <c:v>222.13</c:v>
                </c:pt>
                <c:pt idx="1">
                  <c:v>221.75128974801362</c:v>
                </c:pt>
                <c:pt idx="2">
                  <c:v>227.1377639337652</c:v>
                </c:pt>
                <c:pt idx="3">
                  <c:v>219.10289234452924</c:v>
                </c:pt>
                <c:pt idx="4">
                  <c:v>216.25600647175634</c:v>
                </c:pt>
                <c:pt idx="5">
                  <c:v>217.42305325438406</c:v>
                </c:pt>
                <c:pt idx="6">
                  <c:v>222.24282921631385</c:v>
                </c:pt>
                <c:pt idx="7">
                  <c:v>213.16796049684461</c:v>
                </c:pt>
                <c:pt idx="8">
                  <c:v>217.26623409421634</c:v>
                </c:pt>
                <c:pt idx="9">
                  <c:v>222.98100090009441</c:v>
                </c:pt>
                <c:pt idx="10">
                  <c:v>226.39654649315602</c:v>
                </c:pt>
                <c:pt idx="11">
                  <c:v>229.73848677595456</c:v>
                </c:pt>
                <c:pt idx="12">
                  <c:v>227.49370728322546</c:v>
                </c:pt>
                <c:pt idx="13">
                  <c:v>223.31481274313788</c:v>
                </c:pt>
                <c:pt idx="14">
                  <c:v>228.95988534569096</c:v>
                </c:pt>
                <c:pt idx="15">
                  <c:v>232.06802642551148</c:v>
                </c:pt>
                <c:pt idx="16">
                  <c:v>236.8429123471621</c:v>
                </c:pt>
                <c:pt idx="17">
                  <c:v>232.23824036758788</c:v>
                </c:pt>
                <c:pt idx="18">
                  <c:v>240.42602676972052</c:v>
                </c:pt>
                <c:pt idx="19">
                  <c:v>239.82626714507873</c:v>
                </c:pt>
                <c:pt idx="20">
                  <c:v>243.75483442488934</c:v>
                </c:pt>
                <c:pt idx="21">
                  <c:v>233.93628201274603</c:v>
                </c:pt>
                <c:pt idx="22">
                  <c:v>232.70580941915583</c:v>
                </c:pt>
                <c:pt idx="23">
                  <c:v>220.28834487124359</c:v>
                </c:pt>
                <c:pt idx="24">
                  <c:v>219.51099983795166</c:v>
                </c:pt>
                <c:pt idx="25">
                  <c:v>216.03530684449788</c:v>
                </c:pt>
                <c:pt idx="26">
                  <c:v>210.22625081671919</c:v>
                </c:pt>
                <c:pt idx="27">
                  <c:v>214.61125656126677</c:v>
                </c:pt>
                <c:pt idx="28">
                  <c:v>212.75598564603067</c:v>
                </c:pt>
                <c:pt idx="29">
                  <c:v>209.33771741003869</c:v>
                </c:pt>
                <c:pt idx="30">
                  <c:v>207.10350752559037</c:v>
                </c:pt>
                <c:pt idx="31">
                  <c:v>205.85461913960464</c:v>
                </c:pt>
                <c:pt idx="32">
                  <c:v>206.73143759474593</c:v>
                </c:pt>
                <c:pt idx="33">
                  <c:v>205.62424634464568</c:v>
                </c:pt>
                <c:pt idx="34">
                  <c:v>206.67994544596536</c:v>
                </c:pt>
                <c:pt idx="35">
                  <c:v>204.74280579903001</c:v>
                </c:pt>
                <c:pt idx="36">
                  <c:v>196.39772513563008</c:v>
                </c:pt>
                <c:pt idx="37">
                  <c:v>205.8017274689978</c:v>
                </c:pt>
                <c:pt idx="38">
                  <c:v>205.15791761470695</c:v>
                </c:pt>
                <c:pt idx="39">
                  <c:v>204.04758036354582</c:v>
                </c:pt>
                <c:pt idx="40">
                  <c:v>207.39733528581272</c:v>
                </c:pt>
                <c:pt idx="41">
                  <c:v>204.1655406209338</c:v>
                </c:pt>
                <c:pt idx="42">
                  <c:v>204.24565568756492</c:v>
                </c:pt>
                <c:pt idx="43">
                  <c:v>199.14979630449113</c:v>
                </c:pt>
                <c:pt idx="44">
                  <c:v>187.57909448290678</c:v>
                </c:pt>
                <c:pt idx="45">
                  <c:v>181.4669351770269</c:v>
                </c:pt>
                <c:pt idx="46">
                  <c:v>178.5674399607687</c:v>
                </c:pt>
                <c:pt idx="47">
                  <c:v>177.24211529482722</c:v>
                </c:pt>
                <c:pt idx="48">
                  <c:v>183.19075937790268</c:v>
                </c:pt>
                <c:pt idx="49">
                  <c:v>183.46720254719324</c:v>
                </c:pt>
                <c:pt idx="50">
                  <c:v>186.75035042024359</c:v>
                </c:pt>
                <c:pt idx="51">
                  <c:v>191.14646455357772</c:v>
                </c:pt>
                <c:pt idx="52">
                  <c:v>185.32988226864987</c:v>
                </c:pt>
                <c:pt idx="53">
                  <c:v>179.6294180649686</c:v>
                </c:pt>
                <c:pt idx="54">
                  <c:v>176.98237185018331</c:v>
                </c:pt>
                <c:pt idx="55">
                  <c:v>176.11924048108239</c:v>
                </c:pt>
                <c:pt idx="56">
                  <c:v>180.22287603728228</c:v>
                </c:pt>
                <c:pt idx="57">
                  <c:v>182.06447356008721</c:v>
                </c:pt>
                <c:pt idx="58">
                  <c:v>190.42983421756244</c:v>
                </c:pt>
                <c:pt idx="59">
                  <c:v>190.95943340772007</c:v>
                </c:pt>
                <c:pt idx="60">
                  <c:v>190.9253080694024</c:v>
                </c:pt>
                <c:pt idx="61">
                  <c:v>183.3596601149724</c:v>
                </c:pt>
                <c:pt idx="62">
                  <c:v>186.37446876282985</c:v>
                </c:pt>
                <c:pt idx="63">
                  <c:v>179.31109717911832</c:v>
                </c:pt>
                <c:pt idx="64">
                  <c:v>176.36751445038078</c:v>
                </c:pt>
                <c:pt idx="65">
                  <c:v>174.80505885397039</c:v>
                </c:pt>
                <c:pt idx="66">
                  <c:v>179.95961493853548</c:v>
                </c:pt>
                <c:pt idx="67">
                  <c:v>173.73966483091459</c:v>
                </c:pt>
                <c:pt idx="68">
                  <c:v>177.40128097655153</c:v>
                </c:pt>
                <c:pt idx="69">
                  <c:v>170.45874563920918</c:v>
                </c:pt>
                <c:pt idx="70">
                  <c:v>164.49945940264598</c:v>
                </c:pt>
                <c:pt idx="71">
                  <c:v>167.53517581615657</c:v>
                </c:pt>
                <c:pt idx="72">
                  <c:v>167.9545187377056</c:v>
                </c:pt>
                <c:pt idx="73">
                  <c:v>171.97607606853015</c:v>
                </c:pt>
                <c:pt idx="74">
                  <c:v>172.29744782106704</c:v>
                </c:pt>
                <c:pt idx="75">
                  <c:v>173.44107864851992</c:v>
                </c:pt>
                <c:pt idx="76">
                  <c:v>180.29075383189752</c:v>
                </c:pt>
                <c:pt idx="77">
                  <c:v>183.10962966835757</c:v>
                </c:pt>
                <c:pt idx="78">
                  <c:v>187.4928226371355</c:v>
                </c:pt>
                <c:pt idx="79">
                  <c:v>184.19767149089481</c:v>
                </c:pt>
                <c:pt idx="80">
                  <c:v>192.7474926592771</c:v>
                </c:pt>
                <c:pt idx="81">
                  <c:v>192.59667922273408</c:v>
                </c:pt>
                <c:pt idx="82">
                  <c:v>196.05063320610773</c:v>
                </c:pt>
                <c:pt idx="83">
                  <c:v>203.21266411361694</c:v>
                </c:pt>
                <c:pt idx="84">
                  <c:v>206.82600836250904</c:v>
                </c:pt>
                <c:pt idx="85">
                  <c:v>201.93523004679759</c:v>
                </c:pt>
                <c:pt idx="86">
                  <c:v>204.86495019734554</c:v>
                </c:pt>
                <c:pt idx="87">
                  <c:v>203.49939072786202</c:v>
                </c:pt>
                <c:pt idx="88">
                  <c:v>204.02588974606209</c:v>
                </c:pt>
                <c:pt idx="89">
                  <c:v>209.09425707912851</c:v>
                </c:pt>
                <c:pt idx="90">
                  <c:v>203.84266753716122</c:v>
                </c:pt>
                <c:pt idx="91">
                  <c:v>209.92920947439214</c:v>
                </c:pt>
                <c:pt idx="92">
                  <c:v>212.3057768593651</c:v>
                </c:pt>
                <c:pt idx="93">
                  <c:v>220.623431005138</c:v>
                </c:pt>
                <c:pt idx="94">
                  <c:v>215.56096783010122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8474-FA46-A0A9-E06E8EA2867F}"/>
            </c:ext>
          </c:extLst>
        </c:ser>
        <c:ser>
          <c:idx val="93"/>
          <c:order val="93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'Q6'!$E$95:$CU$95</c:f>
              <c:numCache>
                <c:formatCode>General</c:formatCode>
                <c:ptCount val="95"/>
                <c:pt idx="0">
                  <c:v>222.13</c:v>
                </c:pt>
                <c:pt idx="1">
                  <c:v>223.22221926264615</c:v>
                </c:pt>
                <c:pt idx="2">
                  <c:v>225.50030598170991</c:v>
                </c:pt>
                <c:pt idx="3">
                  <c:v>235.45611514055742</c:v>
                </c:pt>
                <c:pt idx="4">
                  <c:v>243.25728419796954</c:v>
                </c:pt>
                <c:pt idx="5">
                  <c:v>252.16474060564087</c:v>
                </c:pt>
                <c:pt idx="6">
                  <c:v>248.15484678216697</c:v>
                </c:pt>
                <c:pt idx="7">
                  <c:v>240.26522541101804</c:v>
                </c:pt>
                <c:pt idx="8">
                  <c:v>232.79011952875553</c:v>
                </c:pt>
                <c:pt idx="9">
                  <c:v>229.90355724500967</c:v>
                </c:pt>
                <c:pt idx="10">
                  <c:v>237.23186239919806</c:v>
                </c:pt>
                <c:pt idx="11">
                  <c:v>235.45511215387461</c:v>
                </c:pt>
                <c:pt idx="12">
                  <c:v>232.17534282562204</c:v>
                </c:pt>
                <c:pt idx="13">
                  <c:v>228.83673056545274</c:v>
                </c:pt>
                <c:pt idx="14">
                  <c:v>234.64511221963355</c:v>
                </c:pt>
                <c:pt idx="15">
                  <c:v>235.15700203745138</c:v>
                </c:pt>
                <c:pt idx="16">
                  <c:v>229.08595844522253</c:v>
                </c:pt>
                <c:pt idx="17">
                  <c:v>232.3720108945748</c:v>
                </c:pt>
                <c:pt idx="18">
                  <c:v>228.97371401177026</c:v>
                </c:pt>
                <c:pt idx="19">
                  <c:v>231.48874326101028</c:v>
                </c:pt>
                <c:pt idx="20">
                  <c:v>233.28453597858575</c:v>
                </c:pt>
                <c:pt idx="21">
                  <c:v>230.82019809045192</c:v>
                </c:pt>
                <c:pt idx="22">
                  <c:v>228.23830861789097</c:v>
                </c:pt>
                <c:pt idx="23">
                  <c:v>227.10506022903508</c:v>
                </c:pt>
                <c:pt idx="24">
                  <c:v>222.47817374788045</c:v>
                </c:pt>
                <c:pt idx="25">
                  <c:v>214.54092545070563</c:v>
                </c:pt>
                <c:pt idx="26">
                  <c:v>211.72763323085317</c:v>
                </c:pt>
                <c:pt idx="27">
                  <c:v>207.86789805374897</c:v>
                </c:pt>
                <c:pt idx="28">
                  <c:v>209.30975135299292</c:v>
                </c:pt>
                <c:pt idx="29">
                  <c:v>194.38209389492101</c:v>
                </c:pt>
                <c:pt idx="30">
                  <c:v>191.38608296208307</c:v>
                </c:pt>
                <c:pt idx="31">
                  <c:v>194.58383017554459</c:v>
                </c:pt>
                <c:pt idx="32">
                  <c:v>194.82787732987029</c:v>
                </c:pt>
                <c:pt idx="33">
                  <c:v>199.27167165049019</c:v>
                </c:pt>
                <c:pt idx="34">
                  <c:v>200.83276742407895</c:v>
                </c:pt>
                <c:pt idx="35">
                  <c:v>202.65208621009549</c:v>
                </c:pt>
                <c:pt idx="36">
                  <c:v>200.79077763649823</c:v>
                </c:pt>
                <c:pt idx="37">
                  <c:v>198.07879211939348</c:v>
                </c:pt>
                <c:pt idx="38">
                  <c:v>205.19318541591363</c:v>
                </c:pt>
                <c:pt idx="39">
                  <c:v>204.08289061038079</c:v>
                </c:pt>
                <c:pt idx="40">
                  <c:v>186.49282720628889</c:v>
                </c:pt>
                <c:pt idx="41">
                  <c:v>176.21868318196493</c:v>
                </c:pt>
                <c:pt idx="42">
                  <c:v>177.7592076801435</c:v>
                </c:pt>
                <c:pt idx="43">
                  <c:v>175.60845282805067</c:v>
                </c:pt>
                <c:pt idx="44">
                  <c:v>172.16691619843667</c:v>
                </c:pt>
                <c:pt idx="45">
                  <c:v>172.8779667039814</c:v>
                </c:pt>
                <c:pt idx="46">
                  <c:v>167.71030863841898</c:v>
                </c:pt>
                <c:pt idx="47">
                  <c:v>165.34279424124082</c:v>
                </c:pt>
                <c:pt idx="48">
                  <c:v>171.47599143334642</c:v>
                </c:pt>
                <c:pt idx="49">
                  <c:v>174.03605757989723</c:v>
                </c:pt>
                <c:pt idx="50">
                  <c:v>166.73502359889028</c:v>
                </c:pt>
                <c:pt idx="51">
                  <c:v>160.03098539343742</c:v>
                </c:pt>
                <c:pt idx="52">
                  <c:v>157.69493996762873</c:v>
                </c:pt>
                <c:pt idx="53">
                  <c:v>157.26328056687686</c:v>
                </c:pt>
                <c:pt idx="54">
                  <c:v>154.56070403733921</c:v>
                </c:pt>
                <c:pt idx="55">
                  <c:v>160.86317113192624</c:v>
                </c:pt>
                <c:pt idx="56">
                  <c:v>157.7729198814896</c:v>
                </c:pt>
                <c:pt idx="57">
                  <c:v>155.43773306683121</c:v>
                </c:pt>
                <c:pt idx="58">
                  <c:v>156.93013289551496</c:v>
                </c:pt>
                <c:pt idx="59">
                  <c:v>157.17764450996506</c:v>
                </c:pt>
                <c:pt idx="60">
                  <c:v>160.72880808237443</c:v>
                </c:pt>
                <c:pt idx="61">
                  <c:v>161.40757839097722</c:v>
                </c:pt>
                <c:pt idx="62">
                  <c:v>165.4037198888029</c:v>
                </c:pt>
                <c:pt idx="63">
                  <c:v>165.07036357158307</c:v>
                </c:pt>
                <c:pt idx="64">
                  <c:v>166.93016206529143</c:v>
                </c:pt>
                <c:pt idx="65">
                  <c:v>173.90223581473353</c:v>
                </c:pt>
                <c:pt idx="66">
                  <c:v>169.49761828921285</c:v>
                </c:pt>
                <c:pt idx="67">
                  <c:v>166.27156659806678</c:v>
                </c:pt>
                <c:pt idx="68">
                  <c:v>167.67429339547149</c:v>
                </c:pt>
                <c:pt idx="69">
                  <c:v>167.71725512292994</c:v>
                </c:pt>
                <c:pt idx="70">
                  <c:v>168.46934090805252</c:v>
                </c:pt>
                <c:pt idx="71">
                  <c:v>167.86883509727321</c:v>
                </c:pt>
                <c:pt idx="72">
                  <c:v>165.00190093926085</c:v>
                </c:pt>
                <c:pt idx="73">
                  <c:v>162.51684623160634</c:v>
                </c:pt>
                <c:pt idx="74">
                  <c:v>161.38415839600475</c:v>
                </c:pt>
                <c:pt idx="75">
                  <c:v>161.86169661567916</c:v>
                </c:pt>
                <c:pt idx="76">
                  <c:v>159.33958403097211</c:v>
                </c:pt>
                <c:pt idx="77">
                  <c:v>165.95992255436528</c:v>
                </c:pt>
                <c:pt idx="78">
                  <c:v>163.25757204992885</c:v>
                </c:pt>
                <c:pt idx="79">
                  <c:v>163.25735896829877</c:v>
                </c:pt>
                <c:pt idx="80">
                  <c:v>169.45736114949727</c:v>
                </c:pt>
                <c:pt idx="81">
                  <c:v>163.61640501060262</c:v>
                </c:pt>
                <c:pt idx="82">
                  <c:v>163.88877268912367</c:v>
                </c:pt>
                <c:pt idx="83">
                  <c:v>166.89723169090144</c:v>
                </c:pt>
                <c:pt idx="84">
                  <c:v>162.61177386668029</c:v>
                </c:pt>
                <c:pt idx="85">
                  <c:v>153.57850623816447</c:v>
                </c:pt>
                <c:pt idx="86">
                  <c:v>152.68104618731851</c:v>
                </c:pt>
                <c:pt idx="87">
                  <c:v>150.14419969766951</c:v>
                </c:pt>
                <c:pt idx="88">
                  <c:v>152.38616461647482</c:v>
                </c:pt>
                <c:pt idx="89">
                  <c:v>152.45610628267499</c:v>
                </c:pt>
                <c:pt idx="90">
                  <c:v>149.80346591427622</c:v>
                </c:pt>
                <c:pt idx="91">
                  <c:v>149.13936806754117</c:v>
                </c:pt>
                <c:pt idx="92">
                  <c:v>146.55165105159844</c:v>
                </c:pt>
                <c:pt idx="93">
                  <c:v>155.02384714658132</c:v>
                </c:pt>
                <c:pt idx="94">
                  <c:v>155.07226933611176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8474-FA46-A0A9-E06E8EA2867F}"/>
            </c:ext>
          </c:extLst>
        </c:ser>
        <c:ser>
          <c:idx val="94"/>
          <c:order val="94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'Q6'!$E$96:$CU$96</c:f>
              <c:numCache>
                <c:formatCode>General</c:formatCode>
                <c:ptCount val="95"/>
                <c:pt idx="0">
                  <c:v>222.13</c:v>
                </c:pt>
                <c:pt idx="1">
                  <c:v>224.34729968514071</c:v>
                </c:pt>
                <c:pt idx="2">
                  <c:v>225.00016195839282</c:v>
                </c:pt>
                <c:pt idx="3">
                  <c:v>216.58944242977225</c:v>
                </c:pt>
                <c:pt idx="4">
                  <c:v>218.90750143199287</c:v>
                </c:pt>
                <c:pt idx="5">
                  <c:v>225.06303324232866</c:v>
                </c:pt>
                <c:pt idx="6">
                  <c:v>231.47078087793142</c:v>
                </c:pt>
                <c:pt idx="7">
                  <c:v>244.12326814099148</c:v>
                </c:pt>
                <c:pt idx="8">
                  <c:v>241.15515819268646</c:v>
                </c:pt>
                <c:pt idx="9">
                  <c:v>242.08058037229986</c:v>
                </c:pt>
                <c:pt idx="10">
                  <c:v>241.57882209831976</c:v>
                </c:pt>
                <c:pt idx="11">
                  <c:v>239.93707311429367</c:v>
                </c:pt>
                <c:pt idx="12">
                  <c:v>253.97210825673639</c:v>
                </c:pt>
                <c:pt idx="13">
                  <c:v>255.43143001300837</c:v>
                </c:pt>
                <c:pt idx="14">
                  <c:v>251.89742169040201</c:v>
                </c:pt>
                <c:pt idx="15">
                  <c:v>237.94398542788636</c:v>
                </c:pt>
                <c:pt idx="16">
                  <c:v>230.00045209573065</c:v>
                </c:pt>
                <c:pt idx="17">
                  <c:v>227.29028343927635</c:v>
                </c:pt>
                <c:pt idx="18">
                  <c:v>221.44130567757648</c:v>
                </c:pt>
                <c:pt idx="19">
                  <c:v>221.74471144449754</c:v>
                </c:pt>
                <c:pt idx="20">
                  <c:v>218.43086426575584</c:v>
                </c:pt>
                <c:pt idx="21">
                  <c:v>224.45922443367124</c:v>
                </c:pt>
                <c:pt idx="22">
                  <c:v>215.07731766797343</c:v>
                </c:pt>
                <c:pt idx="23">
                  <c:v>213.31961603115028</c:v>
                </c:pt>
                <c:pt idx="24">
                  <c:v>212.36589405263857</c:v>
                </c:pt>
                <c:pt idx="25">
                  <c:v>213.99173352964729</c:v>
                </c:pt>
                <c:pt idx="26">
                  <c:v>206.65468630871254</c:v>
                </c:pt>
                <c:pt idx="27">
                  <c:v>216.0515652838497</c:v>
                </c:pt>
                <c:pt idx="28">
                  <c:v>212.10659899315209</c:v>
                </c:pt>
                <c:pt idx="29">
                  <c:v>218.4103627867303</c:v>
                </c:pt>
                <c:pt idx="30">
                  <c:v>220.51817014162538</c:v>
                </c:pt>
                <c:pt idx="31">
                  <c:v>220.50753255397197</c:v>
                </c:pt>
                <c:pt idx="32">
                  <c:v>217.33588494833253</c:v>
                </c:pt>
                <c:pt idx="33">
                  <c:v>208.91552356767804</c:v>
                </c:pt>
                <c:pt idx="34">
                  <c:v>200.78340353093975</c:v>
                </c:pt>
                <c:pt idx="35">
                  <c:v>208.18544052167616</c:v>
                </c:pt>
                <c:pt idx="36">
                  <c:v>213.3586969805288</c:v>
                </c:pt>
                <c:pt idx="37">
                  <c:v>219.33666335573375</c:v>
                </c:pt>
                <c:pt idx="38">
                  <c:v>220.60352133023159</c:v>
                </c:pt>
                <c:pt idx="39">
                  <c:v>217.02189971625216</c:v>
                </c:pt>
                <c:pt idx="40">
                  <c:v>224.9533987267977</c:v>
                </c:pt>
                <c:pt idx="41">
                  <c:v>220.67200607515724</c:v>
                </c:pt>
                <c:pt idx="42">
                  <c:v>227.99822057880019</c:v>
                </c:pt>
                <c:pt idx="43">
                  <c:v>237.72485995199369</c:v>
                </c:pt>
                <c:pt idx="44">
                  <c:v>244.70810766572811</c:v>
                </c:pt>
                <c:pt idx="45">
                  <c:v>244.05179485985775</c:v>
                </c:pt>
                <c:pt idx="46">
                  <c:v>242.95985890268048</c:v>
                </c:pt>
                <c:pt idx="47">
                  <c:v>242.50323545226365</c:v>
                </c:pt>
                <c:pt idx="48">
                  <c:v>229.6313146169816</c:v>
                </c:pt>
                <c:pt idx="49">
                  <c:v>229.83175115716423</c:v>
                </c:pt>
                <c:pt idx="50">
                  <c:v>232.45163072842999</c:v>
                </c:pt>
                <c:pt idx="51">
                  <c:v>226.77185240275301</c:v>
                </c:pt>
                <c:pt idx="52">
                  <c:v>228.81102447138875</c:v>
                </c:pt>
                <c:pt idx="53">
                  <c:v>219.63828462986592</c:v>
                </c:pt>
                <c:pt idx="54">
                  <c:v>216.90095319280272</c:v>
                </c:pt>
                <c:pt idx="55">
                  <c:v>220.78064491666632</c:v>
                </c:pt>
                <c:pt idx="56">
                  <c:v>218.04285704540015</c:v>
                </c:pt>
                <c:pt idx="57">
                  <c:v>211.53834711053446</c:v>
                </c:pt>
                <c:pt idx="58">
                  <c:v>210.31211636470564</c:v>
                </c:pt>
                <c:pt idx="59">
                  <c:v>200.6508296784782</c:v>
                </c:pt>
                <c:pt idx="60">
                  <c:v>197.52778234853415</c:v>
                </c:pt>
                <c:pt idx="61">
                  <c:v>192.19746081081536</c:v>
                </c:pt>
                <c:pt idx="62">
                  <c:v>198.74243333765975</c:v>
                </c:pt>
                <c:pt idx="63">
                  <c:v>198.13206353681844</c:v>
                </c:pt>
                <c:pt idx="64">
                  <c:v>196.65156280732668</c:v>
                </c:pt>
                <c:pt idx="65">
                  <c:v>204.82336424400043</c:v>
                </c:pt>
                <c:pt idx="66">
                  <c:v>211.3681918236957</c:v>
                </c:pt>
                <c:pt idx="67">
                  <c:v>209.18554839800322</c:v>
                </c:pt>
                <c:pt idx="68">
                  <c:v>212.2384910950212</c:v>
                </c:pt>
                <c:pt idx="69">
                  <c:v>218.48452256039388</c:v>
                </c:pt>
                <c:pt idx="70">
                  <c:v>213.0148288931334</c:v>
                </c:pt>
                <c:pt idx="71">
                  <c:v>212.50591924392941</c:v>
                </c:pt>
                <c:pt idx="72">
                  <c:v>201.83007337400736</c:v>
                </c:pt>
                <c:pt idx="73">
                  <c:v>208.18999254447988</c:v>
                </c:pt>
                <c:pt idx="74">
                  <c:v>215.47923179778016</c:v>
                </c:pt>
                <c:pt idx="75">
                  <c:v>212.34047118693638</c:v>
                </c:pt>
                <c:pt idx="76">
                  <c:v>217.69491112535883</c:v>
                </c:pt>
                <c:pt idx="77">
                  <c:v>214.39638036102349</c:v>
                </c:pt>
                <c:pt idx="78">
                  <c:v>208.48727955636517</c:v>
                </c:pt>
                <c:pt idx="79">
                  <c:v>215.66161604868213</c:v>
                </c:pt>
                <c:pt idx="80">
                  <c:v>211.61325379673121</c:v>
                </c:pt>
                <c:pt idx="81">
                  <c:v>212.67183220008639</c:v>
                </c:pt>
                <c:pt idx="82">
                  <c:v>221.8501939134558</c:v>
                </c:pt>
                <c:pt idx="83">
                  <c:v>223.743996098389</c:v>
                </c:pt>
                <c:pt idx="84">
                  <c:v>222.93861036487016</c:v>
                </c:pt>
                <c:pt idx="85">
                  <c:v>221.29194893624634</c:v>
                </c:pt>
                <c:pt idx="86">
                  <c:v>217.96968316514537</c:v>
                </c:pt>
                <c:pt idx="87">
                  <c:v>223.77393455104232</c:v>
                </c:pt>
                <c:pt idx="88">
                  <c:v>223.73664292121967</c:v>
                </c:pt>
                <c:pt idx="89">
                  <c:v>224.38541539395291</c:v>
                </c:pt>
                <c:pt idx="90">
                  <c:v>217.10612909102184</c:v>
                </c:pt>
                <c:pt idx="91">
                  <c:v>212.98565712934086</c:v>
                </c:pt>
                <c:pt idx="92">
                  <c:v>217.13294005206129</c:v>
                </c:pt>
                <c:pt idx="93">
                  <c:v>206.09130077305221</c:v>
                </c:pt>
                <c:pt idx="94">
                  <c:v>204.33502266626525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8474-FA46-A0A9-E06E8EA2867F}"/>
            </c:ext>
          </c:extLst>
        </c:ser>
        <c:ser>
          <c:idx val="95"/>
          <c:order val="95"/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'Q6'!$E$97:$CU$97</c:f>
              <c:numCache>
                <c:formatCode>General</c:formatCode>
                <c:ptCount val="95"/>
                <c:pt idx="0">
                  <c:v>222.13</c:v>
                </c:pt>
                <c:pt idx="1">
                  <c:v>219.45935955051246</c:v>
                </c:pt>
                <c:pt idx="2">
                  <c:v>215.54026794043506</c:v>
                </c:pt>
                <c:pt idx="3">
                  <c:v>218.61897090266146</c:v>
                </c:pt>
                <c:pt idx="4">
                  <c:v>209.64397028559631</c:v>
                </c:pt>
                <c:pt idx="5">
                  <c:v>206.69062980580816</c:v>
                </c:pt>
                <c:pt idx="6">
                  <c:v>212.94130393641723</c:v>
                </c:pt>
                <c:pt idx="7">
                  <c:v>222.28916229515119</c:v>
                </c:pt>
                <c:pt idx="8">
                  <c:v>219.76186939886301</c:v>
                </c:pt>
                <c:pt idx="9">
                  <c:v>221.07587622683886</c:v>
                </c:pt>
                <c:pt idx="10">
                  <c:v>221.23557482286398</c:v>
                </c:pt>
                <c:pt idx="11">
                  <c:v>217.33961429627962</c:v>
                </c:pt>
                <c:pt idx="12">
                  <c:v>216.04046068864929</c:v>
                </c:pt>
                <c:pt idx="13">
                  <c:v>215.80280212502123</c:v>
                </c:pt>
                <c:pt idx="14">
                  <c:v>214.4651758753125</c:v>
                </c:pt>
                <c:pt idx="15">
                  <c:v>207.43986343289197</c:v>
                </c:pt>
                <c:pt idx="16">
                  <c:v>200.30119735823391</c:v>
                </c:pt>
                <c:pt idx="17">
                  <c:v>192.57507092107841</c:v>
                </c:pt>
                <c:pt idx="18">
                  <c:v>187.2436048403832</c:v>
                </c:pt>
                <c:pt idx="19">
                  <c:v>176.19578875507901</c:v>
                </c:pt>
                <c:pt idx="20">
                  <c:v>167.87504114211717</c:v>
                </c:pt>
                <c:pt idx="21">
                  <c:v>163.05351407437885</c:v>
                </c:pt>
                <c:pt idx="22">
                  <c:v>163.13997674302513</c:v>
                </c:pt>
                <c:pt idx="23">
                  <c:v>162.01035737316943</c:v>
                </c:pt>
                <c:pt idx="24">
                  <c:v>169.67265443150808</c:v>
                </c:pt>
                <c:pt idx="25">
                  <c:v>174.37578777755459</c:v>
                </c:pt>
                <c:pt idx="26">
                  <c:v>173.55177739727904</c:v>
                </c:pt>
                <c:pt idx="27">
                  <c:v>170.08081912702863</c:v>
                </c:pt>
                <c:pt idx="28">
                  <c:v>167.68828385096154</c:v>
                </c:pt>
                <c:pt idx="29">
                  <c:v>170.14711363928538</c:v>
                </c:pt>
                <c:pt idx="30">
                  <c:v>173.00832963028674</c:v>
                </c:pt>
                <c:pt idx="31">
                  <c:v>170.58065334932249</c:v>
                </c:pt>
                <c:pt idx="32">
                  <c:v>175.13584224338496</c:v>
                </c:pt>
                <c:pt idx="33">
                  <c:v>178.10658094728032</c:v>
                </c:pt>
                <c:pt idx="34">
                  <c:v>178.20540963414271</c:v>
                </c:pt>
                <c:pt idx="35">
                  <c:v>180.34776057061322</c:v>
                </c:pt>
                <c:pt idx="36">
                  <c:v>172.29968731981413</c:v>
                </c:pt>
                <c:pt idx="37">
                  <c:v>172.87055831737385</c:v>
                </c:pt>
                <c:pt idx="38">
                  <c:v>170.00081591318266</c:v>
                </c:pt>
                <c:pt idx="39">
                  <c:v>173.14075246859252</c:v>
                </c:pt>
                <c:pt idx="40">
                  <c:v>173.43672957990941</c:v>
                </c:pt>
                <c:pt idx="41">
                  <c:v>179.79367782639815</c:v>
                </c:pt>
                <c:pt idx="42">
                  <c:v>173.91922842544739</c:v>
                </c:pt>
                <c:pt idx="43">
                  <c:v>173.55130214156299</c:v>
                </c:pt>
                <c:pt idx="44">
                  <c:v>174.91711945418194</c:v>
                </c:pt>
                <c:pt idx="45">
                  <c:v>172.23499590372526</c:v>
                </c:pt>
                <c:pt idx="46">
                  <c:v>165.00730167287898</c:v>
                </c:pt>
                <c:pt idx="47">
                  <c:v>161.33928136960904</c:v>
                </c:pt>
                <c:pt idx="48">
                  <c:v>157.78811227471172</c:v>
                </c:pt>
                <c:pt idx="49">
                  <c:v>154.87148737465566</c:v>
                </c:pt>
                <c:pt idx="50">
                  <c:v>156.56080448823317</c:v>
                </c:pt>
                <c:pt idx="51">
                  <c:v>152.90170002708732</c:v>
                </c:pt>
                <c:pt idx="52">
                  <c:v>159.67175797561188</c:v>
                </c:pt>
                <c:pt idx="53">
                  <c:v>158.13334420938776</c:v>
                </c:pt>
                <c:pt idx="54">
                  <c:v>156.16297541392902</c:v>
                </c:pt>
                <c:pt idx="55">
                  <c:v>152.11114701773067</c:v>
                </c:pt>
                <c:pt idx="56">
                  <c:v>152.50489964319911</c:v>
                </c:pt>
                <c:pt idx="57">
                  <c:v>148.26229227043837</c:v>
                </c:pt>
                <c:pt idx="58">
                  <c:v>147.46642771532314</c:v>
                </c:pt>
                <c:pt idx="59">
                  <c:v>146.61455067159787</c:v>
                </c:pt>
                <c:pt idx="60">
                  <c:v>149.43205191568225</c:v>
                </c:pt>
                <c:pt idx="61">
                  <c:v>153.83966437171159</c:v>
                </c:pt>
                <c:pt idx="62">
                  <c:v>153.20654276045818</c:v>
                </c:pt>
                <c:pt idx="63">
                  <c:v>147.06241578135746</c:v>
                </c:pt>
                <c:pt idx="64">
                  <c:v>144.24277676339108</c:v>
                </c:pt>
                <c:pt idx="65">
                  <c:v>149.4266382360955</c:v>
                </c:pt>
                <c:pt idx="66">
                  <c:v>148.39241089111877</c:v>
                </c:pt>
                <c:pt idx="67">
                  <c:v>150.68823548621944</c:v>
                </c:pt>
                <c:pt idx="68">
                  <c:v>149.65727518877506</c:v>
                </c:pt>
                <c:pt idx="69">
                  <c:v>143.34166444174514</c:v>
                </c:pt>
                <c:pt idx="70">
                  <c:v>145.04562649463281</c:v>
                </c:pt>
                <c:pt idx="71">
                  <c:v>147.03629670280517</c:v>
                </c:pt>
                <c:pt idx="72">
                  <c:v>145.61981178157546</c:v>
                </c:pt>
                <c:pt idx="73">
                  <c:v>145.41346934776843</c:v>
                </c:pt>
                <c:pt idx="74">
                  <c:v>145.32136772480257</c:v>
                </c:pt>
                <c:pt idx="75">
                  <c:v>151.5291985906334</c:v>
                </c:pt>
                <c:pt idx="76">
                  <c:v>148.17037169505949</c:v>
                </c:pt>
                <c:pt idx="77">
                  <c:v>147.24792768973654</c:v>
                </c:pt>
                <c:pt idx="78">
                  <c:v>142.492313757875</c:v>
                </c:pt>
                <c:pt idx="79">
                  <c:v>136.79821346437038</c:v>
                </c:pt>
                <c:pt idx="80">
                  <c:v>139.39769091449932</c:v>
                </c:pt>
                <c:pt idx="81">
                  <c:v>140.65128354471744</c:v>
                </c:pt>
                <c:pt idx="82">
                  <c:v>139.32293416122937</c:v>
                </c:pt>
                <c:pt idx="83">
                  <c:v>138.43965616948188</c:v>
                </c:pt>
                <c:pt idx="84">
                  <c:v>141.35020230680306</c:v>
                </c:pt>
                <c:pt idx="85">
                  <c:v>142.85671182669685</c:v>
                </c:pt>
                <c:pt idx="86">
                  <c:v>137.63811189196215</c:v>
                </c:pt>
                <c:pt idx="87">
                  <c:v>135.54936321351141</c:v>
                </c:pt>
                <c:pt idx="88">
                  <c:v>137.08841576167774</c:v>
                </c:pt>
                <c:pt idx="89">
                  <c:v>137.24804931925834</c:v>
                </c:pt>
                <c:pt idx="90">
                  <c:v>137.34821520923404</c:v>
                </c:pt>
                <c:pt idx="91">
                  <c:v>138.74909934988514</c:v>
                </c:pt>
                <c:pt idx="92">
                  <c:v>140.23939065956822</c:v>
                </c:pt>
                <c:pt idx="93">
                  <c:v>138.803550874878</c:v>
                </c:pt>
                <c:pt idx="94">
                  <c:v>139.47679750891322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8474-FA46-A0A9-E06E8EA2867F}"/>
            </c:ext>
          </c:extLst>
        </c:ser>
        <c:ser>
          <c:idx val="96"/>
          <c:order val="96"/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'Q6'!$E$98:$CU$98</c:f>
              <c:numCache>
                <c:formatCode>General</c:formatCode>
                <c:ptCount val="95"/>
                <c:pt idx="0">
                  <c:v>222.13</c:v>
                </c:pt>
                <c:pt idx="1">
                  <c:v>217.2968422220271</c:v>
                </c:pt>
                <c:pt idx="2">
                  <c:v>221.01854017531574</c:v>
                </c:pt>
                <c:pt idx="3">
                  <c:v>222.13343920768924</c:v>
                </c:pt>
                <c:pt idx="4">
                  <c:v>228.229315369641</c:v>
                </c:pt>
                <c:pt idx="5">
                  <c:v>226.60136813330305</c:v>
                </c:pt>
                <c:pt idx="6">
                  <c:v>240.49393294760102</c:v>
                </c:pt>
                <c:pt idx="7">
                  <c:v>240.54545871118609</c:v>
                </c:pt>
                <c:pt idx="8">
                  <c:v>233.32101284342929</c:v>
                </c:pt>
                <c:pt idx="9">
                  <c:v>235.99148183376991</c:v>
                </c:pt>
                <c:pt idx="10">
                  <c:v>239.12332116442721</c:v>
                </c:pt>
                <c:pt idx="11">
                  <c:v>242.75829379104314</c:v>
                </c:pt>
                <c:pt idx="12">
                  <c:v>247.64398115362809</c:v>
                </c:pt>
                <c:pt idx="13">
                  <c:v>252.82684512366947</c:v>
                </c:pt>
                <c:pt idx="14">
                  <c:v>242.73862326513239</c:v>
                </c:pt>
                <c:pt idx="15">
                  <c:v>242.68311953871611</c:v>
                </c:pt>
                <c:pt idx="16">
                  <c:v>238.33833320894072</c:v>
                </c:pt>
                <c:pt idx="17">
                  <c:v>232.37626273335343</c:v>
                </c:pt>
                <c:pt idx="18">
                  <c:v>231.95720399961047</c:v>
                </c:pt>
                <c:pt idx="19">
                  <c:v>228.48407498566982</c:v>
                </c:pt>
                <c:pt idx="20">
                  <c:v>232.86877717843231</c:v>
                </c:pt>
                <c:pt idx="21">
                  <c:v>233.98257248155417</c:v>
                </c:pt>
                <c:pt idx="22">
                  <c:v>237.98704181878739</c:v>
                </c:pt>
                <c:pt idx="23">
                  <c:v>240.49512847824562</c:v>
                </c:pt>
                <c:pt idx="24">
                  <c:v>236.68299428696795</c:v>
                </c:pt>
                <c:pt idx="25">
                  <c:v>235.73012355046791</c:v>
                </c:pt>
                <c:pt idx="26">
                  <c:v>237.12476496065466</c:v>
                </c:pt>
                <c:pt idx="27">
                  <c:v>233.32391385104947</c:v>
                </c:pt>
                <c:pt idx="28">
                  <c:v>239.88405968228085</c:v>
                </c:pt>
                <c:pt idx="29">
                  <c:v>245.47817444656559</c:v>
                </c:pt>
                <c:pt idx="30">
                  <c:v>246.83808684751321</c:v>
                </c:pt>
                <c:pt idx="31">
                  <c:v>242.24068163012387</c:v>
                </c:pt>
                <c:pt idx="32">
                  <c:v>236.43163551834292</c:v>
                </c:pt>
                <c:pt idx="33">
                  <c:v>250.59339180327945</c:v>
                </c:pt>
                <c:pt idx="34">
                  <c:v>261.84838969046348</c:v>
                </c:pt>
                <c:pt idx="35">
                  <c:v>265.88352301159171</c:v>
                </c:pt>
                <c:pt idx="36">
                  <c:v>273.24134177244429</c:v>
                </c:pt>
                <c:pt idx="37">
                  <c:v>266.6016304179488</c:v>
                </c:pt>
                <c:pt idx="38">
                  <c:v>269.60046360567623</c:v>
                </c:pt>
                <c:pt idx="39">
                  <c:v>264.17769739162503</c:v>
                </c:pt>
                <c:pt idx="40">
                  <c:v>265.45759895089981</c:v>
                </c:pt>
                <c:pt idx="41">
                  <c:v>251.4474135638018</c:v>
                </c:pt>
                <c:pt idx="42">
                  <c:v>246.27486789777066</c:v>
                </c:pt>
                <c:pt idx="43">
                  <c:v>255.93975124711051</c:v>
                </c:pt>
                <c:pt idx="44">
                  <c:v>261.0753759686209</c:v>
                </c:pt>
                <c:pt idx="45">
                  <c:v>264.8592648310144</c:v>
                </c:pt>
                <c:pt idx="46">
                  <c:v>262.44325745923931</c:v>
                </c:pt>
                <c:pt idx="47">
                  <c:v>266.75468825745855</c:v>
                </c:pt>
                <c:pt idx="48">
                  <c:v>270.76639348917098</c:v>
                </c:pt>
                <c:pt idx="49">
                  <c:v>267.23906184240013</c:v>
                </c:pt>
                <c:pt idx="50">
                  <c:v>272.48963369178347</c:v>
                </c:pt>
                <c:pt idx="51">
                  <c:v>263.54031556435768</c:v>
                </c:pt>
                <c:pt idx="52">
                  <c:v>266.29473369236615</c:v>
                </c:pt>
                <c:pt idx="53">
                  <c:v>266.49865296059352</c:v>
                </c:pt>
                <c:pt idx="54">
                  <c:v>261.04591712183924</c:v>
                </c:pt>
                <c:pt idx="55">
                  <c:v>256.4342537909626</c:v>
                </c:pt>
                <c:pt idx="56">
                  <c:v>255.6083636379368</c:v>
                </c:pt>
                <c:pt idx="57">
                  <c:v>255.67196425550841</c:v>
                </c:pt>
                <c:pt idx="58">
                  <c:v>258.17574614789004</c:v>
                </c:pt>
                <c:pt idx="59">
                  <c:v>257.60866780376222</c:v>
                </c:pt>
                <c:pt idx="60">
                  <c:v>264.99892041011935</c:v>
                </c:pt>
                <c:pt idx="61">
                  <c:v>273.49352409002819</c:v>
                </c:pt>
                <c:pt idx="62">
                  <c:v>273.34296341568296</c:v>
                </c:pt>
                <c:pt idx="63">
                  <c:v>276.42143086820573</c:v>
                </c:pt>
                <c:pt idx="64">
                  <c:v>280.99954384206364</c:v>
                </c:pt>
                <c:pt idx="65">
                  <c:v>283.31842462540175</c:v>
                </c:pt>
                <c:pt idx="66">
                  <c:v>284.12783570922392</c:v>
                </c:pt>
                <c:pt idx="67">
                  <c:v>284.64587377571979</c:v>
                </c:pt>
                <c:pt idx="68">
                  <c:v>285.3847297501967</c:v>
                </c:pt>
                <c:pt idx="69">
                  <c:v>292.29168097494562</c:v>
                </c:pt>
                <c:pt idx="70">
                  <c:v>307.95669691890845</c:v>
                </c:pt>
                <c:pt idx="71">
                  <c:v>296.34141237654234</c:v>
                </c:pt>
                <c:pt idx="72">
                  <c:v>305.82031293937837</c:v>
                </c:pt>
                <c:pt idx="73">
                  <c:v>302.3634038800131</c:v>
                </c:pt>
                <c:pt idx="74">
                  <c:v>317.31310878279328</c:v>
                </c:pt>
                <c:pt idx="75">
                  <c:v>325.92929998508265</c:v>
                </c:pt>
                <c:pt idx="76">
                  <c:v>339.59419275409454</c:v>
                </c:pt>
                <c:pt idx="77">
                  <c:v>346.16752953929495</c:v>
                </c:pt>
                <c:pt idx="78">
                  <c:v>346.41067350631619</c:v>
                </c:pt>
                <c:pt idx="79">
                  <c:v>338.23197003498495</c:v>
                </c:pt>
                <c:pt idx="80">
                  <c:v>348.36207691684461</c:v>
                </c:pt>
                <c:pt idx="81">
                  <c:v>345.95519761698398</c:v>
                </c:pt>
                <c:pt idx="82">
                  <c:v>354.83914293761757</c:v>
                </c:pt>
                <c:pt idx="83">
                  <c:v>350.33403920504838</c:v>
                </c:pt>
                <c:pt idx="84">
                  <c:v>360.09145000418857</c:v>
                </c:pt>
                <c:pt idx="85">
                  <c:v>364.20608589162811</c:v>
                </c:pt>
                <c:pt idx="86">
                  <c:v>348.50698206461584</c:v>
                </c:pt>
                <c:pt idx="87">
                  <c:v>350.08694122818349</c:v>
                </c:pt>
                <c:pt idx="88">
                  <c:v>350.01361826390627</c:v>
                </c:pt>
                <c:pt idx="89">
                  <c:v>349.97214780740774</c:v>
                </c:pt>
                <c:pt idx="90">
                  <c:v>337.82354009904498</c:v>
                </c:pt>
                <c:pt idx="91">
                  <c:v>338.30120222184723</c:v>
                </c:pt>
                <c:pt idx="92">
                  <c:v>335.89481236312719</c:v>
                </c:pt>
                <c:pt idx="93">
                  <c:v>333.78076549445638</c:v>
                </c:pt>
                <c:pt idx="94">
                  <c:v>326.15244702543453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8474-FA46-A0A9-E06E8EA2867F}"/>
            </c:ext>
          </c:extLst>
        </c:ser>
        <c:ser>
          <c:idx val="97"/>
          <c:order val="97"/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'Q6'!$E$99:$CU$99</c:f>
              <c:numCache>
                <c:formatCode>General</c:formatCode>
                <c:ptCount val="95"/>
                <c:pt idx="0">
                  <c:v>222.13</c:v>
                </c:pt>
                <c:pt idx="1">
                  <c:v>224.66882924679479</c:v>
                </c:pt>
                <c:pt idx="2">
                  <c:v>228.98854768111286</c:v>
                </c:pt>
                <c:pt idx="3">
                  <c:v>223.1941042275038</c:v>
                </c:pt>
                <c:pt idx="4">
                  <c:v>224.56465513346927</c:v>
                </c:pt>
                <c:pt idx="5">
                  <c:v>222.53439019120523</c:v>
                </c:pt>
                <c:pt idx="6">
                  <c:v>225.5214354994676</c:v>
                </c:pt>
                <c:pt idx="7">
                  <c:v>224.71404677836622</c:v>
                </c:pt>
                <c:pt idx="8">
                  <c:v>223.82495557703174</c:v>
                </c:pt>
                <c:pt idx="9">
                  <c:v>221.80161073912589</c:v>
                </c:pt>
                <c:pt idx="10">
                  <c:v>221.75987139106431</c:v>
                </c:pt>
                <c:pt idx="11">
                  <c:v>213.70701132933581</c:v>
                </c:pt>
                <c:pt idx="12">
                  <c:v>208.93413148756582</c:v>
                </c:pt>
                <c:pt idx="13">
                  <c:v>206.90684804856861</c:v>
                </c:pt>
                <c:pt idx="14">
                  <c:v>211.00872057664657</c:v>
                </c:pt>
                <c:pt idx="15">
                  <c:v>208.94439789539229</c:v>
                </c:pt>
                <c:pt idx="16">
                  <c:v>209.43187843797764</c:v>
                </c:pt>
                <c:pt idx="17">
                  <c:v>205.33230281672832</c:v>
                </c:pt>
                <c:pt idx="18">
                  <c:v>208.41532176636184</c:v>
                </c:pt>
                <c:pt idx="19">
                  <c:v>201.3296405546628</c:v>
                </c:pt>
                <c:pt idx="20">
                  <c:v>199.74553712537755</c:v>
                </c:pt>
                <c:pt idx="21">
                  <c:v>203.57899667183858</c:v>
                </c:pt>
                <c:pt idx="22">
                  <c:v>200.7775701193203</c:v>
                </c:pt>
                <c:pt idx="23">
                  <c:v>199.99003191977656</c:v>
                </c:pt>
                <c:pt idx="24">
                  <c:v>203.72811565792412</c:v>
                </c:pt>
                <c:pt idx="25">
                  <c:v>201.11236488530284</c:v>
                </c:pt>
                <c:pt idx="26">
                  <c:v>193.00208458801015</c:v>
                </c:pt>
                <c:pt idx="27">
                  <c:v>193.46330181752126</c:v>
                </c:pt>
                <c:pt idx="28">
                  <c:v>190.16363613351029</c:v>
                </c:pt>
                <c:pt idx="29">
                  <c:v>182.31108971377819</c:v>
                </c:pt>
                <c:pt idx="30">
                  <c:v>181.64573209002307</c:v>
                </c:pt>
                <c:pt idx="31">
                  <c:v>184.74356069266531</c:v>
                </c:pt>
                <c:pt idx="32">
                  <c:v>187.86788813973456</c:v>
                </c:pt>
                <c:pt idx="33">
                  <c:v>185.96352266033148</c:v>
                </c:pt>
                <c:pt idx="34">
                  <c:v>188.54091948832433</c:v>
                </c:pt>
                <c:pt idx="35">
                  <c:v>192.29984102221275</c:v>
                </c:pt>
                <c:pt idx="36">
                  <c:v>194.99435063949653</c:v>
                </c:pt>
                <c:pt idx="37">
                  <c:v>189.7168526828178</c:v>
                </c:pt>
                <c:pt idx="38">
                  <c:v>183.21361614637146</c:v>
                </c:pt>
                <c:pt idx="39">
                  <c:v>193.24328620339355</c:v>
                </c:pt>
                <c:pt idx="40">
                  <c:v>189.4965300204895</c:v>
                </c:pt>
                <c:pt idx="41">
                  <c:v>189.50780602955294</c:v>
                </c:pt>
                <c:pt idx="42">
                  <c:v>193.16422425296042</c:v>
                </c:pt>
                <c:pt idx="43">
                  <c:v>189.16977193124677</c:v>
                </c:pt>
                <c:pt idx="44">
                  <c:v>189.81911441939531</c:v>
                </c:pt>
                <c:pt idx="45">
                  <c:v>186.81835378654412</c:v>
                </c:pt>
                <c:pt idx="46">
                  <c:v>181.99141916542095</c:v>
                </c:pt>
                <c:pt idx="47">
                  <c:v>182.83649265855166</c:v>
                </c:pt>
                <c:pt idx="48">
                  <c:v>186.43471553544063</c:v>
                </c:pt>
                <c:pt idx="49">
                  <c:v>180.26883523962275</c:v>
                </c:pt>
                <c:pt idx="50">
                  <c:v>180.61335342308698</c:v>
                </c:pt>
                <c:pt idx="51">
                  <c:v>180.67581714382922</c:v>
                </c:pt>
                <c:pt idx="52">
                  <c:v>179.33493961115889</c:v>
                </c:pt>
                <c:pt idx="53">
                  <c:v>175.33615546613242</c:v>
                </c:pt>
                <c:pt idx="54">
                  <c:v>176.17355347188919</c:v>
                </c:pt>
                <c:pt idx="55">
                  <c:v>181.30094781347967</c:v>
                </c:pt>
                <c:pt idx="56">
                  <c:v>178.73975918553035</c:v>
                </c:pt>
                <c:pt idx="57">
                  <c:v>176.35505887038332</c:v>
                </c:pt>
                <c:pt idx="58">
                  <c:v>180.0282672159029</c:v>
                </c:pt>
                <c:pt idx="59">
                  <c:v>184.47911818057105</c:v>
                </c:pt>
                <c:pt idx="60">
                  <c:v>181.64767313522029</c:v>
                </c:pt>
                <c:pt idx="61">
                  <c:v>180.0518468359235</c:v>
                </c:pt>
                <c:pt idx="62">
                  <c:v>181.17665774375362</c:v>
                </c:pt>
                <c:pt idx="63">
                  <c:v>180.88814700655402</c:v>
                </c:pt>
                <c:pt idx="64">
                  <c:v>181.20748136525538</c:v>
                </c:pt>
                <c:pt idx="65">
                  <c:v>173.85806961521604</c:v>
                </c:pt>
                <c:pt idx="66">
                  <c:v>164.43146045566235</c:v>
                </c:pt>
                <c:pt idx="67">
                  <c:v>159.35888219279914</c:v>
                </c:pt>
                <c:pt idx="68">
                  <c:v>155.88345101047852</c:v>
                </c:pt>
                <c:pt idx="69">
                  <c:v>155.5085733987417</c:v>
                </c:pt>
                <c:pt idx="70">
                  <c:v>148.20876456223345</c:v>
                </c:pt>
                <c:pt idx="71">
                  <c:v>147.77380602156848</c:v>
                </c:pt>
                <c:pt idx="72">
                  <c:v>149.12551452801978</c:v>
                </c:pt>
                <c:pt idx="73">
                  <c:v>146.60751987500862</c:v>
                </c:pt>
                <c:pt idx="74">
                  <c:v>148.94279691288256</c:v>
                </c:pt>
                <c:pt idx="75">
                  <c:v>151.45993672648495</c:v>
                </c:pt>
                <c:pt idx="76">
                  <c:v>153.47218236593469</c:v>
                </c:pt>
                <c:pt idx="77">
                  <c:v>151.37272262614724</c:v>
                </c:pt>
                <c:pt idx="78">
                  <c:v>150.68746386875452</c:v>
                </c:pt>
                <c:pt idx="79">
                  <c:v>151.62617013106026</c:v>
                </c:pt>
                <c:pt idx="80">
                  <c:v>149.76631422488191</c:v>
                </c:pt>
                <c:pt idx="81">
                  <c:v>156.16045237351773</c:v>
                </c:pt>
                <c:pt idx="82">
                  <c:v>161.25928250526962</c:v>
                </c:pt>
                <c:pt idx="83">
                  <c:v>160.8564804076332</c:v>
                </c:pt>
                <c:pt idx="84">
                  <c:v>160.54443352817231</c:v>
                </c:pt>
                <c:pt idx="85">
                  <c:v>162.29470831738928</c:v>
                </c:pt>
                <c:pt idx="86">
                  <c:v>157.64499501623919</c:v>
                </c:pt>
                <c:pt idx="87">
                  <c:v>165.62157437765481</c:v>
                </c:pt>
                <c:pt idx="88">
                  <c:v>162.87033229479434</c:v>
                </c:pt>
                <c:pt idx="89">
                  <c:v>164.24194499415472</c:v>
                </c:pt>
                <c:pt idx="90">
                  <c:v>167.87933966808248</c:v>
                </c:pt>
                <c:pt idx="91">
                  <c:v>171.17642393157641</c:v>
                </c:pt>
                <c:pt idx="92">
                  <c:v>171.73087709789365</c:v>
                </c:pt>
                <c:pt idx="93">
                  <c:v>169.34766332401617</c:v>
                </c:pt>
                <c:pt idx="94">
                  <c:v>165.25496672903645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8474-FA46-A0A9-E06E8EA2867F}"/>
            </c:ext>
          </c:extLst>
        </c:ser>
        <c:ser>
          <c:idx val="98"/>
          <c:order val="98"/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'Q6'!$E$100:$CU$100</c:f>
              <c:numCache>
                <c:formatCode>General</c:formatCode>
                <c:ptCount val="95"/>
                <c:pt idx="0">
                  <c:v>222.13</c:v>
                </c:pt>
                <c:pt idx="1">
                  <c:v>228.05980870240992</c:v>
                </c:pt>
                <c:pt idx="2">
                  <c:v>239.24449323535993</c:v>
                </c:pt>
                <c:pt idx="3">
                  <c:v>237.99659655838531</c:v>
                </c:pt>
                <c:pt idx="4">
                  <c:v>237.53883919038054</c:v>
                </c:pt>
                <c:pt idx="5">
                  <c:v>230.71253168131051</c:v>
                </c:pt>
                <c:pt idx="6">
                  <c:v>231.06264015286055</c:v>
                </c:pt>
                <c:pt idx="7">
                  <c:v>238.99519341633697</c:v>
                </c:pt>
                <c:pt idx="8">
                  <c:v>232.33080186267404</c:v>
                </c:pt>
                <c:pt idx="9">
                  <c:v>224.86414955172347</c:v>
                </c:pt>
                <c:pt idx="10">
                  <c:v>230.23529006622266</c:v>
                </c:pt>
                <c:pt idx="11">
                  <c:v>226.61367558383992</c:v>
                </c:pt>
                <c:pt idx="12">
                  <c:v>223.50899917691549</c:v>
                </c:pt>
                <c:pt idx="13">
                  <c:v>224.16819707288951</c:v>
                </c:pt>
                <c:pt idx="14">
                  <c:v>225.22387097708585</c:v>
                </c:pt>
                <c:pt idx="15">
                  <c:v>225.86567023696412</c:v>
                </c:pt>
                <c:pt idx="16">
                  <c:v>227.89534658625476</c:v>
                </c:pt>
                <c:pt idx="17">
                  <c:v>225.41612995123106</c:v>
                </c:pt>
                <c:pt idx="18">
                  <c:v>219.97879417213707</c:v>
                </c:pt>
                <c:pt idx="19">
                  <c:v>228.91070182726472</c:v>
                </c:pt>
                <c:pt idx="20">
                  <c:v>230.79004742997387</c:v>
                </c:pt>
                <c:pt idx="21">
                  <c:v>228.78025503462175</c:v>
                </c:pt>
                <c:pt idx="22">
                  <c:v>232.7830460736246</c:v>
                </c:pt>
                <c:pt idx="23">
                  <c:v>245.95034109481026</c:v>
                </c:pt>
                <c:pt idx="24">
                  <c:v>246.43526496138148</c:v>
                </c:pt>
                <c:pt idx="25">
                  <c:v>245.52379551350199</c:v>
                </c:pt>
                <c:pt idx="26">
                  <c:v>241.38494125104245</c:v>
                </c:pt>
                <c:pt idx="27">
                  <c:v>245.11561312705422</c:v>
                </c:pt>
                <c:pt idx="28">
                  <c:v>246.74997179947786</c:v>
                </c:pt>
                <c:pt idx="29">
                  <c:v>251.61317562021387</c:v>
                </c:pt>
                <c:pt idx="30">
                  <c:v>239.0415560059669</c:v>
                </c:pt>
                <c:pt idx="31">
                  <c:v>243.69185504964062</c:v>
                </c:pt>
                <c:pt idx="32">
                  <c:v>234.76681338425354</c:v>
                </c:pt>
                <c:pt idx="33">
                  <c:v>233.05030558204814</c:v>
                </c:pt>
                <c:pt idx="34">
                  <c:v>240.46067222468307</c:v>
                </c:pt>
                <c:pt idx="35">
                  <c:v>243.32802676308899</c:v>
                </c:pt>
                <c:pt idx="36">
                  <c:v>246.6985979989322</c:v>
                </c:pt>
                <c:pt idx="37">
                  <c:v>247.79378492494135</c:v>
                </c:pt>
                <c:pt idx="38">
                  <c:v>262.65572074367566</c:v>
                </c:pt>
                <c:pt idx="39">
                  <c:v>264.21611057833735</c:v>
                </c:pt>
                <c:pt idx="40">
                  <c:v>267.61550884770054</c:v>
                </c:pt>
                <c:pt idx="41">
                  <c:v>265.40831464105855</c:v>
                </c:pt>
                <c:pt idx="42">
                  <c:v>267.30680582067629</c:v>
                </c:pt>
                <c:pt idx="43">
                  <c:v>261.30892295145509</c:v>
                </c:pt>
                <c:pt idx="44">
                  <c:v>265.94616104467008</c:v>
                </c:pt>
                <c:pt idx="45">
                  <c:v>260.50960649925258</c:v>
                </c:pt>
                <c:pt idx="46">
                  <c:v>247.15415655885465</c:v>
                </c:pt>
                <c:pt idx="47">
                  <c:v>254.89830749597749</c:v>
                </c:pt>
                <c:pt idx="48">
                  <c:v>260.86981720474824</c:v>
                </c:pt>
                <c:pt idx="49">
                  <c:v>272.06690605970681</c:v>
                </c:pt>
                <c:pt idx="50">
                  <c:v>266.80758005527213</c:v>
                </c:pt>
                <c:pt idx="51">
                  <c:v>260.65927166206228</c:v>
                </c:pt>
                <c:pt idx="52">
                  <c:v>266.54054352964209</c:v>
                </c:pt>
                <c:pt idx="53">
                  <c:v>274.99035889930684</c:v>
                </c:pt>
                <c:pt idx="54">
                  <c:v>279.0652675333842</c:v>
                </c:pt>
                <c:pt idx="55">
                  <c:v>278.76069843007616</c:v>
                </c:pt>
                <c:pt idx="56">
                  <c:v>269.35211438998999</c:v>
                </c:pt>
                <c:pt idx="57">
                  <c:v>278.27711719518203</c:v>
                </c:pt>
                <c:pt idx="58">
                  <c:v>284.23787730925363</c:v>
                </c:pt>
                <c:pt idx="59">
                  <c:v>277.57079643807737</c:v>
                </c:pt>
                <c:pt idx="60">
                  <c:v>279.92438278091021</c:v>
                </c:pt>
                <c:pt idx="61">
                  <c:v>285.12264933249099</c:v>
                </c:pt>
                <c:pt idx="62">
                  <c:v>276.93777131794189</c:v>
                </c:pt>
                <c:pt idx="63">
                  <c:v>281.95801601307238</c:v>
                </c:pt>
                <c:pt idx="64">
                  <c:v>276.76169855749174</c:v>
                </c:pt>
                <c:pt idx="65">
                  <c:v>270.55025318265183</c:v>
                </c:pt>
                <c:pt idx="66">
                  <c:v>276.26988266107332</c:v>
                </c:pt>
                <c:pt idx="67">
                  <c:v>264.70194334712335</c:v>
                </c:pt>
                <c:pt idx="68">
                  <c:v>268.62789143779133</c:v>
                </c:pt>
                <c:pt idx="69">
                  <c:v>271.17071025558789</c:v>
                </c:pt>
                <c:pt idx="70">
                  <c:v>276.60192384608979</c:v>
                </c:pt>
                <c:pt idx="71">
                  <c:v>269.17359670538866</c:v>
                </c:pt>
                <c:pt idx="72">
                  <c:v>272.75637985747727</c:v>
                </c:pt>
                <c:pt idx="73">
                  <c:v>268.05727619285307</c:v>
                </c:pt>
                <c:pt idx="74">
                  <c:v>265.95319485176492</c:v>
                </c:pt>
                <c:pt idx="75">
                  <c:v>273.85574496944736</c:v>
                </c:pt>
                <c:pt idx="76">
                  <c:v>270.21436735612713</c:v>
                </c:pt>
                <c:pt idx="77">
                  <c:v>273.57309746031854</c:v>
                </c:pt>
                <c:pt idx="78">
                  <c:v>281.63439892505841</c:v>
                </c:pt>
                <c:pt idx="79">
                  <c:v>286.18284949861868</c:v>
                </c:pt>
                <c:pt idx="80">
                  <c:v>285.06137636858898</c:v>
                </c:pt>
                <c:pt idx="81">
                  <c:v>285.56928975041853</c:v>
                </c:pt>
                <c:pt idx="82">
                  <c:v>273.7946318477392</c:v>
                </c:pt>
                <c:pt idx="83">
                  <c:v>274.96820054230523</c:v>
                </c:pt>
                <c:pt idx="84">
                  <c:v>276.70329293849221</c:v>
                </c:pt>
                <c:pt idx="85">
                  <c:v>272.92370649347453</c:v>
                </c:pt>
                <c:pt idx="86">
                  <c:v>265.04862255384779</c:v>
                </c:pt>
                <c:pt idx="87">
                  <c:v>274.80902338282385</c:v>
                </c:pt>
                <c:pt idx="88">
                  <c:v>285.10495865621169</c:v>
                </c:pt>
                <c:pt idx="89">
                  <c:v>287.74768057096645</c:v>
                </c:pt>
                <c:pt idx="90">
                  <c:v>290.05114765164905</c:v>
                </c:pt>
                <c:pt idx="91">
                  <c:v>292.50234581414611</c:v>
                </c:pt>
                <c:pt idx="92">
                  <c:v>282.0052304319276</c:v>
                </c:pt>
                <c:pt idx="93">
                  <c:v>283.36719705897809</c:v>
                </c:pt>
                <c:pt idx="94">
                  <c:v>286.9648919690938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8474-FA46-A0A9-E06E8EA2867F}"/>
            </c:ext>
          </c:extLst>
        </c:ser>
        <c:ser>
          <c:idx val="99"/>
          <c:order val="99"/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'Q6'!$E$1:$CU$1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'Q6'!$E$101:$CU$101</c:f>
              <c:numCache>
                <c:formatCode>General</c:formatCode>
                <c:ptCount val="95"/>
                <c:pt idx="0">
                  <c:v>222.13</c:v>
                </c:pt>
                <c:pt idx="1">
                  <c:v>220.84866975755989</c:v>
                </c:pt>
                <c:pt idx="2">
                  <c:v>218.49961608026939</c:v>
                </c:pt>
                <c:pt idx="3">
                  <c:v>221.09413352764895</c:v>
                </c:pt>
                <c:pt idx="4">
                  <c:v>203.76211460433663</c:v>
                </c:pt>
                <c:pt idx="5">
                  <c:v>206.63121570271539</c:v>
                </c:pt>
                <c:pt idx="6">
                  <c:v>203.13015761858384</c:v>
                </c:pt>
                <c:pt idx="7">
                  <c:v>202.91732841084792</c:v>
                </c:pt>
                <c:pt idx="8">
                  <c:v>200.37400270383375</c:v>
                </c:pt>
                <c:pt idx="9">
                  <c:v>206.04540381596712</c:v>
                </c:pt>
                <c:pt idx="10">
                  <c:v>201.39775839278866</c:v>
                </c:pt>
                <c:pt idx="11">
                  <c:v>202.09789924075224</c:v>
                </c:pt>
                <c:pt idx="12">
                  <c:v>206.97312773870593</c:v>
                </c:pt>
                <c:pt idx="13">
                  <c:v>205.166606051343</c:v>
                </c:pt>
                <c:pt idx="14">
                  <c:v>206.4876984464847</c:v>
                </c:pt>
                <c:pt idx="15">
                  <c:v>209.05488648999986</c:v>
                </c:pt>
                <c:pt idx="16">
                  <c:v>208.99518411706055</c:v>
                </c:pt>
                <c:pt idx="17">
                  <c:v>203.03769750651023</c:v>
                </c:pt>
                <c:pt idx="18">
                  <c:v>215.38742260334172</c:v>
                </c:pt>
                <c:pt idx="19">
                  <c:v>223.42364029748987</c:v>
                </c:pt>
                <c:pt idx="20">
                  <c:v>231.95724070437529</c:v>
                </c:pt>
                <c:pt idx="21">
                  <c:v>231.20972188198991</c:v>
                </c:pt>
                <c:pt idx="22">
                  <c:v>234.90419226320776</c:v>
                </c:pt>
                <c:pt idx="23">
                  <c:v>233.28665451846356</c:v>
                </c:pt>
                <c:pt idx="24">
                  <c:v>227.87911908750991</c:v>
                </c:pt>
                <c:pt idx="25">
                  <c:v>227.91021812227825</c:v>
                </c:pt>
                <c:pt idx="26">
                  <c:v>226.82231016626145</c:v>
                </c:pt>
                <c:pt idx="27">
                  <c:v>224.99331949657227</c:v>
                </c:pt>
                <c:pt idx="28">
                  <c:v>232.8883311342226</c:v>
                </c:pt>
                <c:pt idx="29">
                  <c:v>237.68393448845765</c:v>
                </c:pt>
                <c:pt idx="30">
                  <c:v>240.99145263425928</c:v>
                </c:pt>
                <c:pt idx="31">
                  <c:v>237.96617126411613</c:v>
                </c:pt>
                <c:pt idx="32">
                  <c:v>238.07076236270103</c:v>
                </c:pt>
                <c:pt idx="33">
                  <c:v>244.20763042202347</c:v>
                </c:pt>
                <c:pt idx="34">
                  <c:v>238.70079524659545</c:v>
                </c:pt>
                <c:pt idx="35">
                  <c:v>240.945400760832</c:v>
                </c:pt>
                <c:pt idx="36">
                  <c:v>229.74167964638099</c:v>
                </c:pt>
                <c:pt idx="37">
                  <c:v>229.56442725281286</c:v>
                </c:pt>
                <c:pt idx="38">
                  <c:v>224.30651523480901</c:v>
                </c:pt>
                <c:pt idx="39">
                  <c:v>220.4229261159042</c:v>
                </c:pt>
                <c:pt idx="40">
                  <c:v>221.5404539177712</c:v>
                </c:pt>
                <c:pt idx="41">
                  <c:v>222.64024635237567</c:v>
                </c:pt>
                <c:pt idx="42">
                  <c:v>222.4725515976433</c:v>
                </c:pt>
                <c:pt idx="43">
                  <c:v>223.4177875048444</c:v>
                </c:pt>
                <c:pt idx="44">
                  <c:v>225.11393512000512</c:v>
                </c:pt>
                <c:pt idx="45">
                  <c:v>226.96779557542698</c:v>
                </c:pt>
                <c:pt idx="46">
                  <c:v>225.83946544315765</c:v>
                </c:pt>
                <c:pt idx="47">
                  <c:v>230.08763644921979</c:v>
                </c:pt>
                <c:pt idx="48">
                  <c:v>232.35991133474477</c:v>
                </c:pt>
                <c:pt idx="49">
                  <c:v>225.85681220182818</c:v>
                </c:pt>
                <c:pt idx="50">
                  <c:v>221.59233771469127</c:v>
                </c:pt>
                <c:pt idx="51">
                  <c:v>218.19830208282002</c:v>
                </c:pt>
                <c:pt idx="52">
                  <c:v>215.83194927277751</c:v>
                </c:pt>
                <c:pt idx="53">
                  <c:v>215.46995859359185</c:v>
                </c:pt>
                <c:pt idx="54">
                  <c:v>207.3090581513475</c:v>
                </c:pt>
                <c:pt idx="55">
                  <c:v>203.908137140881</c:v>
                </c:pt>
                <c:pt idx="56">
                  <c:v>209.65235263256767</c:v>
                </c:pt>
                <c:pt idx="57">
                  <c:v>209.43831116347747</c:v>
                </c:pt>
                <c:pt idx="58">
                  <c:v>204.11599063692819</c:v>
                </c:pt>
                <c:pt idx="59">
                  <c:v>196.66509194421212</c:v>
                </c:pt>
                <c:pt idx="60">
                  <c:v>191.93097250339608</c:v>
                </c:pt>
                <c:pt idx="61">
                  <c:v>190.62719415302047</c:v>
                </c:pt>
                <c:pt idx="62">
                  <c:v>188.2716538787146</c:v>
                </c:pt>
                <c:pt idx="63">
                  <c:v>184.11286359066199</c:v>
                </c:pt>
                <c:pt idx="64">
                  <c:v>181.29616134725325</c:v>
                </c:pt>
                <c:pt idx="65">
                  <c:v>177.58287304072203</c:v>
                </c:pt>
                <c:pt idx="66">
                  <c:v>172.61205814500266</c:v>
                </c:pt>
                <c:pt idx="67">
                  <c:v>175.94594680521575</c:v>
                </c:pt>
                <c:pt idx="68">
                  <c:v>170.85045827179962</c:v>
                </c:pt>
                <c:pt idx="69">
                  <c:v>172.22256241676922</c:v>
                </c:pt>
                <c:pt idx="70">
                  <c:v>177.46929378113441</c:v>
                </c:pt>
                <c:pt idx="71">
                  <c:v>172.6587579451446</c:v>
                </c:pt>
                <c:pt idx="72">
                  <c:v>169.48304823250098</c:v>
                </c:pt>
                <c:pt idx="73">
                  <c:v>166.96790094800764</c:v>
                </c:pt>
                <c:pt idx="74">
                  <c:v>171.99113354392748</c:v>
                </c:pt>
                <c:pt idx="75">
                  <c:v>171.6487129912243</c:v>
                </c:pt>
                <c:pt idx="76">
                  <c:v>171.29512017060756</c:v>
                </c:pt>
                <c:pt idx="77">
                  <c:v>169.51740449724369</c:v>
                </c:pt>
                <c:pt idx="78">
                  <c:v>175.25136123129676</c:v>
                </c:pt>
                <c:pt idx="79">
                  <c:v>182.45062639991244</c:v>
                </c:pt>
                <c:pt idx="80">
                  <c:v>185.16768198214046</c:v>
                </c:pt>
                <c:pt idx="81">
                  <c:v>181.56017689113904</c:v>
                </c:pt>
                <c:pt idx="82">
                  <c:v>177.10784690939298</c:v>
                </c:pt>
                <c:pt idx="83">
                  <c:v>170.65534160765017</c:v>
                </c:pt>
                <c:pt idx="84">
                  <c:v>169.07919071035963</c:v>
                </c:pt>
                <c:pt idx="85">
                  <c:v>169.4352763057949</c:v>
                </c:pt>
                <c:pt idx="86">
                  <c:v>168.34268773205625</c:v>
                </c:pt>
                <c:pt idx="87">
                  <c:v>173.13409228282507</c:v>
                </c:pt>
                <c:pt idx="88">
                  <c:v>170.76359384730165</c:v>
                </c:pt>
                <c:pt idx="89">
                  <c:v>170.58488799798405</c:v>
                </c:pt>
                <c:pt idx="90">
                  <c:v>171.65414202075135</c:v>
                </c:pt>
                <c:pt idx="91">
                  <c:v>170.04761395497806</c:v>
                </c:pt>
                <c:pt idx="92">
                  <c:v>170.68172413913166</c:v>
                </c:pt>
                <c:pt idx="93">
                  <c:v>169.34106356853118</c:v>
                </c:pt>
                <c:pt idx="94">
                  <c:v>164.50994317909564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8474-FA46-A0A9-E06E8EA28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3428352"/>
        <c:axId val="373043792"/>
      </c:lineChart>
      <c:catAx>
        <c:axId val="91342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to Maturity</a:t>
                </a:r>
                <a:r>
                  <a:rPr lang="en-GB" baseline="0"/>
                  <a:t> (Years)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043792"/>
        <c:crosses val="autoZero"/>
        <c:auto val="1"/>
        <c:lblAlgn val="ctr"/>
        <c:lblOffset val="100"/>
        <c:noMultiLvlLbl val="0"/>
      </c:catAx>
      <c:valAx>
        <c:axId val="37304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Simulated</a:t>
                </a:r>
                <a:r>
                  <a:rPr lang="en-GB" baseline="0"/>
                  <a:t> Stock Price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428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Monte Carlo Simulation of Apple Stock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frozen'!$E$2:$CU$2</c:f>
              <c:numCache>
                <c:formatCode>General</c:formatCode>
                <c:ptCount val="95"/>
                <c:pt idx="0">
                  <c:v>222.13</c:v>
                </c:pt>
                <c:pt idx="1">
                  <c:v>222.297353552955</c:v>
                </c:pt>
                <c:pt idx="2">
                  <c:v>219.881085812994</c:v>
                </c:pt>
                <c:pt idx="3">
                  <c:v>225.91503965583101</c:v>
                </c:pt>
                <c:pt idx="4">
                  <c:v>235.32340923186018</c:v>
                </c:pt>
                <c:pt idx="5">
                  <c:v>235.97291832868453</c:v>
                </c:pt>
                <c:pt idx="6">
                  <c:v>241.62295087971106</c:v>
                </c:pt>
                <c:pt idx="7">
                  <c:v>245.32602725929192</c:v>
                </c:pt>
                <c:pt idx="8">
                  <c:v>246.48166277097877</c:v>
                </c:pt>
                <c:pt idx="9">
                  <c:v>243.49252800963711</c:v>
                </c:pt>
                <c:pt idx="10">
                  <c:v>255.10400834592701</c:v>
                </c:pt>
                <c:pt idx="11">
                  <c:v>253.67574135886258</c:v>
                </c:pt>
                <c:pt idx="12">
                  <c:v>248.61855875312156</c:v>
                </c:pt>
                <c:pt idx="13">
                  <c:v>245.8012004563702</c:v>
                </c:pt>
                <c:pt idx="14">
                  <c:v>231.80938711683166</c:v>
                </c:pt>
                <c:pt idx="15">
                  <c:v>234.03147969582304</c:v>
                </c:pt>
                <c:pt idx="16">
                  <c:v>238.58042709127653</c:v>
                </c:pt>
                <c:pt idx="17">
                  <c:v>241.04348645542623</c:v>
                </c:pt>
                <c:pt idx="18">
                  <c:v>242.60769997659153</c:v>
                </c:pt>
                <c:pt idx="19">
                  <c:v>236.94597183668438</c:v>
                </c:pt>
                <c:pt idx="20">
                  <c:v>241.9548136890316</c:v>
                </c:pt>
                <c:pt idx="21">
                  <c:v>244.8196735517686</c:v>
                </c:pt>
                <c:pt idx="22">
                  <c:v>244.62789968555089</c:v>
                </c:pt>
                <c:pt idx="23">
                  <c:v>244.48570358411214</c:v>
                </c:pt>
                <c:pt idx="24">
                  <c:v>246.32538546952526</c:v>
                </c:pt>
                <c:pt idx="25">
                  <c:v>255.31201363847569</c:v>
                </c:pt>
                <c:pt idx="26">
                  <c:v>258.77742727162877</c:v>
                </c:pt>
                <c:pt idx="27">
                  <c:v>258.33748245359908</c:v>
                </c:pt>
                <c:pt idx="28">
                  <c:v>257.45418862850602</c:v>
                </c:pt>
                <c:pt idx="29">
                  <c:v>257.57078428759769</c:v>
                </c:pt>
                <c:pt idx="30">
                  <c:v>261.44353587971631</c:v>
                </c:pt>
                <c:pt idx="31">
                  <c:v>266.09740803092654</c:v>
                </c:pt>
                <c:pt idx="32">
                  <c:v>259.18335374358651</c:v>
                </c:pt>
                <c:pt idx="33">
                  <c:v>256.76558874847132</c:v>
                </c:pt>
                <c:pt idx="34">
                  <c:v>257.5432808609271</c:v>
                </c:pt>
                <c:pt idx="35">
                  <c:v>254.17181308480966</c:v>
                </c:pt>
                <c:pt idx="36">
                  <c:v>244.88588338575394</c:v>
                </c:pt>
                <c:pt idx="37">
                  <c:v>249.49276319882489</c:v>
                </c:pt>
                <c:pt idx="38">
                  <c:v>252.94550233945387</c:v>
                </c:pt>
                <c:pt idx="39">
                  <c:v>259.38155500335421</c:v>
                </c:pt>
                <c:pt idx="40">
                  <c:v>265.47433645418351</c:v>
                </c:pt>
                <c:pt idx="41">
                  <c:v>271.64442969699314</c:v>
                </c:pt>
                <c:pt idx="42">
                  <c:v>275.30806943441564</c:v>
                </c:pt>
                <c:pt idx="43">
                  <c:v>285.23760052339736</c:v>
                </c:pt>
                <c:pt idx="44">
                  <c:v>279.54719279000153</c:v>
                </c:pt>
                <c:pt idx="45">
                  <c:v>275.9483720507738</c:v>
                </c:pt>
                <c:pt idx="46">
                  <c:v>277.38709571877564</c:v>
                </c:pt>
                <c:pt idx="47">
                  <c:v>288.497312480858</c:v>
                </c:pt>
                <c:pt idx="48">
                  <c:v>289.11555514494353</c:v>
                </c:pt>
                <c:pt idx="49">
                  <c:v>296.07576134420037</c:v>
                </c:pt>
                <c:pt idx="50">
                  <c:v>284.51612132845526</c:v>
                </c:pt>
                <c:pt idx="51">
                  <c:v>292.41866717665852</c:v>
                </c:pt>
                <c:pt idx="52">
                  <c:v>282.961363126295</c:v>
                </c:pt>
                <c:pt idx="53">
                  <c:v>287.21340977226123</c:v>
                </c:pt>
                <c:pt idx="54">
                  <c:v>299.34389221993024</c:v>
                </c:pt>
                <c:pt idx="55">
                  <c:v>290.28247252446653</c:v>
                </c:pt>
                <c:pt idx="56">
                  <c:v>284.88871097936641</c:v>
                </c:pt>
                <c:pt idx="57">
                  <c:v>281.14780891497992</c:v>
                </c:pt>
                <c:pt idx="58">
                  <c:v>297.14922147168846</c:v>
                </c:pt>
                <c:pt idx="59">
                  <c:v>299.55691799732585</c:v>
                </c:pt>
                <c:pt idx="60">
                  <c:v>293.86067573242423</c:v>
                </c:pt>
                <c:pt idx="61">
                  <c:v>279.44376992438561</c:v>
                </c:pt>
                <c:pt idx="62">
                  <c:v>278.41724607295924</c:v>
                </c:pt>
                <c:pt idx="63">
                  <c:v>269.71758802950148</c:v>
                </c:pt>
                <c:pt idx="64">
                  <c:v>271.3902794711334</c:v>
                </c:pt>
                <c:pt idx="65">
                  <c:v>282.56842951385306</c:v>
                </c:pt>
                <c:pt idx="66">
                  <c:v>295.89123422360865</c:v>
                </c:pt>
                <c:pt idx="67">
                  <c:v>294.89326869329227</c:v>
                </c:pt>
                <c:pt idx="68">
                  <c:v>289.01561650365272</c:v>
                </c:pt>
                <c:pt idx="69">
                  <c:v>295.01129165785841</c:v>
                </c:pt>
                <c:pt idx="70">
                  <c:v>296.01437354617286</c:v>
                </c:pt>
                <c:pt idx="71">
                  <c:v>293.5161736873705</c:v>
                </c:pt>
                <c:pt idx="72">
                  <c:v>302.17174080864345</c:v>
                </c:pt>
                <c:pt idx="73">
                  <c:v>308.71823223817091</c:v>
                </c:pt>
                <c:pt idx="74">
                  <c:v>301.46640266254815</c:v>
                </c:pt>
                <c:pt idx="75">
                  <c:v>310.41921764381783</c:v>
                </c:pt>
                <c:pt idx="76">
                  <c:v>312.69390329167527</c:v>
                </c:pt>
                <c:pt idx="77">
                  <c:v>307.72931847337708</c:v>
                </c:pt>
                <c:pt idx="78">
                  <c:v>312.00513381829495</c:v>
                </c:pt>
                <c:pt idx="79">
                  <c:v>310.151446697241</c:v>
                </c:pt>
                <c:pt idx="80">
                  <c:v>325.81353986404514</c:v>
                </c:pt>
                <c:pt idx="81">
                  <c:v>330.04612776491018</c:v>
                </c:pt>
                <c:pt idx="82">
                  <c:v>336.11926169263836</c:v>
                </c:pt>
                <c:pt idx="83">
                  <c:v>324.30584715263251</c:v>
                </c:pt>
                <c:pt idx="84">
                  <c:v>328.78149025996458</c:v>
                </c:pt>
                <c:pt idx="85">
                  <c:v>324.48974225208548</c:v>
                </c:pt>
                <c:pt idx="86">
                  <c:v>337.1463420571651</c:v>
                </c:pt>
                <c:pt idx="87">
                  <c:v>336.48347815815657</c:v>
                </c:pt>
                <c:pt idx="88">
                  <c:v>349.15703284644508</c:v>
                </c:pt>
                <c:pt idx="89">
                  <c:v>354.87223769569067</c:v>
                </c:pt>
                <c:pt idx="90">
                  <c:v>351.06297182690258</c:v>
                </c:pt>
                <c:pt idx="91">
                  <c:v>351.56545799011474</c:v>
                </c:pt>
                <c:pt idx="92">
                  <c:v>360.7649521097153</c:v>
                </c:pt>
                <c:pt idx="93">
                  <c:v>352.14932622761802</c:v>
                </c:pt>
                <c:pt idx="94">
                  <c:v>365.61813439122199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41-094C-BCDC-8807F586F36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frozen'!$E$3:$CU$3</c:f>
              <c:numCache>
                <c:formatCode>General</c:formatCode>
                <c:ptCount val="95"/>
                <c:pt idx="0">
                  <c:v>222.13</c:v>
                </c:pt>
                <c:pt idx="1">
                  <c:v>219.55121236055817</c:v>
                </c:pt>
                <c:pt idx="2">
                  <c:v>219.99448224018127</c:v>
                </c:pt>
                <c:pt idx="3">
                  <c:v>219.41240249025228</c:v>
                </c:pt>
                <c:pt idx="4">
                  <c:v>213.74426326920894</c:v>
                </c:pt>
                <c:pt idx="5">
                  <c:v>206.35885178781712</c:v>
                </c:pt>
                <c:pt idx="6">
                  <c:v>206.46041050446885</c:v>
                </c:pt>
                <c:pt idx="7">
                  <c:v>210.97346604656434</c:v>
                </c:pt>
                <c:pt idx="8">
                  <c:v>218.65928299480495</c:v>
                </c:pt>
                <c:pt idx="9">
                  <c:v>218.92635476391138</c:v>
                </c:pt>
                <c:pt idx="10">
                  <c:v>216.78632361525783</c:v>
                </c:pt>
                <c:pt idx="11">
                  <c:v>220.31654019040297</c:v>
                </c:pt>
                <c:pt idx="12">
                  <c:v>221.09982699349871</c:v>
                </c:pt>
                <c:pt idx="13">
                  <c:v>225.18250340277331</c:v>
                </c:pt>
                <c:pt idx="14">
                  <c:v>225.16256382789911</c:v>
                </c:pt>
                <c:pt idx="15">
                  <c:v>220.97310878121698</c:v>
                </c:pt>
                <c:pt idx="16">
                  <c:v>215.71124870523388</c:v>
                </c:pt>
                <c:pt idx="17">
                  <c:v>217.52417659804965</c:v>
                </c:pt>
                <c:pt idx="18">
                  <c:v>220.63418826080851</c:v>
                </c:pt>
                <c:pt idx="19">
                  <c:v>218.57893398694503</c:v>
                </c:pt>
                <c:pt idx="20">
                  <c:v>219.2250070930715</c:v>
                </c:pt>
                <c:pt idx="21">
                  <c:v>210.89388344159593</c:v>
                </c:pt>
                <c:pt idx="22">
                  <c:v>217.47955731398119</c:v>
                </c:pt>
                <c:pt idx="23">
                  <c:v>207.82044224125576</c:v>
                </c:pt>
                <c:pt idx="24">
                  <c:v>210.80393506616156</c:v>
                </c:pt>
                <c:pt idx="25">
                  <c:v>213.09370946794922</c:v>
                </c:pt>
                <c:pt idx="26">
                  <c:v>212.77564525866279</c:v>
                </c:pt>
                <c:pt idx="27">
                  <c:v>217.13473628456563</c:v>
                </c:pt>
                <c:pt idx="28">
                  <c:v>210.74898916267722</c:v>
                </c:pt>
                <c:pt idx="29">
                  <c:v>212.25836861989205</c:v>
                </c:pt>
                <c:pt idx="30">
                  <c:v>211.99056131957732</c:v>
                </c:pt>
                <c:pt idx="31">
                  <c:v>209.83914111058093</c:v>
                </c:pt>
                <c:pt idx="32">
                  <c:v>208.81247949019883</c:v>
                </c:pt>
                <c:pt idx="33">
                  <c:v>200.97043644155059</c:v>
                </c:pt>
                <c:pt idx="34">
                  <c:v>199.28090619300846</c:v>
                </c:pt>
                <c:pt idx="35">
                  <c:v>193.49991050329265</c:v>
                </c:pt>
                <c:pt idx="36">
                  <c:v>192.27961277603131</c:v>
                </c:pt>
                <c:pt idx="37">
                  <c:v>189.90741724059782</c:v>
                </c:pt>
                <c:pt idx="38">
                  <c:v>192.81968294048411</c:v>
                </c:pt>
                <c:pt idx="39">
                  <c:v>194.83320741466537</c:v>
                </c:pt>
                <c:pt idx="40">
                  <c:v>202.66236162056657</c:v>
                </c:pt>
                <c:pt idx="41">
                  <c:v>204.74388192718831</c:v>
                </c:pt>
                <c:pt idx="42">
                  <c:v>215.72826120712617</c:v>
                </c:pt>
                <c:pt idx="43">
                  <c:v>210.82250125072628</c:v>
                </c:pt>
                <c:pt idx="44">
                  <c:v>206.022662671224</c:v>
                </c:pt>
                <c:pt idx="45">
                  <c:v>204.72225502078808</c:v>
                </c:pt>
                <c:pt idx="46">
                  <c:v>207.11049337376519</c:v>
                </c:pt>
                <c:pt idx="47">
                  <c:v>206.84457155102388</c:v>
                </c:pt>
                <c:pt idx="48">
                  <c:v>214.05641216618395</c:v>
                </c:pt>
                <c:pt idx="49">
                  <c:v>219.18780225038566</c:v>
                </c:pt>
                <c:pt idx="50">
                  <c:v>217.07482768055428</c:v>
                </c:pt>
                <c:pt idx="51">
                  <c:v>218.02345793053155</c:v>
                </c:pt>
                <c:pt idx="52">
                  <c:v>214.06793164251016</c:v>
                </c:pt>
                <c:pt idx="53">
                  <c:v>217.42505540407134</c:v>
                </c:pt>
                <c:pt idx="54">
                  <c:v>217.48750843963685</c:v>
                </c:pt>
                <c:pt idx="55">
                  <c:v>212.78901783333654</c:v>
                </c:pt>
                <c:pt idx="56">
                  <c:v>215.02536239266007</c:v>
                </c:pt>
                <c:pt idx="57">
                  <c:v>216.79138007465252</c:v>
                </c:pt>
                <c:pt idx="58">
                  <c:v>221.392485924076</c:v>
                </c:pt>
                <c:pt idx="59">
                  <c:v>225.33062244230288</c:v>
                </c:pt>
                <c:pt idx="60">
                  <c:v>222.65496889020429</c:v>
                </c:pt>
                <c:pt idx="61">
                  <c:v>210.90836705369935</c:v>
                </c:pt>
                <c:pt idx="62">
                  <c:v>212.4074136131579</c:v>
                </c:pt>
                <c:pt idx="63">
                  <c:v>223.54824981766353</c:v>
                </c:pt>
                <c:pt idx="64">
                  <c:v>225.05375379108733</c:v>
                </c:pt>
                <c:pt idx="65">
                  <c:v>227.70439409884614</c:v>
                </c:pt>
                <c:pt idx="66">
                  <c:v>235.45600706343694</c:v>
                </c:pt>
                <c:pt idx="67">
                  <c:v>223.08952499362192</c:v>
                </c:pt>
                <c:pt idx="68">
                  <c:v>229.25405902520848</c:v>
                </c:pt>
                <c:pt idx="69">
                  <c:v>239.71360866394531</c:v>
                </c:pt>
                <c:pt idx="70">
                  <c:v>237.7216019642953</c:v>
                </c:pt>
                <c:pt idx="71">
                  <c:v>245.30863882264742</c:v>
                </c:pt>
                <c:pt idx="72">
                  <c:v>247.30307550450999</c:v>
                </c:pt>
                <c:pt idx="73">
                  <c:v>247.64087666184159</c:v>
                </c:pt>
                <c:pt idx="74">
                  <c:v>244.66243129642601</c:v>
                </c:pt>
                <c:pt idx="75">
                  <c:v>239.63898875191921</c:v>
                </c:pt>
                <c:pt idx="76">
                  <c:v>234.32062622129718</c:v>
                </c:pt>
                <c:pt idx="77">
                  <c:v>235.55476458558866</c:v>
                </c:pt>
                <c:pt idx="78">
                  <c:v>243.71758263280179</c:v>
                </c:pt>
                <c:pt idx="79">
                  <c:v>246.83739645676098</c:v>
                </c:pt>
                <c:pt idx="80">
                  <c:v>241.6109650014256</c:v>
                </c:pt>
                <c:pt idx="81">
                  <c:v>239.6518442203195</c:v>
                </c:pt>
                <c:pt idx="82">
                  <c:v>244.55655188222079</c:v>
                </c:pt>
                <c:pt idx="83">
                  <c:v>245.59312695039139</c:v>
                </c:pt>
                <c:pt idx="84">
                  <c:v>248.74426257747203</c:v>
                </c:pt>
                <c:pt idx="85">
                  <c:v>247.47441977142307</c:v>
                </c:pt>
                <c:pt idx="86">
                  <c:v>254.40897731419565</c:v>
                </c:pt>
                <c:pt idx="87">
                  <c:v>256.18342789111068</c:v>
                </c:pt>
                <c:pt idx="88">
                  <c:v>260.28713825289424</c:v>
                </c:pt>
                <c:pt idx="89">
                  <c:v>260.87956042170606</c:v>
                </c:pt>
                <c:pt idx="90">
                  <c:v>263.57049728177714</c:v>
                </c:pt>
                <c:pt idx="91">
                  <c:v>257.22502131890201</c:v>
                </c:pt>
                <c:pt idx="92">
                  <c:v>254.53401868769649</c:v>
                </c:pt>
                <c:pt idx="93">
                  <c:v>251.28254147806678</c:v>
                </c:pt>
                <c:pt idx="94">
                  <c:v>251.82638510759699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41-094C-BCDC-8807F586F36B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frozen'!$E$4:$CU$4</c:f>
              <c:numCache>
                <c:formatCode>General</c:formatCode>
                <c:ptCount val="95"/>
                <c:pt idx="0">
                  <c:v>222.13</c:v>
                </c:pt>
                <c:pt idx="1">
                  <c:v>223.47584416126395</c:v>
                </c:pt>
                <c:pt idx="2">
                  <c:v>224.1749266599783</c:v>
                </c:pt>
                <c:pt idx="3">
                  <c:v>227.0690558143427</c:v>
                </c:pt>
                <c:pt idx="4">
                  <c:v>227.63123450434574</c:v>
                </c:pt>
                <c:pt idx="5">
                  <c:v>224.2681072495956</c:v>
                </c:pt>
                <c:pt idx="6">
                  <c:v>229.86928915442823</c:v>
                </c:pt>
                <c:pt idx="7">
                  <c:v>234.96800979564685</c:v>
                </c:pt>
                <c:pt idx="8">
                  <c:v>243.35053041589785</c:v>
                </c:pt>
                <c:pt idx="9">
                  <c:v>247.65860090810017</c:v>
                </c:pt>
                <c:pt idx="10">
                  <c:v>246.7173877098241</c:v>
                </c:pt>
                <c:pt idx="11">
                  <c:v>236.9214312878716</c:v>
                </c:pt>
                <c:pt idx="12">
                  <c:v>224.90460843528462</c:v>
                </c:pt>
                <c:pt idx="13">
                  <c:v>228.40100887668032</c:v>
                </c:pt>
                <c:pt idx="14">
                  <c:v>222.79428793749207</c:v>
                </c:pt>
                <c:pt idx="15">
                  <c:v>220.77269470652547</c:v>
                </c:pt>
                <c:pt idx="16">
                  <c:v>226.69210329460185</c:v>
                </c:pt>
                <c:pt idx="17">
                  <c:v>234.33195002567464</c:v>
                </c:pt>
                <c:pt idx="18">
                  <c:v>238.57436517114212</c:v>
                </c:pt>
                <c:pt idx="19">
                  <c:v>236.51466874301448</c:v>
                </c:pt>
                <c:pt idx="20">
                  <c:v>232.85521568431065</c:v>
                </c:pt>
                <c:pt idx="21">
                  <c:v>241.15916855882651</c:v>
                </c:pt>
                <c:pt idx="22">
                  <c:v>235.10539258243875</c:v>
                </c:pt>
                <c:pt idx="23">
                  <c:v>244.02969636882446</c:v>
                </c:pt>
                <c:pt idx="24">
                  <c:v>246.31193161835003</c:v>
                </c:pt>
                <c:pt idx="25">
                  <c:v>241.2324446520536</c:v>
                </c:pt>
                <c:pt idx="26">
                  <c:v>242.00346457034937</c:v>
                </c:pt>
                <c:pt idx="27">
                  <c:v>246.19430154656422</c:v>
                </c:pt>
                <c:pt idx="28">
                  <c:v>239.30562111923729</c:v>
                </c:pt>
                <c:pt idx="29">
                  <c:v>233.96449214035223</c:v>
                </c:pt>
                <c:pt idx="30">
                  <c:v>235.06875392158065</c:v>
                </c:pt>
                <c:pt idx="31">
                  <c:v>229.75598136241081</c:v>
                </c:pt>
                <c:pt idx="32">
                  <c:v>233.92207290790498</c:v>
                </c:pt>
                <c:pt idx="33">
                  <c:v>230.72003460924464</c:v>
                </c:pt>
                <c:pt idx="34">
                  <c:v>226.51274356066671</c:v>
                </c:pt>
                <c:pt idx="35">
                  <c:v>232.13546929158915</c:v>
                </c:pt>
                <c:pt idx="36">
                  <c:v>235.6569611580469</c:v>
                </c:pt>
                <c:pt idx="37">
                  <c:v>238.19405934360984</c:v>
                </c:pt>
                <c:pt idx="38">
                  <c:v>245.48318970822965</c:v>
                </c:pt>
                <c:pt idx="39">
                  <c:v>245.07399788082031</c:v>
                </c:pt>
                <c:pt idx="40">
                  <c:v>240.77966202196288</c:v>
                </c:pt>
                <c:pt idx="41">
                  <c:v>239.20616059542331</c:v>
                </c:pt>
                <c:pt idx="42">
                  <c:v>245.52907998117072</c:v>
                </c:pt>
                <c:pt idx="43">
                  <c:v>251.94659621582096</c:v>
                </c:pt>
                <c:pt idx="44">
                  <c:v>261.41929019302393</c:v>
                </c:pt>
                <c:pt idx="45">
                  <c:v>256.67795901420197</c:v>
                </c:pt>
                <c:pt idx="46">
                  <c:v>257.48692037136482</c:v>
                </c:pt>
                <c:pt idx="47">
                  <c:v>258.84653563476382</c:v>
                </c:pt>
                <c:pt idx="48">
                  <c:v>252.93695098607608</c:v>
                </c:pt>
                <c:pt idx="49">
                  <c:v>253.11188771415109</c:v>
                </c:pt>
                <c:pt idx="50">
                  <c:v>247.563730757434</c:v>
                </c:pt>
                <c:pt idx="51">
                  <c:v>247.31442607696317</c:v>
                </c:pt>
                <c:pt idx="52">
                  <c:v>255.0025925417182</c:v>
                </c:pt>
                <c:pt idx="53">
                  <c:v>252.33511239675076</c:v>
                </c:pt>
                <c:pt idx="54">
                  <c:v>254.37299301220023</c:v>
                </c:pt>
                <c:pt idx="55">
                  <c:v>257.66790733963967</c:v>
                </c:pt>
                <c:pt idx="56">
                  <c:v>248.79279843979339</c:v>
                </c:pt>
                <c:pt idx="57">
                  <c:v>249.06958198603692</c:v>
                </c:pt>
                <c:pt idx="58">
                  <c:v>241.49379038320419</c:v>
                </c:pt>
                <c:pt idx="59">
                  <c:v>243.16526068067739</c:v>
                </c:pt>
                <c:pt idx="60">
                  <c:v>236.88956702004202</c:v>
                </c:pt>
                <c:pt idx="61">
                  <c:v>223.56348804320896</c:v>
                </c:pt>
                <c:pt idx="62">
                  <c:v>226.22383900437822</c:v>
                </c:pt>
                <c:pt idx="63">
                  <c:v>222.0212298593689</c:v>
                </c:pt>
                <c:pt idx="64">
                  <c:v>220.04210419561295</c:v>
                </c:pt>
                <c:pt idx="65">
                  <c:v>214.99783611946634</c:v>
                </c:pt>
                <c:pt idx="66">
                  <c:v>200.6048217545069</c:v>
                </c:pt>
                <c:pt idx="67">
                  <c:v>199.35250548667275</c:v>
                </c:pt>
                <c:pt idx="68">
                  <c:v>206.72234848387509</c:v>
                </c:pt>
                <c:pt idx="69">
                  <c:v>204.07643888010486</c:v>
                </c:pt>
                <c:pt idx="70">
                  <c:v>197.28386053646022</c:v>
                </c:pt>
                <c:pt idx="71">
                  <c:v>198.85557551127968</c:v>
                </c:pt>
                <c:pt idx="72">
                  <c:v>199.49058516766311</c:v>
                </c:pt>
                <c:pt idx="73">
                  <c:v>199.17731850579833</c:v>
                </c:pt>
                <c:pt idx="74">
                  <c:v>204.74790209717918</c:v>
                </c:pt>
                <c:pt idx="75">
                  <c:v>209.61813630807106</c:v>
                </c:pt>
                <c:pt idx="76">
                  <c:v>209.96452628560405</c:v>
                </c:pt>
                <c:pt idx="77">
                  <c:v>200.3819678801265</c:v>
                </c:pt>
                <c:pt idx="78">
                  <c:v>201.46432201998124</c:v>
                </c:pt>
                <c:pt idx="79">
                  <c:v>200.94873519026993</c:v>
                </c:pt>
                <c:pt idx="80">
                  <c:v>200.27444725465796</c:v>
                </c:pt>
                <c:pt idx="81">
                  <c:v>207.1860772944998</c:v>
                </c:pt>
                <c:pt idx="82">
                  <c:v>216.30176530923978</c:v>
                </c:pt>
                <c:pt idx="83">
                  <c:v>218.48562950563596</c:v>
                </c:pt>
                <c:pt idx="84">
                  <c:v>214.61914014022045</c:v>
                </c:pt>
                <c:pt idx="85">
                  <c:v>215.72389571964075</c:v>
                </c:pt>
                <c:pt idx="86">
                  <c:v>212.05524856690079</c:v>
                </c:pt>
                <c:pt idx="87">
                  <c:v>218.46044944372233</c:v>
                </c:pt>
                <c:pt idx="88">
                  <c:v>220.93911290557537</c:v>
                </c:pt>
                <c:pt idx="89">
                  <c:v>222.151115079807</c:v>
                </c:pt>
                <c:pt idx="90">
                  <c:v>217.07270585353291</c:v>
                </c:pt>
                <c:pt idx="91">
                  <c:v>221.62469406974685</c:v>
                </c:pt>
                <c:pt idx="92">
                  <c:v>226.89950380135323</c:v>
                </c:pt>
                <c:pt idx="93">
                  <c:v>214.25716170804321</c:v>
                </c:pt>
                <c:pt idx="94">
                  <c:v>217.575119836977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41-094C-BCDC-8807F586F36B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frozen'!$E$5:$CU$5</c:f>
              <c:numCache>
                <c:formatCode>General</c:formatCode>
                <c:ptCount val="95"/>
                <c:pt idx="0">
                  <c:v>222.13</c:v>
                </c:pt>
                <c:pt idx="1">
                  <c:v>219.86479312626673</c:v>
                </c:pt>
                <c:pt idx="2">
                  <c:v>217.7443563570302</c:v>
                </c:pt>
                <c:pt idx="3">
                  <c:v>216.21154856233071</c:v>
                </c:pt>
                <c:pt idx="4">
                  <c:v>213.0678498380552</c:v>
                </c:pt>
                <c:pt idx="5">
                  <c:v>212.75661299892116</c:v>
                </c:pt>
                <c:pt idx="6">
                  <c:v>213.81787292112807</c:v>
                </c:pt>
                <c:pt idx="7">
                  <c:v>209.3681790105594</c:v>
                </c:pt>
                <c:pt idx="8">
                  <c:v>209.96426176193336</c:v>
                </c:pt>
                <c:pt idx="9">
                  <c:v>212.66546064179082</c:v>
                </c:pt>
                <c:pt idx="10">
                  <c:v>208.21363587955042</c:v>
                </c:pt>
                <c:pt idx="11">
                  <c:v>198.8543479502132</c:v>
                </c:pt>
                <c:pt idx="12">
                  <c:v>199.68924992895421</c:v>
                </c:pt>
                <c:pt idx="13">
                  <c:v>204.45369205088528</c:v>
                </c:pt>
                <c:pt idx="14">
                  <c:v>203.8224000347077</c:v>
                </c:pt>
                <c:pt idx="15">
                  <c:v>204.2838827959155</c:v>
                </c:pt>
                <c:pt idx="16">
                  <c:v>212.05081923839722</c:v>
                </c:pt>
                <c:pt idx="17">
                  <c:v>210.40045855905475</c:v>
                </c:pt>
                <c:pt idx="18">
                  <c:v>214.65567668097495</c:v>
                </c:pt>
                <c:pt idx="19">
                  <c:v>216.26031744394928</c:v>
                </c:pt>
                <c:pt idx="20">
                  <c:v>219.96643224910122</c:v>
                </c:pt>
                <c:pt idx="21">
                  <c:v>219.70537099256379</c:v>
                </c:pt>
                <c:pt idx="22">
                  <c:v>224.95145960909144</c:v>
                </c:pt>
                <c:pt idx="23">
                  <c:v>223.33121780372346</c:v>
                </c:pt>
                <c:pt idx="24">
                  <c:v>224.97007360267426</c:v>
                </c:pt>
                <c:pt idx="25">
                  <c:v>226.94816424982224</c:v>
                </c:pt>
                <c:pt idx="26">
                  <c:v>218.33332416982702</c:v>
                </c:pt>
                <c:pt idx="27">
                  <c:v>226.2207803157788</c:v>
                </c:pt>
                <c:pt idx="28">
                  <c:v>227.09484560220733</c:v>
                </c:pt>
                <c:pt idx="29">
                  <c:v>226.60378907304869</c:v>
                </c:pt>
                <c:pt idx="30">
                  <c:v>226.64711364267831</c:v>
                </c:pt>
                <c:pt idx="31">
                  <c:v>218.66358468377729</c:v>
                </c:pt>
                <c:pt idx="32">
                  <c:v>221.76378496204259</c:v>
                </c:pt>
                <c:pt idx="33">
                  <c:v>221.53639357283953</c:v>
                </c:pt>
                <c:pt idx="34">
                  <c:v>212.74081186706843</c:v>
                </c:pt>
                <c:pt idx="35">
                  <c:v>214.46035304947239</c:v>
                </c:pt>
                <c:pt idx="36">
                  <c:v>216.76226621462862</c:v>
                </c:pt>
                <c:pt idx="37">
                  <c:v>220.94275134115463</c:v>
                </c:pt>
                <c:pt idx="38">
                  <c:v>218.27650415602903</c:v>
                </c:pt>
                <c:pt idx="39">
                  <c:v>221.17833156047462</c:v>
                </c:pt>
                <c:pt idx="40">
                  <c:v>227.83816051805235</c:v>
                </c:pt>
                <c:pt idx="41">
                  <c:v>227.70424930727762</c:v>
                </c:pt>
                <c:pt idx="42">
                  <c:v>221.20434790716263</c:v>
                </c:pt>
                <c:pt idx="43">
                  <c:v>215.51707905042224</c:v>
                </c:pt>
                <c:pt idx="44">
                  <c:v>217.08063932013931</c:v>
                </c:pt>
                <c:pt idx="45">
                  <c:v>218.64707494763675</c:v>
                </c:pt>
                <c:pt idx="46">
                  <c:v>220.71458969991525</c:v>
                </c:pt>
                <c:pt idx="47">
                  <c:v>222.48209091381409</c:v>
                </c:pt>
                <c:pt idx="48">
                  <c:v>218.28554776653917</c:v>
                </c:pt>
                <c:pt idx="49">
                  <c:v>214.82002999511116</c:v>
                </c:pt>
                <c:pt idx="50">
                  <c:v>214.19168320881309</c:v>
                </c:pt>
                <c:pt idx="51">
                  <c:v>221.25855656156116</c:v>
                </c:pt>
                <c:pt idx="52">
                  <c:v>224.1935114696571</c:v>
                </c:pt>
                <c:pt idx="53">
                  <c:v>219.05708651875702</c:v>
                </c:pt>
                <c:pt idx="54">
                  <c:v>223.2139509789954</c:v>
                </c:pt>
                <c:pt idx="55">
                  <c:v>227.00525640067639</c:v>
                </c:pt>
                <c:pt idx="56">
                  <c:v>223.52210461802562</c:v>
                </c:pt>
                <c:pt idx="57">
                  <c:v>232.35406113522436</c:v>
                </c:pt>
                <c:pt idx="58">
                  <c:v>239.30324658024267</c:v>
                </c:pt>
                <c:pt idx="59">
                  <c:v>234.87178642560943</c:v>
                </c:pt>
                <c:pt idx="60">
                  <c:v>228.9249606190584</c:v>
                </c:pt>
                <c:pt idx="61">
                  <c:v>226.14108245306477</c:v>
                </c:pt>
                <c:pt idx="62">
                  <c:v>223.67718502724873</c:v>
                </c:pt>
                <c:pt idx="63">
                  <c:v>214.70249033780652</c:v>
                </c:pt>
                <c:pt idx="64">
                  <c:v>210.58809798348318</c:v>
                </c:pt>
                <c:pt idx="65">
                  <c:v>202.46635456723288</c:v>
                </c:pt>
                <c:pt idx="66">
                  <c:v>204.605796426105</c:v>
                </c:pt>
                <c:pt idx="67">
                  <c:v>197.94396932913514</c:v>
                </c:pt>
                <c:pt idx="68">
                  <c:v>198.16352226084425</c:v>
                </c:pt>
                <c:pt idx="69">
                  <c:v>204.86007187874498</c:v>
                </c:pt>
                <c:pt idx="70">
                  <c:v>207.55607537573701</c:v>
                </c:pt>
                <c:pt idx="71">
                  <c:v>199.78349712481779</c:v>
                </c:pt>
                <c:pt idx="72">
                  <c:v>206.37119425198625</c:v>
                </c:pt>
                <c:pt idx="73">
                  <c:v>203.20384101491257</c:v>
                </c:pt>
                <c:pt idx="74">
                  <c:v>201.58367842258147</c:v>
                </c:pt>
                <c:pt idx="75">
                  <c:v>200.39590234285242</c:v>
                </c:pt>
                <c:pt idx="76">
                  <c:v>207.48171662116502</c:v>
                </c:pt>
                <c:pt idx="77">
                  <c:v>223.99489258173972</c:v>
                </c:pt>
                <c:pt idx="78">
                  <c:v>233.39035222133032</c:v>
                </c:pt>
                <c:pt idx="79">
                  <c:v>226.2132946172467</c:v>
                </c:pt>
                <c:pt idx="80">
                  <c:v>224.53169617214817</c:v>
                </c:pt>
                <c:pt idx="81">
                  <c:v>225.74650339384496</c:v>
                </c:pt>
                <c:pt idx="82">
                  <c:v>220.37135836091602</c:v>
                </c:pt>
                <c:pt idx="83">
                  <c:v>217.88770777480113</c:v>
                </c:pt>
                <c:pt idx="84">
                  <c:v>220.61225213179463</c:v>
                </c:pt>
                <c:pt idx="85">
                  <c:v>220.39366606149977</c:v>
                </c:pt>
                <c:pt idx="86">
                  <c:v>218.74828314458725</c:v>
                </c:pt>
                <c:pt idx="87">
                  <c:v>210.8001639699452</c:v>
                </c:pt>
                <c:pt idx="88">
                  <c:v>212.45312994731657</c:v>
                </c:pt>
                <c:pt idx="89">
                  <c:v>214.50112888654684</c:v>
                </c:pt>
                <c:pt idx="90">
                  <c:v>214.25607191705268</c:v>
                </c:pt>
                <c:pt idx="91">
                  <c:v>215.53209712177619</c:v>
                </c:pt>
                <c:pt idx="92">
                  <c:v>209.79984612888089</c:v>
                </c:pt>
                <c:pt idx="93">
                  <c:v>212.64811320867631</c:v>
                </c:pt>
                <c:pt idx="94">
                  <c:v>209.83395010488448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41-094C-BCDC-8807F586F36B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frozen'!$E$6:$CU$6</c:f>
              <c:numCache>
                <c:formatCode>General</c:formatCode>
                <c:ptCount val="95"/>
                <c:pt idx="0">
                  <c:v>222.13</c:v>
                </c:pt>
                <c:pt idx="1">
                  <c:v>219.06921717872729</c:v>
                </c:pt>
                <c:pt idx="2">
                  <c:v>217.13203932212383</c:v>
                </c:pt>
                <c:pt idx="3">
                  <c:v>215.24673527331817</c:v>
                </c:pt>
                <c:pt idx="4">
                  <c:v>209.1448191067006</c:v>
                </c:pt>
                <c:pt idx="5">
                  <c:v>205.96846500188121</c:v>
                </c:pt>
                <c:pt idx="6">
                  <c:v>202.01152451956861</c:v>
                </c:pt>
                <c:pt idx="7">
                  <c:v>198.42452515070511</c:v>
                </c:pt>
                <c:pt idx="8">
                  <c:v>196.79776314074775</c:v>
                </c:pt>
                <c:pt idx="9">
                  <c:v>198.96337010911938</c:v>
                </c:pt>
                <c:pt idx="10">
                  <c:v>198.34181417536973</c:v>
                </c:pt>
                <c:pt idx="11">
                  <c:v>194.70831579534197</c:v>
                </c:pt>
                <c:pt idx="12">
                  <c:v>195.88604593016706</c:v>
                </c:pt>
                <c:pt idx="13">
                  <c:v>192.25917634665424</c:v>
                </c:pt>
                <c:pt idx="14">
                  <c:v>191.73477264131643</c:v>
                </c:pt>
                <c:pt idx="15">
                  <c:v>190.33062459215739</c:v>
                </c:pt>
                <c:pt idx="16">
                  <c:v>193.01942860456825</c:v>
                </c:pt>
                <c:pt idx="17">
                  <c:v>198.18898683871055</c:v>
                </c:pt>
                <c:pt idx="18">
                  <c:v>202.45312070454284</c:v>
                </c:pt>
                <c:pt idx="19">
                  <c:v>194.43604308599078</c:v>
                </c:pt>
                <c:pt idx="20">
                  <c:v>202.33947824924005</c:v>
                </c:pt>
                <c:pt idx="21">
                  <c:v>212.07027757305997</c:v>
                </c:pt>
                <c:pt idx="22">
                  <c:v>220.2497211471063</c:v>
                </c:pt>
                <c:pt idx="23">
                  <c:v>220.13369584468799</c:v>
                </c:pt>
                <c:pt idx="24">
                  <c:v>217.93524086560342</c:v>
                </c:pt>
                <c:pt idx="25">
                  <c:v>218.2997004815671</c:v>
                </c:pt>
                <c:pt idx="26">
                  <c:v>218.67885637937744</c:v>
                </c:pt>
                <c:pt idx="27">
                  <c:v>223.05256365002771</c:v>
                </c:pt>
                <c:pt idx="28">
                  <c:v>221.87502842348346</c:v>
                </c:pt>
                <c:pt idx="29">
                  <c:v>215.21654693507847</c:v>
                </c:pt>
                <c:pt idx="30">
                  <c:v>220.45526936643833</c:v>
                </c:pt>
                <c:pt idx="31">
                  <c:v>214.4764701881318</c:v>
                </c:pt>
                <c:pt idx="32">
                  <c:v>216.85318059909073</c:v>
                </c:pt>
                <c:pt idx="33">
                  <c:v>213.81233708783046</c:v>
                </c:pt>
                <c:pt idx="34">
                  <c:v>228.08741408442185</c:v>
                </c:pt>
                <c:pt idx="35">
                  <c:v>230.23282599704447</c:v>
                </c:pt>
                <c:pt idx="36">
                  <c:v>223.31641504944551</c:v>
                </c:pt>
                <c:pt idx="37">
                  <c:v>220.25616920630821</c:v>
                </c:pt>
                <c:pt idx="38">
                  <c:v>220.16672880807283</c:v>
                </c:pt>
                <c:pt idx="39">
                  <c:v>215.77555617249939</c:v>
                </c:pt>
                <c:pt idx="40">
                  <c:v>217.15728215777105</c:v>
                </c:pt>
                <c:pt idx="41">
                  <c:v>214.6970672243273</c:v>
                </c:pt>
                <c:pt idx="42">
                  <c:v>214.59058389691916</c:v>
                </c:pt>
                <c:pt idx="43">
                  <c:v>211.94771356689478</c:v>
                </c:pt>
                <c:pt idx="44">
                  <c:v>207.55940172051214</c:v>
                </c:pt>
                <c:pt idx="45">
                  <c:v>205.96701357551905</c:v>
                </c:pt>
                <c:pt idx="46">
                  <c:v>204.89207775660978</c:v>
                </c:pt>
                <c:pt idx="47">
                  <c:v>210.15448042321745</c:v>
                </c:pt>
                <c:pt idx="48">
                  <c:v>208.87440123289551</c:v>
                </c:pt>
                <c:pt idx="49">
                  <c:v>203.62813986704208</c:v>
                </c:pt>
                <c:pt idx="50">
                  <c:v>207.00847652389524</c:v>
                </c:pt>
                <c:pt idx="51">
                  <c:v>206.67100178549131</c:v>
                </c:pt>
                <c:pt idx="52">
                  <c:v>204.62061921321347</c:v>
                </c:pt>
                <c:pt idx="53">
                  <c:v>197.97968213460126</c:v>
                </c:pt>
                <c:pt idx="54">
                  <c:v>196.87814170316631</c:v>
                </c:pt>
                <c:pt idx="55">
                  <c:v>201.38385020087199</c:v>
                </c:pt>
                <c:pt idx="56">
                  <c:v>201.04840309434519</c:v>
                </c:pt>
                <c:pt idx="57">
                  <c:v>200.40948217074316</c:v>
                </c:pt>
                <c:pt idx="58">
                  <c:v>200.8037069833633</c:v>
                </c:pt>
                <c:pt idx="59">
                  <c:v>207.45890068927653</c:v>
                </c:pt>
                <c:pt idx="60">
                  <c:v>208.09816981063923</c:v>
                </c:pt>
                <c:pt idx="61">
                  <c:v>204.18352104979817</c:v>
                </c:pt>
                <c:pt idx="62">
                  <c:v>201.14444712325607</c:v>
                </c:pt>
                <c:pt idx="63">
                  <c:v>201.37256474526268</c:v>
                </c:pt>
                <c:pt idx="64">
                  <c:v>200.84372112420371</c:v>
                </c:pt>
                <c:pt idx="65">
                  <c:v>204.09993565057516</c:v>
                </c:pt>
                <c:pt idx="66">
                  <c:v>204.06991236109462</c:v>
                </c:pt>
                <c:pt idx="67">
                  <c:v>199.31625090231972</c:v>
                </c:pt>
                <c:pt idx="68">
                  <c:v>208.97680918933585</c:v>
                </c:pt>
                <c:pt idx="69">
                  <c:v>209.47056754622955</c:v>
                </c:pt>
                <c:pt idx="70">
                  <c:v>211.0538826677404</c:v>
                </c:pt>
                <c:pt idx="71">
                  <c:v>210.97111600688675</c:v>
                </c:pt>
                <c:pt idx="72">
                  <c:v>207.39318244669585</c:v>
                </c:pt>
                <c:pt idx="73">
                  <c:v>208.94975252207578</c:v>
                </c:pt>
                <c:pt idx="74">
                  <c:v>204.23459187789931</c:v>
                </c:pt>
                <c:pt idx="75">
                  <c:v>199.06619830552515</c:v>
                </c:pt>
                <c:pt idx="76">
                  <c:v>206.77098482843158</c:v>
                </c:pt>
                <c:pt idx="77">
                  <c:v>207.94285375426986</c:v>
                </c:pt>
                <c:pt idx="78">
                  <c:v>204.69039673683278</c:v>
                </c:pt>
                <c:pt idx="79">
                  <c:v>218.89086989249088</c:v>
                </c:pt>
                <c:pt idx="80">
                  <c:v>223.08572624422598</c:v>
                </c:pt>
                <c:pt idx="81">
                  <c:v>226.60001620694834</c:v>
                </c:pt>
                <c:pt idx="82">
                  <c:v>224.87642961251669</c:v>
                </c:pt>
                <c:pt idx="83">
                  <c:v>228.71017466970932</c:v>
                </c:pt>
                <c:pt idx="84">
                  <c:v>236.86606098197362</c:v>
                </c:pt>
                <c:pt idx="85">
                  <c:v>244.64987276995797</c:v>
                </c:pt>
                <c:pt idx="86">
                  <c:v>250.70460618076413</c:v>
                </c:pt>
                <c:pt idx="87">
                  <c:v>257.74885076792259</c:v>
                </c:pt>
                <c:pt idx="88">
                  <c:v>249.73935812879921</c:v>
                </c:pt>
                <c:pt idx="89">
                  <c:v>250.86808397121658</c:v>
                </c:pt>
                <c:pt idx="90">
                  <c:v>248.17955736269155</c:v>
                </c:pt>
                <c:pt idx="91">
                  <c:v>244.59894552965824</c:v>
                </c:pt>
                <c:pt idx="92">
                  <c:v>244.18735191747535</c:v>
                </c:pt>
                <c:pt idx="93">
                  <c:v>247.92246923235811</c:v>
                </c:pt>
                <c:pt idx="94">
                  <c:v>246.0611299248896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41-094C-BCDC-8807F586F36B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frozen'!$E$7:$CU$7</c:f>
              <c:numCache>
                <c:formatCode>General</c:formatCode>
                <c:ptCount val="95"/>
                <c:pt idx="0">
                  <c:v>222.13</c:v>
                </c:pt>
                <c:pt idx="1">
                  <c:v>221.38332295762365</c:v>
                </c:pt>
                <c:pt idx="2">
                  <c:v>215.65531296499375</c:v>
                </c:pt>
                <c:pt idx="3">
                  <c:v>222.9254505544524</c:v>
                </c:pt>
                <c:pt idx="4">
                  <c:v>214.3910014132511</c:v>
                </c:pt>
                <c:pt idx="5">
                  <c:v>216.94123465666482</c:v>
                </c:pt>
                <c:pt idx="6">
                  <c:v>212.53347275262112</c:v>
                </c:pt>
                <c:pt idx="7">
                  <c:v>222.80378932308463</c:v>
                </c:pt>
                <c:pt idx="8">
                  <c:v>218.70714423041611</c:v>
                </c:pt>
                <c:pt idx="9">
                  <c:v>212.07885739526211</c:v>
                </c:pt>
                <c:pt idx="10">
                  <c:v>217.01529339268981</c:v>
                </c:pt>
                <c:pt idx="11">
                  <c:v>222.81534278200371</c:v>
                </c:pt>
                <c:pt idx="12">
                  <c:v>225.59692687900241</c:v>
                </c:pt>
                <c:pt idx="13">
                  <c:v>229.0072525507625</c:v>
                </c:pt>
                <c:pt idx="14">
                  <c:v>235.39682582624567</c:v>
                </c:pt>
                <c:pt idx="15">
                  <c:v>235.43756479437775</c:v>
                </c:pt>
                <c:pt idx="16">
                  <c:v>234.48836152885264</c:v>
                </c:pt>
                <c:pt idx="17">
                  <c:v>245.98956871211715</c:v>
                </c:pt>
                <c:pt idx="18">
                  <c:v>241.07022185817675</c:v>
                </c:pt>
                <c:pt idx="19">
                  <c:v>251.57602994930957</c:v>
                </c:pt>
                <c:pt idx="20">
                  <c:v>259.15242668568919</c:v>
                </c:pt>
                <c:pt idx="21">
                  <c:v>253.7417619067871</c:v>
                </c:pt>
                <c:pt idx="22">
                  <c:v>241.99793639871999</c:v>
                </c:pt>
                <c:pt idx="23">
                  <c:v>245.33475439792937</c:v>
                </c:pt>
                <c:pt idx="24">
                  <c:v>247.30753680741316</c:v>
                </c:pt>
                <c:pt idx="25">
                  <c:v>242.55917622959845</c:v>
                </c:pt>
                <c:pt idx="26">
                  <c:v>238.36781338511307</c:v>
                </c:pt>
                <c:pt idx="27">
                  <c:v>240.2045321921118</c:v>
                </c:pt>
                <c:pt idx="28">
                  <c:v>245.70372465195507</c:v>
                </c:pt>
                <c:pt idx="29">
                  <c:v>234.51291706130223</c:v>
                </c:pt>
                <c:pt idx="30">
                  <c:v>229.89832540185733</c:v>
                </c:pt>
                <c:pt idx="31">
                  <c:v>230.05034106982615</c:v>
                </c:pt>
                <c:pt idx="32">
                  <c:v>236.24043441704418</c:v>
                </c:pt>
                <c:pt idx="33">
                  <c:v>234.5475536094925</c:v>
                </c:pt>
                <c:pt idx="34">
                  <c:v>232.89942823229819</c:v>
                </c:pt>
                <c:pt idx="35">
                  <c:v>227.26866868477228</c:v>
                </c:pt>
                <c:pt idx="36">
                  <c:v>229.58065943159056</c:v>
                </c:pt>
                <c:pt idx="37">
                  <c:v>230.95113378997596</c:v>
                </c:pt>
                <c:pt idx="38">
                  <c:v>231.52551479725119</c:v>
                </c:pt>
                <c:pt idx="39">
                  <c:v>221.07930962370497</c:v>
                </c:pt>
                <c:pt idx="40">
                  <c:v>216.47657146917797</c:v>
                </c:pt>
                <c:pt idx="41">
                  <c:v>216.84021040721422</c:v>
                </c:pt>
                <c:pt idx="42">
                  <c:v>215.62809154136255</c:v>
                </c:pt>
                <c:pt idx="43">
                  <c:v>216.1568962443169</c:v>
                </c:pt>
                <c:pt idx="44">
                  <c:v>214.08392125594631</c:v>
                </c:pt>
                <c:pt idx="45">
                  <c:v>214.84251752493299</c:v>
                </c:pt>
                <c:pt idx="46">
                  <c:v>216.16949534517573</c:v>
                </c:pt>
                <c:pt idx="47">
                  <c:v>216.1302653539949</c:v>
                </c:pt>
                <c:pt idx="48">
                  <c:v>220.99217242109998</c:v>
                </c:pt>
                <c:pt idx="49">
                  <c:v>211.44478040375057</c:v>
                </c:pt>
                <c:pt idx="50">
                  <c:v>211.31913197086865</c:v>
                </c:pt>
                <c:pt idx="51">
                  <c:v>207.50157823934279</c:v>
                </c:pt>
                <c:pt idx="52">
                  <c:v>202.7083052877571</c:v>
                </c:pt>
                <c:pt idx="53">
                  <c:v>204.45988682690282</c:v>
                </c:pt>
                <c:pt idx="54">
                  <c:v>198.22244156761116</c:v>
                </c:pt>
                <c:pt idx="55">
                  <c:v>206.37096189865503</c:v>
                </c:pt>
                <c:pt idx="56">
                  <c:v>203.96797913852501</c:v>
                </c:pt>
                <c:pt idx="57">
                  <c:v>203.40692548134655</c:v>
                </c:pt>
                <c:pt idx="58">
                  <c:v>196.52119324236577</c:v>
                </c:pt>
                <c:pt idx="59">
                  <c:v>195.6273061691395</c:v>
                </c:pt>
                <c:pt idx="60">
                  <c:v>193.90983104704333</c:v>
                </c:pt>
                <c:pt idx="61">
                  <c:v>202.33310155246787</c:v>
                </c:pt>
                <c:pt idx="62">
                  <c:v>207.33164971355927</c:v>
                </c:pt>
                <c:pt idx="63">
                  <c:v>218.53772939044504</c:v>
                </c:pt>
                <c:pt idx="64">
                  <c:v>211.25029695932778</c:v>
                </c:pt>
                <c:pt idx="65">
                  <c:v>218.43224802997494</c:v>
                </c:pt>
                <c:pt idx="66">
                  <c:v>223.87841510745389</c:v>
                </c:pt>
                <c:pt idx="67">
                  <c:v>226.63902758069889</c:v>
                </c:pt>
                <c:pt idx="68">
                  <c:v>234.58351626672956</c:v>
                </c:pt>
                <c:pt idx="69">
                  <c:v>228.44379698871467</c:v>
                </c:pt>
                <c:pt idx="70">
                  <c:v>235.55224789814432</c:v>
                </c:pt>
                <c:pt idx="71">
                  <c:v>239.85137737415329</c:v>
                </c:pt>
                <c:pt idx="72">
                  <c:v>244.97745718182435</c:v>
                </c:pt>
                <c:pt idx="73">
                  <c:v>240.37622323505613</c:v>
                </c:pt>
                <c:pt idx="74">
                  <c:v>235.12382201723403</c:v>
                </c:pt>
                <c:pt idx="75">
                  <c:v>233.96326566808091</c:v>
                </c:pt>
                <c:pt idx="76">
                  <c:v>236.37581721871439</c:v>
                </c:pt>
                <c:pt idx="77">
                  <c:v>231.13308349255303</c:v>
                </c:pt>
                <c:pt idx="78">
                  <c:v>232.50621437736169</c:v>
                </c:pt>
                <c:pt idx="79">
                  <c:v>238.18607125184209</c:v>
                </c:pt>
                <c:pt idx="80">
                  <c:v>244.56279748525139</c:v>
                </c:pt>
                <c:pt idx="81">
                  <c:v>231.58360711804201</c:v>
                </c:pt>
                <c:pt idx="82">
                  <c:v>232.83928493185894</c:v>
                </c:pt>
                <c:pt idx="83">
                  <c:v>230.02617859803243</c:v>
                </c:pt>
                <c:pt idx="84">
                  <c:v>234.63938787209315</c:v>
                </c:pt>
                <c:pt idx="85">
                  <c:v>248.10270407648989</c:v>
                </c:pt>
                <c:pt idx="86">
                  <c:v>239.88595314407345</c:v>
                </c:pt>
                <c:pt idx="87">
                  <c:v>246.12292066016363</c:v>
                </c:pt>
                <c:pt idx="88">
                  <c:v>248.39865525147658</c:v>
                </c:pt>
                <c:pt idx="89">
                  <c:v>243.6614026869581</c:v>
                </c:pt>
                <c:pt idx="90">
                  <c:v>244.15881543249358</c:v>
                </c:pt>
                <c:pt idx="91">
                  <c:v>235.99978130971098</c:v>
                </c:pt>
                <c:pt idx="92">
                  <c:v>230.02983173726017</c:v>
                </c:pt>
                <c:pt idx="93">
                  <c:v>227.10925287967646</c:v>
                </c:pt>
                <c:pt idx="94">
                  <c:v>223.78005144227967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41-094C-BCDC-8807F586F36B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frozen'!$E$8:$CU$8</c:f>
              <c:numCache>
                <c:formatCode>General</c:formatCode>
                <c:ptCount val="95"/>
                <c:pt idx="0">
                  <c:v>222.13</c:v>
                </c:pt>
                <c:pt idx="1">
                  <c:v>230.32380120737284</c:v>
                </c:pt>
                <c:pt idx="2">
                  <c:v>239.99618666893636</c:v>
                </c:pt>
                <c:pt idx="3">
                  <c:v>245.5619837753903</c:v>
                </c:pt>
                <c:pt idx="4">
                  <c:v>235.75358122086982</c:v>
                </c:pt>
                <c:pt idx="5">
                  <c:v>229.67312076303216</c:v>
                </c:pt>
                <c:pt idx="6">
                  <c:v>226.95405261776165</c:v>
                </c:pt>
                <c:pt idx="7">
                  <c:v>225.30907607561304</c:v>
                </c:pt>
                <c:pt idx="8">
                  <c:v>230.79764055433606</c:v>
                </c:pt>
                <c:pt idx="9">
                  <c:v>236.6517343645144</c:v>
                </c:pt>
                <c:pt idx="10">
                  <c:v>236.89107448913518</c:v>
                </c:pt>
                <c:pt idx="11">
                  <c:v>238.17000886603506</c:v>
                </c:pt>
                <c:pt idx="12">
                  <c:v>240.02201381225098</c:v>
                </c:pt>
                <c:pt idx="13">
                  <c:v>241.15654443926434</c:v>
                </c:pt>
                <c:pt idx="14">
                  <c:v>245.71921569916242</c:v>
                </c:pt>
                <c:pt idx="15">
                  <c:v>243.03085367839191</c:v>
                </c:pt>
                <c:pt idx="16">
                  <c:v>238.60810743772669</c:v>
                </c:pt>
                <c:pt idx="17">
                  <c:v>236.60527909439742</c:v>
                </c:pt>
                <c:pt idx="18">
                  <c:v>228.9954441957</c:v>
                </c:pt>
                <c:pt idx="19">
                  <c:v>225.78578478778294</c:v>
                </c:pt>
                <c:pt idx="20">
                  <c:v>228.13295842543351</c:v>
                </c:pt>
                <c:pt idx="21">
                  <c:v>241.82367004350002</c:v>
                </c:pt>
                <c:pt idx="22">
                  <c:v>241.48686568231096</c:v>
                </c:pt>
                <c:pt idx="23">
                  <c:v>237.78171829679846</c:v>
                </c:pt>
                <c:pt idx="24">
                  <c:v>248.57891783460269</c:v>
                </c:pt>
                <c:pt idx="25">
                  <c:v>248.94341046210363</c:v>
                </c:pt>
                <c:pt idx="26">
                  <c:v>250.44627549894906</c:v>
                </c:pt>
                <c:pt idx="27">
                  <c:v>250.2112873873173</c:v>
                </c:pt>
                <c:pt idx="28">
                  <c:v>242.22148081184881</c:v>
                </c:pt>
                <c:pt idx="29">
                  <c:v>242.82333263935251</c:v>
                </c:pt>
                <c:pt idx="30">
                  <c:v>250.10773783746367</c:v>
                </c:pt>
                <c:pt idx="31">
                  <c:v>244.88962333433065</c:v>
                </c:pt>
                <c:pt idx="32">
                  <c:v>245.89866612969601</c:v>
                </c:pt>
                <c:pt idx="33">
                  <c:v>231.62159759792792</c:v>
                </c:pt>
                <c:pt idx="34">
                  <c:v>225.48695413760527</c:v>
                </c:pt>
                <c:pt idx="35">
                  <c:v>225.40425760375939</c:v>
                </c:pt>
                <c:pt idx="36">
                  <c:v>232.67235455815648</c:v>
                </c:pt>
                <c:pt idx="37">
                  <c:v>233.04721600284651</c:v>
                </c:pt>
                <c:pt idx="38">
                  <c:v>231.50521876359446</c:v>
                </c:pt>
                <c:pt idx="39">
                  <c:v>232.08675263951471</c:v>
                </c:pt>
                <c:pt idx="40">
                  <c:v>229.41957796328711</c:v>
                </c:pt>
                <c:pt idx="41">
                  <c:v>222.74354899870835</c:v>
                </c:pt>
                <c:pt idx="42">
                  <c:v>221.01965686657454</c:v>
                </c:pt>
                <c:pt idx="43">
                  <c:v>219.82388524764301</c:v>
                </c:pt>
                <c:pt idx="44">
                  <c:v>225.60125547497645</c:v>
                </c:pt>
                <c:pt idx="45">
                  <c:v>226.70647777276176</c:v>
                </c:pt>
                <c:pt idx="46">
                  <c:v>219.86838653435404</c:v>
                </c:pt>
                <c:pt idx="47">
                  <c:v>214.03321995203353</c:v>
                </c:pt>
                <c:pt idx="48">
                  <c:v>216.07513185854862</c:v>
                </c:pt>
                <c:pt idx="49">
                  <c:v>221.56705698548535</c:v>
                </c:pt>
                <c:pt idx="50">
                  <c:v>217.3525559540621</c:v>
                </c:pt>
                <c:pt idx="51">
                  <c:v>215.63563585332889</c:v>
                </c:pt>
                <c:pt idx="52">
                  <c:v>218.65041299725701</c:v>
                </c:pt>
                <c:pt idx="53">
                  <c:v>219.47875186335909</c:v>
                </c:pt>
                <c:pt idx="54">
                  <c:v>201.97579387029839</c:v>
                </c:pt>
                <c:pt idx="55">
                  <c:v>199.55554531474746</c:v>
                </c:pt>
                <c:pt idx="56">
                  <c:v>196.86431784925324</c:v>
                </c:pt>
                <c:pt idx="57">
                  <c:v>201.6771067315899</c:v>
                </c:pt>
                <c:pt idx="58">
                  <c:v>203.06274646072305</c:v>
                </c:pt>
                <c:pt idx="59">
                  <c:v>201.24959374307863</c:v>
                </c:pt>
                <c:pt idx="60">
                  <c:v>204.6637225016888</c:v>
                </c:pt>
                <c:pt idx="61">
                  <c:v>191.55867466278306</c:v>
                </c:pt>
                <c:pt idx="62">
                  <c:v>201.97570439058649</c:v>
                </c:pt>
                <c:pt idx="63">
                  <c:v>206.72472572047664</c:v>
                </c:pt>
                <c:pt idx="64">
                  <c:v>207.12556746964063</c:v>
                </c:pt>
                <c:pt idx="65">
                  <c:v>212.07912909813899</c:v>
                </c:pt>
                <c:pt idx="66">
                  <c:v>213.97762091619572</c:v>
                </c:pt>
                <c:pt idx="67">
                  <c:v>208.6052504974102</c:v>
                </c:pt>
                <c:pt idx="68">
                  <c:v>206.86878215620797</c:v>
                </c:pt>
                <c:pt idx="69">
                  <c:v>210.12035268356391</c:v>
                </c:pt>
                <c:pt idx="70">
                  <c:v>213.92599972879319</c:v>
                </c:pt>
                <c:pt idx="71">
                  <c:v>212.6372461257763</c:v>
                </c:pt>
                <c:pt idx="72">
                  <c:v>207.89614506330858</c:v>
                </c:pt>
                <c:pt idx="73">
                  <c:v>204.78530439969379</c:v>
                </c:pt>
                <c:pt idx="74">
                  <c:v>212.21904273197072</c:v>
                </c:pt>
                <c:pt idx="75">
                  <c:v>212.84061274562706</c:v>
                </c:pt>
                <c:pt idx="76">
                  <c:v>206.16414261656672</c:v>
                </c:pt>
                <c:pt idx="77">
                  <c:v>204.15413941437785</c:v>
                </c:pt>
                <c:pt idx="78">
                  <c:v>205.97385386480684</c:v>
                </c:pt>
                <c:pt idx="79">
                  <c:v>203.56847270729975</c:v>
                </c:pt>
                <c:pt idx="80">
                  <c:v>197.17981836584173</c:v>
                </c:pt>
                <c:pt idx="81">
                  <c:v>208.50380947814097</c:v>
                </c:pt>
                <c:pt idx="82">
                  <c:v>203.81837114924613</c:v>
                </c:pt>
                <c:pt idx="83">
                  <c:v>203.49311336728709</c:v>
                </c:pt>
                <c:pt idx="84">
                  <c:v>210.79773841581937</c:v>
                </c:pt>
                <c:pt idx="85">
                  <c:v>215.45406297395354</c:v>
                </c:pt>
                <c:pt idx="86">
                  <c:v>218.92610036551952</c:v>
                </c:pt>
                <c:pt idx="87">
                  <c:v>224.17880038812254</c:v>
                </c:pt>
                <c:pt idx="88">
                  <c:v>218.84561867307423</c:v>
                </c:pt>
                <c:pt idx="89">
                  <c:v>224.32134187992105</c:v>
                </c:pt>
                <c:pt idx="90">
                  <c:v>224.569070796842</c:v>
                </c:pt>
                <c:pt idx="91">
                  <c:v>225.28871798880419</c:v>
                </c:pt>
                <c:pt idx="92">
                  <c:v>222.72745703721375</c:v>
                </c:pt>
                <c:pt idx="93">
                  <c:v>225.85428279239025</c:v>
                </c:pt>
                <c:pt idx="94">
                  <c:v>232.44577381906706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D41-094C-BCDC-8807F586F36B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frozen'!$E$9:$CU$9</c:f>
              <c:numCache>
                <c:formatCode>General</c:formatCode>
                <c:ptCount val="95"/>
                <c:pt idx="0">
                  <c:v>222.13</c:v>
                </c:pt>
                <c:pt idx="1">
                  <c:v>228.73096850351041</c:v>
                </c:pt>
                <c:pt idx="2">
                  <c:v>225.87150087680425</c:v>
                </c:pt>
                <c:pt idx="3">
                  <c:v>219.79140569123766</c:v>
                </c:pt>
                <c:pt idx="4">
                  <c:v>215.67135057406139</c:v>
                </c:pt>
                <c:pt idx="5">
                  <c:v>221.38634301750054</c:v>
                </c:pt>
                <c:pt idx="6">
                  <c:v>225.23538700008203</c:v>
                </c:pt>
                <c:pt idx="7">
                  <c:v>230.52689238021878</c:v>
                </c:pt>
                <c:pt idx="8">
                  <c:v>223.17926968226666</c:v>
                </c:pt>
                <c:pt idx="9">
                  <c:v>217.1330840332009</c:v>
                </c:pt>
                <c:pt idx="10">
                  <c:v>216.31232619995183</c:v>
                </c:pt>
                <c:pt idx="11">
                  <c:v>215.29420028351524</c:v>
                </c:pt>
                <c:pt idx="12">
                  <c:v>221.50413936823779</c:v>
                </c:pt>
                <c:pt idx="13">
                  <c:v>221.85605792573091</c:v>
                </c:pt>
                <c:pt idx="14">
                  <c:v>219.08167020034804</c:v>
                </c:pt>
                <c:pt idx="15">
                  <c:v>214.32022356134851</c:v>
                </c:pt>
                <c:pt idx="16">
                  <c:v>207.70159210877361</c:v>
                </c:pt>
                <c:pt idx="17">
                  <c:v>200.06090909667347</c:v>
                </c:pt>
                <c:pt idx="18">
                  <c:v>206.69847702424752</c:v>
                </c:pt>
                <c:pt idx="19">
                  <c:v>208.38207136139974</c:v>
                </c:pt>
                <c:pt idx="20">
                  <c:v>210.67327371205278</c:v>
                </c:pt>
                <c:pt idx="21">
                  <c:v>214.97992329875854</c:v>
                </c:pt>
                <c:pt idx="22">
                  <c:v>218.702679366555</c:v>
                </c:pt>
                <c:pt idx="23">
                  <c:v>218.08188844668601</c:v>
                </c:pt>
                <c:pt idx="24">
                  <c:v>217.90452715204236</c:v>
                </c:pt>
                <c:pt idx="25">
                  <c:v>214.44065432272927</c:v>
                </c:pt>
                <c:pt idx="26">
                  <c:v>218.40315843669734</c:v>
                </c:pt>
                <c:pt idx="27">
                  <c:v>220.53618968411493</c:v>
                </c:pt>
                <c:pt idx="28">
                  <c:v>222.13352371675944</c:v>
                </c:pt>
                <c:pt idx="29">
                  <c:v>231.2463202536141</c:v>
                </c:pt>
                <c:pt idx="30">
                  <c:v>231.97912682911635</c:v>
                </c:pt>
                <c:pt idx="31">
                  <c:v>224.5100373306058</c:v>
                </c:pt>
                <c:pt idx="32">
                  <c:v>235.5096031672162</c:v>
                </c:pt>
                <c:pt idx="33">
                  <c:v>241.316834914092</c:v>
                </c:pt>
                <c:pt idx="34">
                  <c:v>233.55074865341641</c:v>
                </c:pt>
                <c:pt idx="35">
                  <c:v>235.66156121595168</c:v>
                </c:pt>
                <c:pt idx="36">
                  <c:v>238.88534691262595</c:v>
                </c:pt>
                <c:pt idx="37">
                  <c:v>253.09236750869138</c:v>
                </c:pt>
                <c:pt idx="38">
                  <c:v>254.85937463816558</c:v>
                </c:pt>
                <c:pt idx="39">
                  <c:v>249.29518169484194</c:v>
                </c:pt>
                <c:pt idx="40">
                  <c:v>246.40997095205341</c:v>
                </c:pt>
                <c:pt idx="41">
                  <c:v>252.7840808988071</c:v>
                </c:pt>
                <c:pt idx="42">
                  <c:v>258.32468230975428</c:v>
                </c:pt>
                <c:pt idx="43">
                  <c:v>277.93203196979948</c:v>
                </c:pt>
                <c:pt idx="44">
                  <c:v>270.71193214301405</c:v>
                </c:pt>
                <c:pt idx="45">
                  <c:v>270.65455476063494</c:v>
                </c:pt>
                <c:pt idx="46">
                  <c:v>258.49016981360683</c:v>
                </c:pt>
                <c:pt idx="47">
                  <c:v>262.08523259222812</c:v>
                </c:pt>
                <c:pt idx="48">
                  <c:v>252.5687375813396</c:v>
                </c:pt>
                <c:pt idx="49">
                  <c:v>256.65684700824761</c:v>
                </c:pt>
                <c:pt idx="50">
                  <c:v>256.53306183293671</c:v>
                </c:pt>
                <c:pt idx="51">
                  <c:v>269.53286117760655</c:v>
                </c:pt>
                <c:pt idx="52">
                  <c:v>256.90416398149694</c:v>
                </c:pt>
                <c:pt idx="53">
                  <c:v>270.72284014858923</c:v>
                </c:pt>
                <c:pt idx="54">
                  <c:v>274.11192840041934</c:v>
                </c:pt>
                <c:pt idx="55">
                  <c:v>279.10529904065896</c:v>
                </c:pt>
                <c:pt idx="56">
                  <c:v>275.22866238457527</c:v>
                </c:pt>
                <c:pt idx="57">
                  <c:v>273.92673666475145</c:v>
                </c:pt>
                <c:pt idx="58">
                  <c:v>279.02015199432833</c:v>
                </c:pt>
                <c:pt idx="59">
                  <c:v>293.64944116668801</c:v>
                </c:pt>
                <c:pt idx="60">
                  <c:v>282.35539270240724</c:v>
                </c:pt>
                <c:pt idx="61">
                  <c:v>283.07217883696063</c:v>
                </c:pt>
                <c:pt idx="62">
                  <c:v>280.64127645463992</c:v>
                </c:pt>
                <c:pt idx="63">
                  <c:v>292.72255527874233</c:v>
                </c:pt>
                <c:pt idx="64">
                  <c:v>288.15221275753197</c:v>
                </c:pt>
                <c:pt idx="65">
                  <c:v>282.99096210829794</c:v>
                </c:pt>
                <c:pt idx="66">
                  <c:v>279.74352232686488</c:v>
                </c:pt>
                <c:pt idx="67">
                  <c:v>265.87624668590195</c:v>
                </c:pt>
                <c:pt idx="68">
                  <c:v>273.71934317029536</c:v>
                </c:pt>
                <c:pt idx="69">
                  <c:v>267.16349175946846</c:v>
                </c:pt>
                <c:pt idx="70">
                  <c:v>259.9820225216057</c:v>
                </c:pt>
                <c:pt idx="71">
                  <c:v>256.5565176009452</c:v>
                </c:pt>
                <c:pt idx="72">
                  <c:v>247.09465426974032</c:v>
                </c:pt>
                <c:pt idx="73">
                  <c:v>246.11901986606668</c:v>
                </c:pt>
                <c:pt idx="74">
                  <c:v>249.65715912179309</c:v>
                </c:pt>
                <c:pt idx="75">
                  <c:v>253.54504790352323</c:v>
                </c:pt>
                <c:pt idx="76">
                  <c:v>254.72678508520016</c:v>
                </c:pt>
                <c:pt idx="77">
                  <c:v>256.55455119627027</c:v>
                </c:pt>
                <c:pt idx="78">
                  <c:v>261.64685281574424</c:v>
                </c:pt>
                <c:pt idx="79">
                  <c:v>252.7910011013164</c:v>
                </c:pt>
                <c:pt idx="80">
                  <c:v>253.03015079529311</c:v>
                </c:pt>
                <c:pt idx="81">
                  <c:v>259.49037054003378</c:v>
                </c:pt>
                <c:pt idx="82">
                  <c:v>260.23068760175062</c:v>
                </c:pt>
                <c:pt idx="83">
                  <c:v>259.24057025096107</c:v>
                </c:pt>
                <c:pt idx="84">
                  <c:v>261.85949574815118</c:v>
                </c:pt>
                <c:pt idx="85">
                  <c:v>268.16032966366419</c:v>
                </c:pt>
                <c:pt idx="86">
                  <c:v>268.09323846027729</c:v>
                </c:pt>
                <c:pt idx="87">
                  <c:v>269.80077335960272</c:v>
                </c:pt>
                <c:pt idx="88">
                  <c:v>269.57787496562099</c:v>
                </c:pt>
                <c:pt idx="89">
                  <c:v>266.9481793433219</c:v>
                </c:pt>
                <c:pt idx="90">
                  <c:v>263.01129695466562</c:v>
                </c:pt>
                <c:pt idx="91">
                  <c:v>275.57672697641743</c:v>
                </c:pt>
                <c:pt idx="92">
                  <c:v>281.38455581150993</c:v>
                </c:pt>
                <c:pt idx="93">
                  <c:v>284.11744320415369</c:v>
                </c:pt>
                <c:pt idx="94">
                  <c:v>296.85038418570883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D41-094C-BCDC-8807F586F36B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frozen'!$E$10:$CU$10</c:f>
              <c:numCache>
                <c:formatCode>General</c:formatCode>
                <c:ptCount val="95"/>
                <c:pt idx="0">
                  <c:v>222.13</c:v>
                </c:pt>
                <c:pt idx="1">
                  <c:v>212.75883978478649</c:v>
                </c:pt>
                <c:pt idx="2">
                  <c:v>206.40258765266623</c:v>
                </c:pt>
                <c:pt idx="3">
                  <c:v>208.31785420069227</c:v>
                </c:pt>
                <c:pt idx="4">
                  <c:v>208.81953384163927</c:v>
                </c:pt>
                <c:pt idx="5">
                  <c:v>216.46181787913952</c:v>
                </c:pt>
                <c:pt idx="6">
                  <c:v>217.4110724460003</c:v>
                </c:pt>
                <c:pt idx="7">
                  <c:v>217.71190648407998</c:v>
                </c:pt>
                <c:pt idx="8">
                  <c:v>215.79491901038637</c:v>
                </c:pt>
                <c:pt idx="9">
                  <c:v>216.41666510505664</c:v>
                </c:pt>
                <c:pt idx="10">
                  <c:v>213.37976998690306</c:v>
                </c:pt>
                <c:pt idx="11">
                  <c:v>206.91948796150638</c:v>
                </c:pt>
                <c:pt idx="12">
                  <c:v>211.14454637814404</c:v>
                </c:pt>
                <c:pt idx="13">
                  <c:v>205.54991476722927</c:v>
                </c:pt>
                <c:pt idx="14">
                  <c:v>199.64623375216433</c:v>
                </c:pt>
                <c:pt idx="15">
                  <c:v>197.42268074797551</c:v>
                </c:pt>
                <c:pt idx="16">
                  <c:v>194.85505186094116</c:v>
                </c:pt>
                <c:pt idx="17">
                  <c:v>192.22545767906669</c:v>
                </c:pt>
                <c:pt idx="18">
                  <c:v>193.25263464302265</c:v>
                </c:pt>
                <c:pt idx="19">
                  <c:v>192.09953279595541</c:v>
                </c:pt>
                <c:pt idx="20">
                  <c:v>197.55667156430255</c:v>
                </c:pt>
                <c:pt idx="21">
                  <c:v>186.81164172608624</c:v>
                </c:pt>
                <c:pt idx="22">
                  <c:v>189.29638246321113</c:v>
                </c:pt>
                <c:pt idx="23">
                  <c:v>194.99164628658744</c:v>
                </c:pt>
                <c:pt idx="24">
                  <c:v>185.15313042332579</c:v>
                </c:pt>
                <c:pt idx="25">
                  <c:v>183.50896093826259</c:v>
                </c:pt>
                <c:pt idx="26">
                  <c:v>182.71020613734262</c:v>
                </c:pt>
                <c:pt idx="27">
                  <c:v>176.12121146068398</c:v>
                </c:pt>
                <c:pt idx="28">
                  <c:v>179.92762201315938</c:v>
                </c:pt>
                <c:pt idx="29">
                  <c:v>176.33857230690674</c:v>
                </c:pt>
                <c:pt idx="30">
                  <c:v>175.57805683895242</c:v>
                </c:pt>
                <c:pt idx="31">
                  <c:v>175.420846097729</c:v>
                </c:pt>
                <c:pt idx="32">
                  <c:v>167.06492900686246</c:v>
                </c:pt>
                <c:pt idx="33">
                  <c:v>167.72451281917191</c:v>
                </c:pt>
                <c:pt idx="34">
                  <c:v>169.75639376457144</c:v>
                </c:pt>
                <c:pt idx="35">
                  <c:v>167.34388460477163</c:v>
                </c:pt>
                <c:pt idx="36">
                  <c:v>169.35963724537822</c:v>
                </c:pt>
                <c:pt idx="37">
                  <c:v>160.88611690496694</c:v>
                </c:pt>
                <c:pt idx="38">
                  <c:v>163.74340981470141</c:v>
                </c:pt>
                <c:pt idx="39">
                  <c:v>167.56331856579925</c:v>
                </c:pt>
                <c:pt idx="40">
                  <c:v>168.35622122438096</c:v>
                </c:pt>
                <c:pt idx="41">
                  <c:v>172.30031166156451</c:v>
                </c:pt>
                <c:pt idx="42">
                  <c:v>173.79545072048899</c:v>
                </c:pt>
                <c:pt idx="43">
                  <c:v>179.17813565683574</c:v>
                </c:pt>
                <c:pt idx="44">
                  <c:v>177.68261721726131</c:v>
                </c:pt>
                <c:pt idx="45">
                  <c:v>171.31197514105017</c:v>
                </c:pt>
                <c:pt idx="46">
                  <c:v>170.30515628982585</c:v>
                </c:pt>
                <c:pt idx="47">
                  <c:v>166.01114420225665</c:v>
                </c:pt>
                <c:pt idx="48">
                  <c:v>167.71121637100615</c:v>
                </c:pt>
                <c:pt idx="49">
                  <c:v>166.07185595216052</c:v>
                </c:pt>
                <c:pt idx="50">
                  <c:v>167.09114495948759</c:v>
                </c:pt>
                <c:pt idx="51">
                  <c:v>164.6903544857874</c:v>
                </c:pt>
                <c:pt idx="52">
                  <c:v>162.57845900687872</c:v>
                </c:pt>
                <c:pt idx="53">
                  <c:v>163.89397244296103</c:v>
                </c:pt>
                <c:pt idx="54">
                  <c:v>160.94066647736142</c:v>
                </c:pt>
                <c:pt idx="55">
                  <c:v>159.46268364402829</c:v>
                </c:pt>
                <c:pt idx="56">
                  <c:v>161.63699028025505</c:v>
                </c:pt>
                <c:pt idx="57">
                  <c:v>158.21655894677244</c:v>
                </c:pt>
                <c:pt idx="58">
                  <c:v>157.0009526345311</c:v>
                </c:pt>
                <c:pt idx="59">
                  <c:v>155.32468967196579</c:v>
                </c:pt>
                <c:pt idx="60">
                  <c:v>154.76880115443902</c:v>
                </c:pt>
                <c:pt idx="61">
                  <c:v>163.9709631185157</c:v>
                </c:pt>
                <c:pt idx="62">
                  <c:v>159.57569033527392</c:v>
                </c:pt>
                <c:pt idx="63">
                  <c:v>162.32331581234354</c:v>
                </c:pt>
                <c:pt idx="64">
                  <c:v>158.77513422177844</c:v>
                </c:pt>
                <c:pt idx="65">
                  <c:v>159.29575809429812</c:v>
                </c:pt>
                <c:pt idx="66">
                  <c:v>157.22161709462125</c:v>
                </c:pt>
                <c:pt idx="67">
                  <c:v>155.15672429528556</c:v>
                </c:pt>
                <c:pt idx="68">
                  <c:v>159.42664402132593</c:v>
                </c:pt>
                <c:pt idx="69">
                  <c:v>164.02740973213037</c:v>
                </c:pt>
                <c:pt idx="70">
                  <c:v>160.48957973308063</c:v>
                </c:pt>
                <c:pt idx="71">
                  <c:v>156.78540441676247</c:v>
                </c:pt>
                <c:pt idx="72">
                  <c:v>153.36886248418409</c:v>
                </c:pt>
                <c:pt idx="73">
                  <c:v>159.17623453771489</c:v>
                </c:pt>
                <c:pt idx="74">
                  <c:v>163.72796434746877</c:v>
                </c:pt>
                <c:pt idx="75">
                  <c:v>166.24447824715477</c:v>
                </c:pt>
                <c:pt idx="76">
                  <c:v>164.42586592038097</c:v>
                </c:pt>
                <c:pt idx="77">
                  <c:v>162.30986884473575</c:v>
                </c:pt>
                <c:pt idx="78">
                  <c:v>160.85320192504358</c:v>
                </c:pt>
                <c:pt idx="79">
                  <c:v>165.5237518611425</c:v>
                </c:pt>
                <c:pt idx="80">
                  <c:v>169.81396475446857</c:v>
                </c:pt>
                <c:pt idx="81">
                  <c:v>169.95291748981191</c:v>
                </c:pt>
                <c:pt idx="82">
                  <c:v>176.06942870445044</c:v>
                </c:pt>
                <c:pt idx="83">
                  <c:v>173.32488010938863</c:v>
                </c:pt>
                <c:pt idx="84">
                  <c:v>176.15232195472618</c:v>
                </c:pt>
                <c:pt idx="85">
                  <c:v>172.07152203375827</c:v>
                </c:pt>
                <c:pt idx="86">
                  <c:v>174.46148224096802</c:v>
                </c:pt>
                <c:pt idx="87">
                  <c:v>173.87430743803478</c:v>
                </c:pt>
                <c:pt idx="88">
                  <c:v>173.50069780479129</c:v>
                </c:pt>
                <c:pt idx="89">
                  <c:v>174.4749236625324</c:v>
                </c:pt>
                <c:pt idx="90">
                  <c:v>170.83604064873055</c:v>
                </c:pt>
                <c:pt idx="91">
                  <c:v>163.27000762996607</c:v>
                </c:pt>
                <c:pt idx="92">
                  <c:v>162.95811868903553</c:v>
                </c:pt>
                <c:pt idx="93">
                  <c:v>165.12343304390976</c:v>
                </c:pt>
                <c:pt idx="94">
                  <c:v>171.33966428459874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D41-094C-BCDC-8807F586F36B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frozen'!$E$11:$CU$11</c:f>
              <c:numCache>
                <c:formatCode>General</c:formatCode>
                <c:ptCount val="95"/>
                <c:pt idx="0">
                  <c:v>222.13</c:v>
                </c:pt>
                <c:pt idx="1">
                  <c:v>225.43806033194963</c:v>
                </c:pt>
                <c:pt idx="2">
                  <c:v>225.25961703270741</c:v>
                </c:pt>
                <c:pt idx="3">
                  <c:v>236.00053319256227</c:v>
                </c:pt>
                <c:pt idx="4">
                  <c:v>235.43215156180131</c:v>
                </c:pt>
                <c:pt idx="5">
                  <c:v>225.52038941432974</c:v>
                </c:pt>
                <c:pt idx="6">
                  <c:v>228.64144315766958</c:v>
                </c:pt>
                <c:pt idx="7">
                  <c:v>234.04234497920814</c:v>
                </c:pt>
                <c:pt idx="8">
                  <c:v>232.60330240210564</c:v>
                </c:pt>
                <c:pt idx="9">
                  <c:v>228.7186062972682</c:v>
                </c:pt>
                <c:pt idx="10">
                  <c:v>228.20513863492721</c:v>
                </c:pt>
                <c:pt idx="11">
                  <c:v>226.07748184016671</c:v>
                </c:pt>
                <c:pt idx="12">
                  <c:v>238.62313291267299</c:v>
                </c:pt>
                <c:pt idx="13">
                  <c:v>234.42486702416656</c:v>
                </c:pt>
                <c:pt idx="14">
                  <c:v>234.38449802130705</c:v>
                </c:pt>
                <c:pt idx="15">
                  <c:v>231.45265292933732</c:v>
                </c:pt>
                <c:pt idx="16">
                  <c:v>230.85767678776716</c:v>
                </c:pt>
                <c:pt idx="17">
                  <c:v>235.09285088746046</c:v>
                </c:pt>
                <c:pt idx="18">
                  <c:v>239.08685527843892</c:v>
                </c:pt>
                <c:pt idx="19">
                  <c:v>240.62927791923016</c:v>
                </c:pt>
                <c:pt idx="20">
                  <c:v>243.02667180614907</c:v>
                </c:pt>
                <c:pt idx="21">
                  <c:v>241.50235881114671</c:v>
                </c:pt>
                <c:pt idx="22">
                  <c:v>235.09378288973318</c:v>
                </c:pt>
                <c:pt idx="23">
                  <c:v>242.16948829173091</c:v>
                </c:pt>
                <c:pt idx="24">
                  <c:v>238.92651335279157</c:v>
                </c:pt>
                <c:pt idx="25">
                  <c:v>233.40037134735252</c:v>
                </c:pt>
                <c:pt idx="26">
                  <c:v>236.99351059631024</c:v>
                </c:pt>
                <c:pt idx="27">
                  <c:v>244.35473577660986</c:v>
                </c:pt>
                <c:pt idx="28">
                  <c:v>237.22147979970674</c:v>
                </c:pt>
                <c:pt idx="29">
                  <c:v>241.20027683120961</c:v>
                </c:pt>
                <c:pt idx="30">
                  <c:v>232.70203192299931</c:v>
                </c:pt>
                <c:pt idx="31">
                  <c:v>226.83869824428089</c:v>
                </c:pt>
                <c:pt idx="32">
                  <c:v>232.53034383366665</c:v>
                </c:pt>
                <c:pt idx="33">
                  <c:v>234.02576056049759</c:v>
                </c:pt>
                <c:pt idx="34">
                  <c:v>232.96967528529746</c:v>
                </c:pt>
                <c:pt idx="35">
                  <c:v>236.29766191945001</c:v>
                </c:pt>
                <c:pt idx="36">
                  <c:v>240.28995630070969</c:v>
                </c:pt>
                <c:pt idx="37">
                  <c:v>243.07632361884967</c:v>
                </c:pt>
                <c:pt idx="38">
                  <c:v>248.43894975159446</c:v>
                </c:pt>
                <c:pt idx="39">
                  <c:v>252.12872621072006</c:v>
                </c:pt>
                <c:pt idx="40">
                  <c:v>248.47864690016473</c:v>
                </c:pt>
                <c:pt idx="41">
                  <c:v>245.02505530320144</c:v>
                </c:pt>
                <c:pt idx="42">
                  <c:v>241.31380081438533</c:v>
                </c:pt>
                <c:pt idx="43">
                  <c:v>249.7559187024797</c:v>
                </c:pt>
                <c:pt idx="44">
                  <c:v>250.84435189316463</c:v>
                </c:pt>
                <c:pt idx="45">
                  <c:v>247.11174784540827</c:v>
                </c:pt>
                <c:pt idx="46">
                  <c:v>256.11318712497177</c:v>
                </c:pt>
                <c:pt idx="47">
                  <c:v>250.91466928888894</c:v>
                </c:pt>
                <c:pt idx="48">
                  <c:v>250.09154567824314</c:v>
                </c:pt>
                <c:pt idx="49">
                  <c:v>252.04808115753625</c:v>
                </c:pt>
                <c:pt idx="50">
                  <c:v>254.43729939529308</c:v>
                </c:pt>
                <c:pt idx="51">
                  <c:v>256.04610840441904</c:v>
                </c:pt>
                <c:pt idx="52">
                  <c:v>254.5280494294704</c:v>
                </c:pt>
                <c:pt idx="53">
                  <c:v>256.44950837264133</c:v>
                </c:pt>
                <c:pt idx="54">
                  <c:v>255.8038815050318</c:v>
                </c:pt>
                <c:pt idx="55">
                  <c:v>257.12353884034866</c:v>
                </c:pt>
                <c:pt idx="56">
                  <c:v>251.36116551988761</c:v>
                </c:pt>
                <c:pt idx="57">
                  <c:v>251.07227825250052</c:v>
                </c:pt>
                <c:pt idx="58">
                  <c:v>259.72250940307651</c:v>
                </c:pt>
                <c:pt idx="59">
                  <c:v>258.73223701536278</c:v>
                </c:pt>
                <c:pt idx="60">
                  <c:v>260.43857323472952</c:v>
                </c:pt>
                <c:pt idx="61">
                  <c:v>263.43409859874566</c:v>
                </c:pt>
                <c:pt idx="62">
                  <c:v>258.13488996291522</c:v>
                </c:pt>
                <c:pt idx="63">
                  <c:v>261.13251269370005</c:v>
                </c:pt>
                <c:pt idx="64">
                  <c:v>267.83655903070513</c:v>
                </c:pt>
                <c:pt idx="65">
                  <c:v>266.4279613387065</c:v>
                </c:pt>
                <c:pt idx="66">
                  <c:v>271.72173253248553</c:v>
                </c:pt>
                <c:pt idx="67">
                  <c:v>271.31538401608356</c:v>
                </c:pt>
                <c:pt idx="68">
                  <c:v>268.82822628025633</c:v>
                </c:pt>
                <c:pt idx="69">
                  <c:v>265.73624397633199</c:v>
                </c:pt>
                <c:pt idx="70">
                  <c:v>279.36518672403315</c:v>
                </c:pt>
                <c:pt idx="71">
                  <c:v>278.47348499038168</c:v>
                </c:pt>
                <c:pt idx="72">
                  <c:v>281.84202753483663</c:v>
                </c:pt>
                <c:pt idx="73">
                  <c:v>293.55408438249691</c:v>
                </c:pt>
                <c:pt idx="74">
                  <c:v>285.99888728823726</c:v>
                </c:pt>
                <c:pt idx="75">
                  <c:v>290.39016570936997</c:v>
                </c:pt>
                <c:pt idx="76">
                  <c:v>282.92783800598824</c:v>
                </c:pt>
                <c:pt idx="77">
                  <c:v>279.91341310971853</c:v>
                </c:pt>
                <c:pt idx="78">
                  <c:v>276.12812267111099</c:v>
                </c:pt>
                <c:pt idx="79">
                  <c:v>281.46436691306002</c:v>
                </c:pt>
                <c:pt idx="80">
                  <c:v>292.06741497978857</c:v>
                </c:pt>
                <c:pt idx="81">
                  <c:v>286.11836264983674</c:v>
                </c:pt>
                <c:pt idx="82">
                  <c:v>288.10514250731916</c:v>
                </c:pt>
                <c:pt idx="83">
                  <c:v>304.84503201385445</c:v>
                </c:pt>
                <c:pt idx="84">
                  <c:v>300.57352523229696</c:v>
                </c:pt>
                <c:pt idx="85">
                  <c:v>302.81308595263005</c:v>
                </c:pt>
                <c:pt idx="86">
                  <c:v>303.6260564343105</c:v>
                </c:pt>
                <c:pt idx="87">
                  <c:v>303.09056005775551</c:v>
                </c:pt>
                <c:pt idx="88">
                  <c:v>304.96099164180214</c:v>
                </c:pt>
                <c:pt idx="89">
                  <c:v>294.02488358538875</c:v>
                </c:pt>
                <c:pt idx="90">
                  <c:v>284.80239536573731</c:v>
                </c:pt>
                <c:pt idx="91">
                  <c:v>285.43767754308374</c:v>
                </c:pt>
                <c:pt idx="92">
                  <c:v>280.27007990812183</c:v>
                </c:pt>
                <c:pt idx="93">
                  <c:v>271.19100595778121</c:v>
                </c:pt>
                <c:pt idx="94">
                  <c:v>271.17581399292766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D41-094C-BCDC-8807F586F36B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frozen'!$E$12:$CU$12</c:f>
              <c:numCache>
                <c:formatCode>General</c:formatCode>
                <c:ptCount val="95"/>
                <c:pt idx="0">
                  <c:v>222.13</c:v>
                </c:pt>
                <c:pt idx="1">
                  <c:v>210.73224040461119</c:v>
                </c:pt>
                <c:pt idx="2">
                  <c:v>210.97833017054154</c:v>
                </c:pt>
                <c:pt idx="3">
                  <c:v>220.19117049042629</c:v>
                </c:pt>
                <c:pt idx="4">
                  <c:v>214.74394449665041</c:v>
                </c:pt>
                <c:pt idx="5">
                  <c:v>204.37777445549477</c:v>
                </c:pt>
                <c:pt idx="6">
                  <c:v>203.5991273294691</c:v>
                </c:pt>
                <c:pt idx="7">
                  <c:v>208.63761778716074</c:v>
                </c:pt>
                <c:pt idx="8">
                  <c:v>201.62703063346606</c:v>
                </c:pt>
                <c:pt idx="9">
                  <c:v>202.58179147903638</c:v>
                </c:pt>
                <c:pt idx="10">
                  <c:v>200.64454736091056</c:v>
                </c:pt>
                <c:pt idx="11">
                  <c:v>206.11511478620716</c:v>
                </c:pt>
                <c:pt idx="12">
                  <c:v>202.60849501213423</c:v>
                </c:pt>
                <c:pt idx="13">
                  <c:v>204.75879559503738</c:v>
                </c:pt>
                <c:pt idx="14">
                  <c:v>201.98958126498925</c:v>
                </c:pt>
                <c:pt idx="15">
                  <c:v>197.10371713434026</c:v>
                </c:pt>
                <c:pt idx="16">
                  <c:v>205.38123215412529</c:v>
                </c:pt>
                <c:pt idx="17">
                  <c:v>204.27082491202123</c:v>
                </c:pt>
                <c:pt idx="18">
                  <c:v>201.04007599129912</c:v>
                </c:pt>
                <c:pt idx="19">
                  <c:v>200.09847982764435</c:v>
                </c:pt>
                <c:pt idx="20">
                  <c:v>197.46100983167975</c:v>
                </c:pt>
                <c:pt idx="21">
                  <c:v>201.45090029927013</c:v>
                </c:pt>
                <c:pt idx="22">
                  <c:v>199.25323894966718</c:v>
                </c:pt>
                <c:pt idx="23">
                  <c:v>193.58688678176605</c:v>
                </c:pt>
                <c:pt idx="24">
                  <c:v>191.50594221878268</c:v>
                </c:pt>
                <c:pt idx="25">
                  <c:v>196.3060123927732</c:v>
                </c:pt>
                <c:pt idx="26">
                  <c:v>196.79856807787712</c:v>
                </c:pt>
                <c:pt idx="27">
                  <c:v>190.26579334988037</c:v>
                </c:pt>
                <c:pt idx="28">
                  <c:v>188.66169519100256</c:v>
                </c:pt>
                <c:pt idx="29">
                  <c:v>188.02481574327928</c:v>
                </c:pt>
                <c:pt idx="30">
                  <c:v>190.65211879612102</c:v>
                </c:pt>
                <c:pt idx="31">
                  <c:v>187.37253003401779</c:v>
                </c:pt>
                <c:pt idx="32">
                  <c:v>185.94524449039054</c:v>
                </c:pt>
                <c:pt idx="33">
                  <c:v>198.13664429861967</c:v>
                </c:pt>
                <c:pt idx="34">
                  <c:v>195.17120844209614</c:v>
                </c:pt>
                <c:pt idx="35">
                  <c:v>189.12406248475602</c:v>
                </c:pt>
                <c:pt idx="36">
                  <c:v>180.55207416126041</c:v>
                </c:pt>
                <c:pt idx="37">
                  <c:v>184.7307088285319</c:v>
                </c:pt>
                <c:pt idx="38">
                  <c:v>184.46461192498282</c:v>
                </c:pt>
                <c:pt idx="39">
                  <c:v>185.73729432206258</c:v>
                </c:pt>
                <c:pt idx="40">
                  <c:v>197.26990066507466</c:v>
                </c:pt>
                <c:pt idx="41">
                  <c:v>196.36850790189368</c:v>
                </c:pt>
                <c:pt idx="42">
                  <c:v>192.7294271638408</c:v>
                </c:pt>
                <c:pt idx="43">
                  <c:v>196.10425844449603</c:v>
                </c:pt>
                <c:pt idx="44">
                  <c:v>187.24228398728383</c:v>
                </c:pt>
                <c:pt idx="45">
                  <c:v>191.4083543151788</c:v>
                </c:pt>
                <c:pt idx="46">
                  <c:v>187.21790353427258</c:v>
                </c:pt>
                <c:pt idx="47">
                  <c:v>181.34514935721737</c:v>
                </c:pt>
                <c:pt idx="48">
                  <c:v>185.95755646376304</c:v>
                </c:pt>
                <c:pt idx="49">
                  <c:v>184.12045212892815</c:v>
                </c:pt>
                <c:pt idx="50">
                  <c:v>184.88571745939666</c:v>
                </c:pt>
                <c:pt idx="51">
                  <c:v>182.46539779658758</c:v>
                </c:pt>
                <c:pt idx="52">
                  <c:v>178.92797625645036</c:v>
                </c:pt>
                <c:pt idx="53">
                  <c:v>183.00393709427235</c:v>
                </c:pt>
                <c:pt idx="54">
                  <c:v>181.55406596472457</c:v>
                </c:pt>
                <c:pt idx="55">
                  <c:v>189.3265334147149</c:v>
                </c:pt>
                <c:pt idx="56">
                  <c:v>190.47127363565082</c:v>
                </c:pt>
                <c:pt idx="57">
                  <c:v>192.99404168854679</c:v>
                </c:pt>
                <c:pt idx="58">
                  <c:v>200.8450339318174</c:v>
                </c:pt>
                <c:pt idx="59">
                  <c:v>200.54952616019634</c:v>
                </c:pt>
                <c:pt idx="60">
                  <c:v>201.78592414580331</c:v>
                </c:pt>
                <c:pt idx="61">
                  <c:v>192.38572187218307</c:v>
                </c:pt>
                <c:pt idx="62">
                  <c:v>183.06813150037047</c:v>
                </c:pt>
                <c:pt idx="63">
                  <c:v>185.93155928808665</c:v>
                </c:pt>
                <c:pt idx="64">
                  <c:v>188.83923357488851</c:v>
                </c:pt>
                <c:pt idx="65">
                  <c:v>198.05353217042301</c:v>
                </c:pt>
                <c:pt idx="66">
                  <c:v>194.97967317989864</c:v>
                </c:pt>
                <c:pt idx="67">
                  <c:v>191.32879850529272</c:v>
                </c:pt>
                <c:pt idx="68">
                  <c:v>200.29269863294763</c:v>
                </c:pt>
                <c:pt idx="69">
                  <c:v>201.47373212128014</c:v>
                </c:pt>
                <c:pt idx="70">
                  <c:v>192.88829008565358</c:v>
                </c:pt>
                <c:pt idx="71">
                  <c:v>195.98289334934071</c:v>
                </c:pt>
                <c:pt idx="72">
                  <c:v>193.99513431590253</c:v>
                </c:pt>
                <c:pt idx="73">
                  <c:v>194.91151072134869</c:v>
                </c:pt>
                <c:pt idx="74">
                  <c:v>190.0740714750315</c:v>
                </c:pt>
                <c:pt idx="75">
                  <c:v>197.56675155435261</c:v>
                </c:pt>
                <c:pt idx="76">
                  <c:v>199.7028814685203</c:v>
                </c:pt>
                <c:pt idx="77">
                  <c:v>198.12457065852973</c:v>
                </c:pt>
                <c:pt idx="78">
                  <c:v>202.7220249357124</c:v>
                </c:pt>
                <c:pt idx="79">
                  <c:v>205.73955522877216</c:v>
                </c:pt>
                <c:pt idx="80">
                  <c:v>207.63129744244657</c:v>
                </c:pt>
                <c:pt idx="81">
                  <c:v>212.7734326839994</c:v>
                </c:pt>
                <c:pt idx="82">
                  <c:v>208.14289696911086</c:v>
                </c:pt>
                <c:pt idx="83">
                  <c:v>211.2056882991331</c:v>
                </c:pt>
                <c:pt idx="84">
                  <c:v>201.34162445548202</c:v>
                </c:pt>
                <c:pt idx="85">
                  <c:v>198.54860940085274</c:v>
                </c:pt>
                <c:pt idx="86">
                  <c:v>191.67808259279508</c:v>
                </c:pt>
                <c:pt idx="87">
                  <c:v>192.32231137503848</c:v>
                </c:pt>
                <c:pt idx="88">
                  <c:v>197.45659896739284</c:v>
                </c:pt>
                <c:pt idx="89">
                  <c:v>194.43680903284206</c:v>
                </c:pt>
                <c:pt idx="90">
                  <c:v>191.56887699732775</c:v>
                </c:pt>
                <c:pt idx="91">
                  <c:v>196.14333914034009</c:v>
                </c:pt>
                <c:pt idx="92">
                  <c:v>196.77947649859954</c:v>
                </c:pt>
                <c:pt idx="93">
                  <c:v>199.07307022330949</c:v>
                </c:pt>
                <c:pt idx="94">
                  <c:v>194.50778934037962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D41-094C-BCDC-8807F586F36B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frozen'!$E$13:$CU$13</c:f>
              <c:numCache>
                <c:formatCode>General</c:formatCode>
                <c:ptCount val="95"/>
                <c:pt idx="0">
                  <c:v>222.13</c:v>
                </c:pt>
                <c:pt idx="1">
                  <c:v>226.59306810183284</c:v>
                </c:pt>
                <c:pt idx="2">
                  <c:v>214.86202493847412</c:v>
                </c:pt>
                <c:pt idx="3">
                  <c:v>218.30150739887952</c:v>
                </c:pt>
                <c:pt idx="4">
                  <c:v>209.94114110965884</c:v>
                </c:pt>
                <c:pt idx="5">
                  <c:v>214.55993181453556</c:v>
                </c:pt>
                <c:pt idx="6">
                  <c:v>212.77804925457369</c:v>
                </c:pt>
                <c:pt idx="7">
                  <c:v>210.31743345367155</c:v>
                </c:pt>
                <c:pt idx="8">
                  <c:v>219.00677584704874</c:v>
                </c:pt>
                <c:pt idx="9">
                  <c:v>225.8774833285965</c:v>
                </c:pt>
                <c:pt idx="10">
                  <c:v>229.49168967252226</c:v>
                </c:pt>
                <c:pt idx="11">
                  <c:v>233.03333028836249</c:v>
                </c:pt>
                <c:pt idx="12">
                  <c:v>237.27350665021399</c:v>
                </c:pt>
                <c:pt idx="13">
                  <c:v>235.85282347166375</c:v>
                </c:pt>
                <c:pt idx="14">
                  <c:v>232.53462627016785</c:v>
                </c:pt>
                <c:pt idx="15">
                  <c:v>226.35181268997508</c:v>
                </c:pt>
                <c:pt idx="16">
                  <c:v>215.28442212235066</c:v>
                </c:pt>
                <c:pt idx="17">
                  <c:v>210.45605422184389</c:v>
                </c:pt>
                <c:pt idx="18">
                  <c:v>219.20604547678479</c:v>
                </c:pt>
                <c:pt idx="19">
                  <c:v>219.87363216883102</c:v>
                </c:pt>
                <c:pt idx="20">
                  <c:v>220.43964083094272</c:v>
                </c:pt>
                <c:pt idx="21">
                  <c:v>226.04968080719325</c:v>
                </c:pt>
                <c:pt idx="22">
                  <c:v>228.89599406153829</c:v>
                </c:pt>
                <c:pt idx="23">
                  <c:v>230.92060469603686</c:v>
                </c:pt>
                <c:pt idx="24">
                  <c:v>222.86408710354459</c:v>
                </c:pt>
                <c:pt idx="25">
                  <c:v>219.54558581314259</c:v>
                </c:pt>
                <c:pt idx="26">
                  <c:v>221.50318833940523</c:v>
                </c:pt>
                <c:pt idx="27">
                  <c:v>220.73004190844327</c:v>
                </c:pt>
                <c:pt idx="28">
                  <c:v>230.11275497768284</c:v>
                </c:pt>
                <c:pt idx="29">
                  <c:v>226.9539133099091</c:v>
                </c:pt>
                <c:pt idx="30">
                  <c:v>231.33419387084228</c:v>
                </c:pt>
                <c:pt idx="31">
                  <c:v>228.24806578745643</c:v>
                </c:pt>
                <c:pt idx="32">
                  <c:v>234.02796819743494</c:v>
                </c:pt>
                <c:pt idx="33">
                  <c:v>229.95708841772063</c:v>
                </c:pt>
                <c:pt idx="34">
                  <c:v>229.07372083120589</c:v>
                </c:pt>
                <c:pt idx="35">
                  <c:v>239.16620348171816</c:v>
                </c:pt>
                <c:pt idx="36">
                  <c:v>232.95656105216042</c:v>
                </c:pt>
                <c:pt idx="37">
                  <c:v>239.58243902666825</c:v>
                </c:pt>
                <c:pt idx="38">
                  <c:v>244.57656469206879</c:v>
                </c:pt>
                <c:pt idx="39">
                  <c:v>248.82796977391411</c:v>
                </c:pt>
                <c:pt idx="40">
                  <c:v>251.83647949500613</c:v>
                </c:pt>
                <c:pt idx="41">
                  <c:v>236.42134253065646</c:v>
                </c:pt>
                <c:pt idx="42">
                  <c:v>238.50774619735427</c:v>
                </c:pt>
                <c:pt idx="43">
                  <c:v>241.93354115621335</c:v>
                </c:pt>
                <c:pt idx="44">
                  <c:v>238.5831681470244</c:v>
                </c:pt>
                <c:pt idx="45">
                  <c:v>239.29967611328399</c:v>
                </c:pt>
                <c:pt idx="46">
                  <c:v>241.61230382703559</c:v>
                </c:pt>
                <c:pt idx="47">
                  <c:v>237.8413048438936</c:v>
                </c:pt>
                <c:pt idx="48">
                  <c:v>248.80513478294938</c:v>
                </c:pt>
                <c:pt idx="49">
                  <c:v>240.0826704212607</c:v>
                </c:pt>
                <c:pt idx="50">
                  <c:v>243.87091221596543</c:v>
                </c:pt>
                <c:pt idx="51">
                  <c:v>256.19416690593374</c:v>
                </c:pt>
                <c:pt idx="52">
                  <c:v>250.51638829177128</c:v>
                </c:pt>
                <c:pt idx="53">
                  <c:v>258.80964986705749</c:v>
                </c:pt>
                <c:pt idx="54">
                  <c:v>260.94000717013643</c:v>
                </c:pt>
                <c:pt idx="55">
                  <c:v>248.32330451422055</c:v>
                </c:pt>
                <c:pt idx="56">
                  <c:v>251.03981626104255</c:v>
                </c:pt>
                <c:pt idx="57">
                  <c:v>255.09531475322896</c:v>
                </c:pt>
                <c:pt idx="58">
                  <c:v>262.24692893113689</c:v>
                </c:pt>
                <c:pt idx="59">
                  <c:v>268.26146780202629</c:v>
                </c:pt>
                <c:pt idx="60">
                  <c:v>265.47622341778271</c:v>
                </c:pt>
                <c:pt idx="61">
                  <c:v>255.14479230389796</c:v>
                </c:pt>
                <c:pt idx="62">
                  <c:v>249.30687045492149</c:v>
                </c:pt>
                <c:pt idx="63">
                  <c:v>241.55737848709751</c:v>
                </c:pt>
                <c:pt idx="64">
                  <c:v>238.45228746565908</c:v>
                </c:pt>
                <c:pt idx="65">
                  <c:v>236.34913575217453</c:v>
                </c:pt>
                <c:pt idx="66">
                  <c:v>227.8318622264444</c:v>
                </c:pt>
                <c:pt idx="67">
                  <c:v>224.10366459613829</c:v>
                </c:pt>
                <c:pt idx="68">
                  <c:v>229.00994707946043</c:v>
                </c:pt>
                <c:pt idx="69">
                  <c:v>227.81187995959587</c:v>
                </c:pt>
                <c:pt idx="70">
                  <c:v>227.18126691557794</c:v>
                </c:pt>
                <c:pt idx="71">
                  <c:v>229.14696460324262</c:v>
                </c:pt>
                <c:pt idx="72">
                  <c:v>228.78681153610162</c:v>
                </c:pt>
                <c:pt idx="73">
                  <c:v>232.30570863554973</c:v>
                </c:pt>
                <c:pt idx="74">
                  <c:v>232.82370592524109</c:v>
                </c:pt>
                <c:pt idx="75">
                  <c:v>239.34586794340342</c:v>
                </c:pt>
                <c:pt idx="76">
                  <c:v>237.55028854166011</c:v>
                </c:pt>
                <c:pt idx="77">
                  <c:v>247.15771524031535</c:v>
                </c:pt>
                <c:pt idx="78">
                  <c:v>255.85873473114066</c:v>
                </c:pt>
                <c:pt idx="79">
                  <c:v>253.22534803829276</c:v>
                </c:pt>
                <c:pt idx="80">
                  <c:v>251.68455140528332</c:v>
                </c:pt>
                <c:pt idx="81">
                  <c:v>250.07498920146409</c:v>
                </c:pt>
                <c:pt idx="82">
                  <c:v>245.22557170592864</c:v>
                </c:pt>
                <c:pt idx="83">
                  <c:v>252.97917307263398</c:v>
                </c:pt>
                <c:pt idx="84">
                  <c:v>249.38845363540699</c:v>
                </c:pt>
                <c:pt idx="85">
                  <c:v>246.07922299678182</c:v>
                </c:pt>
                <c:pt idx="86">
                  <c:v>250.82218809123736</c:v>
                </c:pt>
                <c:pt idx="87">
                  <c:v>256.31436264447808</c:v>
                </c:pt>
                <c:pt idx="88">
                  <c:v>251.85276347249595</c:v>
                </c:pt>
                <c:pt idx="89">
                  <c:v>248.98179854126477</c:v>
                </c:pt>
                <c:pt idx="90">
                  <c:v>251.97945588625603</c:v>
                </c:pt>
                <c:pt idx="91">
                  <c:v>250.92054668508106</c:v>
                </c:pt>
                <c:pt idx="92">
                  <c:v>250.62362463333127</c:v>
                </c:pt>
                <c:pt idx="93">
                  <c:v>246.09472184568216</c:v>
                </c:pt>
                <c:pt idx="94">
                  <c:v>244.93354949101706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D41-094C-BCDC-8807F586F36B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frozen'!$E$14:$CU$14</c:f>
              <c:numCache>
                <c:formatCode>General</c:formatCode>
                <c:ptCount val="95"/>
                <c:pt idx="0">
                  <c:v>222.13</c:v>
                </c:pt>
                <c:pt idx="1">
                  <c:v>227.86086167349006</c:v>
                </c:pt>
                <c:pt idx="2">
                  <c:v>217.7962282359608</c:v>
                </c:pt>
                <c:pt idx="3">
                  <c:v>217.44229379615643</c:v>
                </c:pt>
                <c:pt idx="4">
                  <c:v>225.95692148696642</c:v>
                </c:pt>
                <c:pt idx="5">
                  <c:v>230.67095371754016</c:v>
                </c:pt>
                <c:pt idx="6">
                  <c:v>222.36908740431676</c:v>
                </c:pt>
                <c:pt idx="7">
                  <c:v>225.78826444331955</c:v>
                </c:pt>
                <c:pt idx="8">
                  <c:v>230.57571248596918</c:v>
                </c:pt>
                <c:pt idx="9">
                  <c:v>221.9725618776352</c:v>
                </c:pt>
                <c:pt idx="10">
                  <c:v>219.27049318841807</c:v>
                </c:pt>
                <c:pt idx="11">
                  <c:v>216.78861001663711</c:v>
                </c:pt>
                <c:pt idx="12">
                  <c:v>215.42907106262243</c:v>
                </c:pt>
                <c:pt idx="13">
                  <c:v>214.40555351673626</c:v>
                </c:pt>
                <c:pt idx="14">
                  <c:v>224.8683306514846</c:v>
                </c:pt>
                <c:pt idx="15">
                  <c:v>215.3429331718643</c:v>
                </c:pt>
                <c:pt idx="16">
                  <c:v>207.01089771280306</c:v>
                </c:pt>
                <c:pt idx="17">
                  <c:v>198.78880439549155</c:v>
                </c:pt>
                <c:pt idx="18">
                  <c:v>192.76574539990503</c:v>
                </c:pt>
                <c:pt idx="19">
                  <c:v>191.53181996179072</c:v>
                </c:pt>
                <c:pt idx="20">
                  <c:v>181.6595581747066</c:v>
                </c:pt>
                <c:pt idx="21">
                  <c:v>191.97182216764821</c:v>
                </c:pt>
                <c:pt idx="22">
                  <c:v>190.59802598150586</c:v>
                </c:pt>
                <c:pt idx="23">
                  <c:v>196.58377414449663</c:v>
                </c:pt>
                <c:pt idx="24">
                  <c:v>200.26556610335672</c:v>
                </c:pt>
                <c:pt idx="25">
                  <c:v>198.48337201537751</c:v>
                </c:pt>
                <c:pt idx="26">
                  <c:v>190.56004445003609</c:v>
                </c:pt>
                <c:pt idx="27">
                  <c:v>191.1711925254173</c:v>
                </c:pt>
                <c:pt idx="28">
                  <c:v>190.87230234493828</c:v>
                </c:pt>
                <c:pt idx="29">
                  <c:v>190.38539397472445</c:v>
                </c:pt>
                <c:pt idx="30">
                  <c:v>188.09755557678241</c:v>
                </c:pt>
                <c:pt idx="31">
                  <c:v>190.17283573546513</c:v>
                </c:pt>
                <c:pt idx="32">
                  <c:v>193.16271548726783</c:v>
                </c:pt>
                <c:pt idx="33">
                  <c:v>190.32651487494675</c:v>
                </c:pt>
                <c:pt idx="34">
                  <c:v>190.3076629880878</c:v>
                </c:pt>
                <c:pt idx="35">
                  <c:v>187.5066634074183</c:v>
                </c:pt>
                <c:pt idx="36">
                  <c:v>188.42161928656304</c:v>
                </c:pt>
                <c:pt idx="37">
                  <c:v>196.6766567711345</c:v>
                </c:pt>
                <c:pt idx="38">
                  <c:v>202.10471751819719</c:v>
                </c:pt>
                <c:pt idx="39">
                  <c:v>201.32207194338994</c:v>
                </c:pt>
                <c:pt idx="40">
                  <c:v>196.30109422536484</c:v>
                </c:pt>
                <c:pt idx="41">
                  <c:v>193.24525862272222</c:v>
                </c:pt>
                <c:pt idx="42">
                  <c:v>188.70670587940535</c:v>
                </c:pt>
                <c:pt idx="43">
                  <c:v>188.3369705415208</c:v>
                </c:pt>
                <c:pt idx="44">
                  <c:v>185.05910927098196</c:v>
                </c:pt>
                <c:pt idx="45">
                  <c:v>182.97377170305751</c:v>
                </c:pt>
                <c:pt idx="46">
                  <c:v>185.47893426262999</c:v>
                </c:pt>
                <c:pt idx="47">
                  <c:v>182.06676334818491</c:v>
                </c:pt>
                <c:pt idx="48">
                  <c:v>178.98114503340992</c:v>
                </c:pt>
                <c:pt idx="49">
                  <c:v>186.32933012768908</c:v>
                </c:pt>
                <c:pt idx="50">
                  <c:v>191.58959237970805</c:v>
                </c:pt>
                <c:pt idx="51">
                  <c:v>192.14564133631447</c:v>
                </c:pt>
                <c:pt idx="52">
                  <c:v>201.77120303246397</c:v>
                </c:pt>
                <c:pt idx="53">
                  <c:v>197.46969979256625</c:v>
                </c:pt>
                <c:pt idx="54">
                  <c:v>198.62660424147975</c:v>
                </c:pt>
                <c:pt idx="55">
                  <c:v>194.18013516057073</c:v>
                </c:pt>
                <c:pt idx="56">
                  <c:v>191.63709080616437</c:v>
                </c:pt>
                <c:pt idx="57">
                  <c:v>192.83960879671022</c:v>
                </c:pt>
                <c:pt idx="58">
                  <c:v>191.26688315163926</c:v>
                </c:pt>
                <c:pt idx="59">
                  <c:v>191.13255966109512</c:v>
                </c:pt>
                <c:pt idx="60">
                  <c:v>184.74868673893263</c:v>
                </c:pt>
                <c:pt idx="61">
                  <c:v>180.50312360334337</c:v>
                </c:pt>
                <c:pt idx="62">
                  <c:v>187.93932645971009</c:v>
                </c:pt>
                <c:pt idx="63">
                  <c:v>188.45549175316307</c:v>
                </c:pt>
                <c:pt idx="64">
                  <c:v>189.95592939063914</c:v>
                </c:pt>
                <c:pt idx="65">
                  <c:v>194.03374752231801</c:v>
                </c:pt>
                <c:pt idx="66">
                  <c:v>192.93241810939108</c:v>
                </c:pt>
                <c:pt idx="67">
                  <c:v>196.89105516005964</c:v>
                </c:pt>
                <c:pt idx="68">
                  <c:v>188.28858413692888</c:v>
                </c:pt>
                <c:pt idx="69">
                  <c:v>189.488575739749</c:v>
                </c:pt>
                <c:pt idx="70">
                  <c:v>185.73783782898403</c:v>
                </c:pt>
                <c:pt idx="71">
                  <c:v>192.39861250654383</c:v>
                </c:pt>
                <c:pt idx="72">
                  <c:v>198.89304322673979</c:v>
                </c:pt>
                <c:pt idx="73">
                  <c:v>200.81177621641677</c:v>
                </c:pt>
                <c:pt idx="74">
                  <c:v>197.54712039474754</c:v>
                </c:pt>
                <c:pt idx="75">
                  <c:v>192.07882986453069</c:v>
                </c:pt>
                <c:pt idx="76">
                  <c:v>192.47397060438053</c:v>
                </c:pt>
                <c:pt idx="77">
                  <c:v>198.055020848314</c:v>
                </c:pt>
                <c:pt idx="78">
                  <c:v>192.54393621248909</c:v>
                </c:pt>
                <c:pt idx="79">
                  <c:v>191.25530655067573</c:v>
                </c:pt>
                <c:pt idx="80">
                  <c:v>189.71802314565855</c:v>
                </c:pt>
                <c:pt idx="81">
                  <c:v>191.31874005801939</c:v>
                </c:pt>
                <c:pt idx="82">
                  <c:v>197.60606421394155</c:v>
                </c:pt>
                <c:pt idx="83">
                  <c:v>194.83624485905523</c:v>
                </c:pt>
                <c:pt idx="84">
                  <c:v>194.57043928310924</c:v>
                </c:pt>
                <c:pt idx="85">
                  <c:v>198.47100003646906</c:v>
                </c:pt>
                <c:pt idx="86">
                  <c:v>193.13184604220197</c:v>
                </c:pt>
                <c:pt idx="87">
                  <c:v>193.70240634343071</c:v>
                </c:pt>
                <c:pt idx="88">
                  <c:v>188.55079334987028</c:v>
                </c:pt>
                <c:pt idx="89">
                  <c:v>189.22074013768892</c:v>
                </c:pt>
                <c:pt idx="90">
                  <c:v>195.05864097387047</c:v>
                </c:pt>
                <c:pt idx="91">
                  <c:v>202.88901262938836</c:v>
                </c:pt>
                <c:pt idx="92">
                  <c:v>209.07168893903651</c:v>
                </c:pt>
                <c:pt idx="93">
                  <c:v>203.11381450594052</c:v>
                </c:pt>
                <c:pt idx="94">
                  <c:v>202.64584751588399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D41-094C-BCDC-8807F586F36B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frozen'!$E$15:$CU$15</c:f>
              <c:numCache>
                <c:formatCode>General</c:formatCode>
                <c:ptCount val="95"/>
                <c:pt idx="0">
                  <c:v>222.13</c:v>
                </c:pt>
                <c:pt idx="1">
                  <c:v>231.2716580491217</c:v>
                </c:pt>
                <c:pt idx="2">
                  <c:v>226.15863165576195</c:v>
                </c:pt>
                <c:pt idx="3">
                  <c:v>225.77738839833421</c:v>
                </c:pt>
                <c:pt idx="4">
                  <c:v>230.72627011807782</c:v>
                </c:pt>
                <c:pt idx="5">
                  <c:v>229.85076660591</c:v>
                </c:pt>
                <c:pt idx="6">
                  <c:v>234.62898068425235</c:v>
                </c:pt>
                <c:pt idx="7">
                  <c:v>226.69096250954343</c:v>
                </c:pt>
                <c:pt idx="8">
                  <c:v>226.25828182221346</c:v>
                </c:pt>
                <c:pt idx="9">
                  <c:v>218.1761586174178</c:v>
                </c:pt>
                <c:pt idx="10">
                  <c:v>218.76032435806567</c:v>
                </c:pt>
                <c:pt idx="11">
                  <c:v>213.0397482093847</c:v>
                </c:pt>
                <c:pt idx="12">
                  <c:v>215.90642587521586</c:v>
                </c:pt>
                <c:pt idx="13">
                  <c:v>219.81125199708342</c:v>
                </c:pt>
                <c:pt idx="14">
                  <c:v>221.98035172677336</c:v>
                </c:pt>
                <c:pt idx="15">
                  <c:v>217.01040144500615</c:v>
                </c:pt>
                <c:pt idx="16">
                  <c:v>221.15376606947615</c:v>
                </c:pt>
                <c:pt idx="17">
                  <c:v>228.0767715546362</c:v>
                </c:pt>
                <c:pt idx="18">
                  <c:v>229.60974463478843</c:v>
                </c:pt>
                <c:pt idx="19">
                  <c:v>223.83379884176668</c:v>
                </c:pt>
                <c:pt idx="20">
                  <c:v>218.67984201163188</c:v>
                </c:pt>
                <c:pt idx="21">
                  <c:v>208.84397877088034</c:v>
                </c:pt>
                <c:pt idx="22">
                  <c:v>208.4305486757502</c:v>
                </c:pt>
                <c:pt idx="23">
                  <c:v>208.54130368957343</c:v>
                </c:pt>
                <c:pt idx="24">
                  <c:v>211.77084866553724</c:v>
                </c:pt>
                <c:pt idx="25">
                  <c:v>206.5364294068917</c:v>
                </c:pt>
                <c:pt idx="26">
                  <c:v>211.95508359483614</c:v>
                </c:pt>
                <c:pt idx="27">
                  <c:v>219.32026309045796</c:v>
                </c:pt>
                <c:pt idx="28">
                  <c:v>204.8261436394759</c:v>
                </c:pt>
                <c:pt idx="29">
                  <c:v>207.19555391596322</c:v>
                </c:pt>
                <c:pt idx="30">
                  <c:v>206.06841399746082</c:v>
                </c:pt>
                <c:pt idx="31">
                  <c:v>207.59109983300559</c:v>
                </c:pt>
                <c:pt idx="32">
                  <c:v>201.90224021884231</c:v>
                </c:pt>
                <c:pt idx="33">
                  <c:v>202.55127961256639</c:v>
                </c:pt>
                <c:pt idx="34">
                  <c:v>206.48669387620902</c:v>
                </c:pt>
                <c:pt idx="35">
                  <c:v>210.17372275852847</c:v>
                </c:pt>
                <c:pt idx="36">
                  <c:v>211.22686397193928</c:v>
                </c:pt>
                <c:pt idx="37">
                  <c:v>211.34930920780707</c:v>
                </c:pt>
                <c:pt idx="38">
                  <c:v>210.12939348823497</c:v>
                </c:pt>
                <c:pt idx="39">
                  <c:v>211.01792668062544</c:v>
                </c:pt>
                <c:pt idx="40">
                  <c:v>221.4752698902945</c:v>
                </c:pt>
                <c:pt idx="41">
                  <c:v>227.58674803153559</c:v>
                </c:pt>
                <c:pt idx="42">
                  <c:v>217.86656316905234</c:v>
                </c:pt>
                <c:pt idx="43">
                  <c:v>224.44248031231945</c:v>
                </c:pt>
                <c:pt idx="44">
                  <c:v>223.11511340167669</c:v>
                </c:pt>
                <c:pt idx="45">
                  <c:v>215.86094070820789</c:v>
                </c:pt>
                <c:pt idx="46">
                  <c:v>226.62112735828521</c:v>
                </c:pt>
                <c:pt idx="47">
                  <c:v>217.01464404675502</c:v>
                </c:pt>
                <c:pt idx="48">
                  <c:v>204.96054650381083</c:v>
                </c:pt>
                <c:pt idx="49">
                  <c:v>203.75994710433881</c:v>
                </c:pt>
                <c:pt idx="50">
                  <c:v>201.94854913415938</c:v>
                </c:pt>
                <c:pt idx="51">
                  <c:v>205.09962060998248</c:v>
                </c:pt>
                <c:pt idx="52">
                  <c:v>206.12647181709099</c:v>
                </c:pt>
                <c:pt idx="53">
                  <c:v>202.86600913775879</c:v>
                </c:pt>
                <c:pt idx="54">
                  <c:v>210.7657369575002</c:v>
                </c:pt>
                <c:pt idx="55">
                  <c:v>209.11851234761195</c:v>
                </c:pt>
                <c:pt idx="56">
                  <c:v>208.5711810837206</c:v>
                </c:pt>
                <c:pt idx="57">
                  <c:v>200.14329422372833</c:v>
                </c:pt>
                <c:pt idx="58">
                  <c:v>195.34711377344067</c:v>
                </c:pt>
                <c:pt idx="59">
                  <c:v>185.78141707857188</c:v>
                </c:pt>
                <c:pt idx="60">
                  <c:v>188.03543105528433</c:v>
                </c:pt>
                <c:pt idx="61">
                  <c:v>184.17321005410574</c:v>
                </c:pt>
                <c:pt idx="62">
                  <c:v>181.0902628703509</c:v>
                </c:pt>
                <c:pt idx="63">
                  <c:v>180.07178340455724</c:v>
                </c:pt>
                <c:pt idx="64">
                  <c:v>180.18594560210821</c:v>
                </c:pt>
                <c:pt idx="65">
                  <c:v>185.74483649961641</c:v>
                </c:pt>
                <c:pt idx="66">
                  <c:v>191.36931499824914</c:v>
                </c:pt>
                <c:pt idx="67">
                  <c:v>186.65763603745515</c:v>
                </c:pt>
                <c:pt idx="68">
                  <c:v>194.57607644411962</c:v>
                </c:pt>
                <c:pt idx="69">
                  <c:v>193.18243803952944</c:v>
                </c:pt>
                <c:pt idx="70">
                  <c:v>193.40876328151205</c:v>
                </c:pt>
                <c:pt idx="71">
                  <c:v>190.47308580753929</c:v>
                </c:pt>
                <c:pt idx="72">
                  <c:v>188.5141886007743</c:v>
                </c:pt>
                <c:pt idx="73">
                  <c:v>195.5691573650607</c:v>
                </c:pt>
                <c:pt idx="74">
                  <c:v>193.15910382383876</c:v>
                </c:pt>
                <c:pt idx="75">
                  <c:v>197.72758375145972</c:v>
                </c:pt>
                <c:pt idx="76">
                  <c:v>196.53953089141598</c:v>
                </c:pt>
                <c:pt idx="77">
                  <c:v>193.92426955223942</c:v>
                </c:pt>
                <c:pt idx="78">
                  <c:v>198.75113576185919</c:v>
                </c:pt>
                <c:pt idx="79">
                  <c:v>193.72974070542134</c:v>
                </c:pt>
                <c:pt idx="80">
                  <c:v>187.08253819162169</c:v>
                </c:pt>
                <c:pt idx="81">
                  <c:v>183.62842060510513</c:v>
                </c:pt>
                <c:pt idx="82">
                  <c:v>176.25104151149009</c:v>
                </c:pt>
                <c:pt idx="83">
                  <c:v>178.37870488102192</c:v>
                </c:pt>
                <c:pt idx="84">
                  <c:v>180.715414363181</c:v>
                </c:pt>
                <c:pt idx="85">
                  <c:v>178.45308828368488</c:v>
                </c:pt>
                <c:pt idx="86">
                  <c:v>172.88355670431406</c:v>
                </c:pt>
                <c:pt idx="87">
                  <c:v>170.8262387703374</c:v>
                </c:pt>
                <c:pt idx="88">
                  <c:v>164.62844075074401</c:v>
                </c:pt>
                <c:pt idx="89">
                  <c:v>165.57040980146107</c:v>
                </c:pt>
                <c:pt idx="90">
                  <c:v>162.43142201852646</c:v>
                </c:pt>
                <c:pt idx="91">
                  <c:v>164.07173396605367</c:v>
                </c:pt>
                <c:pt idx="92">
                  <c:v>161.26687851600946</c:v>
                </c:pt>
                <c:pt idx="93">
                  <c:v>167.28235448704908</c:v>
                </c:pt>
                <c:pt idx="94">
                  <c:v>163.15895707859218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D41-094C-BCDC-8807F586F36B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frozen'!$E$16:$CU$16</c:f>
              <c:numCache>
                <c:formatCode>General</c:formatCode>
                <c:ptCount val="95"/>
                <c:pt idx="0">
                  <c:v>222.13</c:v>
                </c:pt>
                <c:pt idx="1">
                  <c:v>227.68721291848914</c:v>
                </c:pt>
                <c:pt idx="2">
                  <c:v>222.21504446092067</c:v>
                </c:pt>
                <c:pt idx="3">
                  <c:v>227.60722039766998</c:v>
                </c:pt>
                <c:pt idx="4">
                  <c:v>220.09790601313551</c:v>
                </c:pt>
                <c:pt idx="5">
                  <c:v>220.97340967809504</c:v>
                </c:pt>
                <c:pt idx="6">
                  <c:v>220.42894090764466</c:v>
                </c:pt>
                <c:pt idx="7">
                  <c:v>216.77675174918537</c:v>
                </c:pt>
                <c:pt idx="8">
                  <c:v>228.26505490808916</c:v>
                </c:pt>
                <c:pt idx="9">
                  <c:v>226.07553250157648</c:v>
                </c:pt>
                <c:pt idx="10">
                  <c:v>231.69187409682493</c:v>
                </c:pt>
                <c:pt idx="11">
                  <c:v>245.15414199367339</c:v>
                </c:pt>
                <c:pt idx="12">
                  <c:v>246.4614615540707</c:v>
                </c:pt>
                <c:pt idx="13">
                  <c:v>244.12246028445446</c:v>
                </c:pt>
                <c:pt idx="14">
                  <c:v>249.37670620247638</c:v>
                </c:pt>
                <c:pt idx="15">
                  <c:v>249.78099580348783</c:v>
                </c:pt>
                <c:pt idx="16">
                  <c:v>255.23247756350483</c:v>
                </c:pt>
                <c:pt idx="17">
                  <c:v>257.66964231021535</c:v>
                </c:pt>
                <c:pt idx="18">
                  <c:v>260.43907115209606</c:v>
                </c:pt>
                <c:pt idx="19">
                  <c:v>257.62960532738589</c:v>
                </c:pt>
                <c:pt idx="20">
                  <c:v>256.12922734110049</c:v>
                </c:pt>
                <c:pt idx="21">
                  <c:v>255.05319244670466</c:v>
                </c:pt>
                <c:pt idx="22">
                  <c:v>264.80953586259966</c:v>
                </c:pt>
                <c:pt idx="23">
                  <c:v>261.30375409863666</c:v>
                </c:pt>
                <c:pt idx="24">
                  <c:v>250.12886911668573</c:v>
                </c:pt>
                <c:pt idx="25">
                  <c:v>248.36930044661801</c:v>
                </c:pt>
                <c:pt idx="26">
                  <c:v>248.40407303351782</c:v>
                </c:pt>
                <c:pt idx="27">
                  <c:v>248.14188470605552</c:v>
                </c:pt>
                <c:pt idx="28">
                  <c:v>243.06493255007123</c:v>
                </c:pt>
                <c:pt idx="29">
                  <c:v>239.5874071097883</c:v>
                </c:pt>
                <c:pt idx="30">
                  <c:v>246.66110516056415</c:v>
                </c:pt>
                <c:pt idx="31">
                  <c:v>247.1160112757116</c:v>
                </c:pt>
                <c:pt idx="32">
                  <c:v>252.75571661870555</c:v>
                </c:pt>
                <c:pt idx="33">
                  <c:v>241.38763985020165</c:v>
                </c:pt>
                <c:pt idx="34">
                  <c:v>237.38913158059887</c:v>
                </c:pt>
                <c:pt idx="35">
                  <c:v>233.22408067689548</c:v>
                </c:pt>
                <c:pt idx="36">
                  <c:v>233.15828505191536</c:v>
                </c:pt>
                <c:pt idx="37">
                  <c:v>233.95802223158412</c:v>
                </c:pt>
                <c:pt idx="38">
                  <c:v>227.01446820900324</c:v>
                </c:pt>
                <c:pt idx="39">
                  <c:v>223.18809420205426</c:v>
                </c:pt>
                <c:pt idx="40">
                  <c:v>220.56641592926741</c:v>
                </c:pt>
                <c:pt idx="41">
                  <c:v>217.18663307136237</c:v>
                </c:pt>
                <c:pt idx="42">
                  <c:v>212.63887654701568</c:v>
                </c:pt>
                <c:pt idx="43">
                  <c:v>217.88426351184623</c:v>
                </c:pt>
                <c:pt idx="44">
                  <c:v>217.3689797140419</c:v>
                </c:pt>
                <c:pt idx="45">
                  <c:v>215.26654598544204</c:v>
                </c:pt>
                <c:pt idx="46">
                  <c:v>208.92936946891848</c:v>
                </c:pt>
                <c:pt idx="47">
                  <c:v>200.99661180038231</c:v>
                </c:pt>
                <c:pt idx="48">
                  <c:v>198.79615661573283</c:v>
                </c:pt>
                <c:pt idx="49">
                  <c:v>201.92570918853747</c:v>
                </c:pt>
                <c:pt idx="50">
                  <c:v>196.97735275263869</c:v>
                </c:pt>
                <c:pt idx="51">
                  <c:v>203.55563599420023</c:v>
                </c:pt>
                <c:pt idx="52">
                  <c:v>210.22966684755147</c:v>
                </c:pt>
                <c:pt idx="53">
                  <c:v>204.50372961057482</c:v>
                </c:pt>
                <c:pt idx="54">
                  <c:v>202.46135201227352</c:v>
                </c:pt>
                <c:pt idx="55">
                  <c:v>197.74996745238951</c:v>
                </c:pt>
                <c:pt idx="56">
                  <c:v>197.6390140014056</c:v>
                </c:pt>
                <c:pt idx="57">
                  <c:v>202.10580807011496</c:v>
                </c:pt>
                <c:pt idx="58">
                  <c:v>198.53257463271589</c:v>
                </c:pt>
                <c:pt idx="59">
                  <c:v>198.86479742325241</c:v>
                </c:pt>
                <c:pt idx="60">
                  <c:v>209.48606526784741</c:v>
                </c:pt>
                <c:pt idx="61">
                  <c:v>215.98099282565144</c:v>
                </c:pt>
                <c:pt idx="62">
                  <c:v>214.02497087409233</c:v>
                </c:pt>
                <c:pt idx="63">
                  <c:v>214.82839618679952</c:v>
                </c:pt>
                <c:pt idx="64">
                  <c:v>214.25745074250841</c:v>
                </c:pt>
                <c:pt idx="65">
                  <c:v>197.83961437246472</c:v>
                </c:pt>
                <c:pt idx="66">
                  <c:v>202.01555743188737</c:v>
                </c:pt>
                <c:pt idx="67">
                  <c:v>201.61489093719445</c:v>
                </c:pt>
                <c:pt idx="68">
                  <c:v>200.17954228372227</c:v>
                </c:pt>
                <c:pt idx="69">
                  <c:v>201.1202764114212</c:v>
                </c:pt>
                <c:pt idx="70">
                  <c:v>188.80333739051355</c:v>
                </c:pt>
                <c:pt idx="71">
                  <c:v>183.85531589515233</c:v>
                </c:pt>
                <c:pt idx="72">
                  <c:v>177.00386996288967</c:v>
                </c:pt>
                <c:pt idx="73">
                  <c:v>167.76864070103338</c:v>
                </c:pt>
                <c:pt idx="74">
                  <c:v>168.38447080564478</c:v>
                </c:pt>
                <c:pt idx="75">
                  <c:v>166.98863770227112</c:v>
                </c:pt>
                <c:pt idx="76">
                  <c:v>162.51806584560151</c:v>
                </c:pt>
                <c:pt idx="77">
                  <c:v>159.95479554258645</c:v>
                </c:pt>
                <c:pt idx="78">
                  <c:v>159.72369999243094</c:v>
                </c:pt>
                <c:pt idx="79">
                  <c:v>157.71007120695867</c:v>
                </c:pt>
                <c:pt idx="80">
                  <c:v>153.27266764781956</c:v>
                </c:pt>
                <c:pt idx="81">
                  <c:v>154.50983070645944</c:v>
                </c:pt>
                <c:pt idx="82">
                  <c:v>160.05806619601671</c:v>
                </c:pt>
                <c:pt idx="83">
                  <c:v>159.60805458291262</c:v>
                </c:pt>
                <c:pt idx="84">
                  <c:v>156.50571463520257</c:v>
                </c:pt>
                <c:pt idx="85">
                  <c:v>159.07667783773633</c:v>
                </c:pt>
                <c:pt idx="86">
                  <c:v>161.89106898335555</c:v>
                </c:pt>
                <c:pt idx="87">
                  <c:v>168.65189721041187</c:v>
                </c:pt>
                <c:pt idx="88">
                  <c:v>163.46539352646766</c:v>
                </c:pt>
                <c:pt idx="89">
                  <c:v>164.6912428526538</c:v>
                </c:pt>
                <c:pt idx="90">
                  <c:v>168.79629107424088</c:v>
                </c:pt>
                <c:pt idx="91">
                  <c:v>167.85381258691243</c:v>
                </c:pt>
                <c:pt idx="92">
                  <c:v>163.58614376395505</c:v>
                </c:pt>
                <c:pt idx="93">
                  <c:v>165.22437895776815</c:v>
                </c:pt>
                <c:pt idx="94">
                  <c:v>168.38571759205209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D41-094C-BCDC-8807F586F36B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frozen'!$E$17:$CU$17</c:f>
              <c:numCache>
                <c:formatCode>General</c:formatCode>
                <c:ptCount val="95"/>
                <c:pt idx="0">
                  <c:v>222.13</c:v>
                </c:pt>
                <c:pt idx="1">
                  <c:v>219.11864147957556</c:v>
                </c:pt>
                <c:pt idx="2">
                  <c:v>226.96704608448951</c:v>
                </c:pt>
                <c:pt idx="3">
                  <c:v>225.17852741687682</c:v>
                </c:pt>
                <c:pt idx="4">
                  <c:v>219.53145318973236</c:v>
                </c:pt>
                <c:pt idx="5">
                  <c:v>219.23299096218986</c:v>
                </c:pt>
                <c:pt idx="6">
                  <c:v>219.92128146322133</c:v>
                </c:pt>
                <c:pt idx="7">
                  <c:v>221.85747015470236</c:v>
                </c:pt>
                <c:pt idx="8">
                  <c:v>228.48264510272733</c:v>
                </c:pt>
                <c:pt idx="9">
                  <c:v>233.44814455321966</c:v>
                </c:pt>
                <c:pt idx="10">
                  <c:v>229.50947512063578</c:v>
                </c:pt>
                <c:pt idx="11">
                  <c:v>226.6038930309121</c:v>
                </c:pt>
                <c:pt idx="12">
                  <c:v>229.98941132397158</c:v>
                </c:pt>
                <c:pt idx="13">
                  <c:v>229.79682597148113</c:v>
                </c:pt>
                <c:pt idx="14">
                  <c:v>233.96435243961281</c:v>
                </c:pt>
                <c:pt idx="15">
                  <c:v>241.97066977209016</c:v>
                </c:pt>
                <c:pt idx="16">
                  <c:v>231.83738571606881</c:v>
                </c:pt>
                <c:pt idx="17">
                  <c:v>230.46532678744694</c:v>
                </c:pt>
                <c:pt idx="18">
                  <c:v>229.78414387397132</c:v>
                </c:pt>
                <c:pt idx="19">
                  <c:v>230.18897475110123</c:v>
                </c:pt>
                <c:pt idx="20">
                  <c:v>230.45388104680927</c:v>
                </c:pt>
                <c:pt idx="21">
                  <c:v>234.57708739213803</c:v>
                </c:pt>
                <c:pt idx="22">
                  <c:v>242.20960504468522</c:v>
                </c:pt>
                <c:pt idx="23">
                  <c:v>243.14598890042029</c:v>
                </c:pt>
                <c:pt idx="24">
                  <c:v>247.26081424669195</c:v>
                </c:pt>
                <c:pt idx="25">
                  <c:v>241.69700774300495</c:v>
                </c:pt>
                <c:pt idx="26">
                  <c:v>239.33551749458883</c:v>
                </c:pt>
                <c:pt idx="27">
                  <c:v>231.12052749326767</c:v>
                </c:pt>
                <c:pt idx="28">
                  <c:v>235.06812884381739</c:v>
                </c:pt>
                <c:pt idx="29">
                  <c:v>241.62293199620422</c:v>
                </c:pt>
                <c:pt idx="30">
                  <c:v>240.4003201167159</c:v>
                </c:pt>
                <c:pt idx="31">
                  <c:v>242.09796588408724</c:v>
                </c:pt>
                <c:pt idx="32">
                  <c:v>241.18917100621692</c:v>
                </c:pt>
                <c:pt idx="33">
                  <c:v>253.00415710169995</c:v>
                </c:pt>
                <c:pt idx="34">
                  <c:v>241.79930281893635</c:v>
                </c:pt>
                <c:pt idx="35">
                  <c:v>245.29547506414156</c:v>
                </c:pt>
                <c:pt idx="36">
                  <c:v>244.59626860258544</c:v>
                </c:pt>
                <c:pt idx="37">
                  <c:v>233.21996737144792</c:v>
                </c:pt>
                <c:pt idx="38">
                  <c:v>240.25453630522404</c:v>
                </c:pt>
                <c:pt idx="39">
                  <c:v>238.76584327456391</c:v>
                </c:pt>
                <c:pt idx="40">
                  <c:v>243.76533190729782</c:v>
                </c:pt>
                <c:pt idx="41">
                  <c:v>250.2019760819837</c:v>
                </c:pt>
                <c:pt idx="42">
                  <c:v>250.32399629663084</c:v>
                </c:pt>
                <c:pt idx="43">
                  <c:v>257.11785428373827</c:v>
                </c:pt>
                <c:pt idx="44">
                  <c:v>253.25534904753152</c:v>
                </c:pt>
                <c:pt idx="45">
                  <c:v>249.9095288962188</c:v>
                </c:pt>
                <c:pt idx="46">
                  <c:v>237.32266586730407</c:v>
                </c:pt>
                <c:pt idx="47">
                  <c:v>246.9444589337657</c:v>
                </c:pt>
                <c:pt idx="48">
                  <c:v>246.61731092020295</c:v>
                </c:pt>
                <c:pt idx="49">
                  <c:v>249.52005968116219</c:v>
                </c:pt>
                <c:pt idx="50">
                  <c:v>248.91832337983382</c:v>
                </c:pt>
                <c:pt idx="51">
                  <c:v>252.06403255591965</c:v>
                </c:pt>
                <c:pt idx="52">
                  <c:v>250.30003039338857</c:v>
                </c:pt>
                <c:pt idx="53">
                  <c:v>262.43808103323107</c:v>
                </c:pt>
                <c:pt idx="54">
                  <c:v>252.42459981510748</c:v>
                </c:pt>
                <c:pt idx="55">
                  <c:v>246.69697545166551</c:v>
                </c:pt>
                <c:pt idx="56">
                  <c:v>240.46660912024964</c:v>
                </c:pt>
                <c:pt idx="57">
                  <c:v>237.27974085120402</c:v>
                </c:pt>
                <c:pt idx="58">
                  <c:v>235.41110861802139</c:v>
                </c:pt>
                <c:pt idx="59">
                  <c:v>240.99763331650692</c:v>
                </c:pt>
                <c:pt idx="60">
                  <c:v>244.58977514392529</c:v>
                </c:pt>
                <c:pt idx="61">
                  <c:v>241.78928257216592</c:v>
                </c:pt>
                <c:pt idx="62">
                  <c:v>233.73626196129757</c:v>
                </c:pt>
                <c:pt idx="63">
                  <c:v>223.18976642884618</c:v>
                </c:pt>
                <c:pt idx="64">
                  <c:v>217.92829575571244</c:v>
                </c:pt>
                <c:pt idx="65">
                  <c:v>221.64013733476509</c:v>
                </c:pt>
                <c:pt idx="66">
                  <c:v>222.62412371620968</c:v>
                </c:pt>
                <c:pt idx="67">
                  <c:v>222.62170988019457</c:v>
                </c:pt>
                <c:pt idx="68">
                  <c:v>222.94388331749559</c:v>
                </c:pt>
                <c:pt idx="69">
                  <c:v>228.83809079858543</c:v>
                </c:pt>
                <c:pt idx="70">
                  <c:v>228.35126142764582</c:v>
                </c:pt>
                <c:pt idx="71">
                  <c:v>230.22168191550787</c:v>
                </c:pt>
                <c:pt idx="72">
                  <c:v>224.93280364778397</c:v>
                </c:pt>
                <c:pt idx="73">
                  <c:v>214.5831226355937</c:v>
                </c:pt>
                <c:pt idx="74">
                  <c:v>215.84046372214513</c:v>
                </c:pt>
                <c:pt idx="75">
                  <c:v>222.8169217234898</c:v>
                </c:pt>
                <c:pt idx="76">
                  <c:v>213.18495808055116</c:v>
                </c:pt>
                <c:pt idx="77">
                  <c:v>217.50350153053921</c:v>
                </c:pt>
                <c:pt idx="78">
                  <c:v>208.80997246070615</c:v>
                </c:pt>
                <c:pt idx="79">
                  <c:v>207.50748395086083</c:v>
                </c:pt>
                <c:pt idx="80">
                  <c:v>208.28443910993963</c:v>
                </c:pt>
                <c:pt idx="81">
                  <c:v>198.81440102882908</c:v>
                </c:pt>
                <c:pt idx="82">
                  <c:v>207.74775441442108</c:v>
                </c:pt>
                <c:pt idx="83">
                  <c:v>208.21528362258402</c:v>
                </c:pt>
                <c:pt idx="84">
                  <c:v>205.22884561711317</c:v>
                </c:pt>
                <c:pt idx="85">
                  <c:v>207.60260700493782</c:v>
                </c:pt>
                <c:pt idx="86">
                  <c:v>215.71705375235689</c:v>
                </c:pt>
                <c:pt idx="87">
                  <c:v>216.57322233419441</c:v>
                </c:pt>
                <c:pt idx="88">
                  <c:v>210.72989572641364</c:v>
                </c:pt>
                <c:pt idx="89">
                  <c:v>212.38263936085255</c:v>
                </c:pt>
                <c:pt idx="90">
                  <c:v>211.20272404997561</c:v>
                </c:pt>
                <c:pt idx="91">
                  <c:v>212.72741683143045</c:v>
                </c:pt>
                <c:pt idx="92">
                  <c:v>217.26395897291863</c:v>
                </c:pt>
                <c:pt idx="93">
                  <c:v>209.41704511471434</c:v>
                </c:pt>
                <c:pt idx="94">
                  <c:v>211.21298717552307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D41-094C-BCDC-8807F586F36B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frozen'!$E$18:$CU$18</c:f>
              <c:numCache>
                <c:formatCode>General</c:formatCode>
                <c:ptCount val="95"/>
                <c:pt idx="0">
                  <c:v>222.13</c:v>
                </c:pt>
                <c:pt idx="1">
                  <c:v>223.88128629158402</c:v>
                </c:pt>
                <c:pt idx="2">
                  <c:v>227.65924521101581</c:v>
                </c:pt>
                <c:pt idx="3">
                  <c:v>220.0822298837997</c:v>
                </c:pt>
                <c:pt idx="4">
                  <c:v>209.24516964845071</c:v>
                </c:pt>
                <c:pt idx="5">
                  <c:v>210.37918999063567</c:v>
                </c:pt>
                <c:pt idx="6">
                  <c:v>209.9618654364196</c:v>
                </c:pt>
                <c:pt idx="7">
                  <c:v>218.93533435803494</c:v>
                </c:pt>
                <c:pt idx="8">
                  <c:v>215.6525252400626</c:v>
                </c:pt>
                <c:pt idx="9">
                  <c:v>219.41428406036695</c:v>
                </c:pt>
                <c:pt idx="10">
                  <c:v>218.62171248364319</c:v>
                </c:pt>
                <c:pt idx="11">
                  <c:v>217.81686005343136</c:v>
                </c:pt>
                <c:pt idx="12">
                  <c:v>215.06304625999536</c:v>
                </c:pt>
                <c:pt idx="13">
                  <c:v>231.89579100349758</c:v>
                </c:pt>
                <c:pt idx="14">
                  <c:v>236.04392912166776</c:v>
                </c:pt>
                <c:pt idx="15">
                  <c:v>236.97936465004051</c:v>
                </c:pt>
                <c:pt idx="16">
                  <c:v>236.9014459314777</c:v>
                </c:pt>
                <c:pt idx="17">
                  <c:v>227.847398371884</c:v>
                </c:pt>
                <c:pt idx="18">
                  <c:v>227.86633623146835</c:v>
                </c:pt>
                <c:pt idx="19">
                  <c:v>235.1489520684988</c:v>
                </c:pt>
                <c:pt idx="20">
                  <c:v>240.16393519790557</c:v>
                </c:pt>
                <c:pt idx="21">
                  <c:v>238.87258526122372</c:v>
                </c:pt>
                <c:pt idx="22">
                  <c:v>241.73757189894391</c:v>
                </c:pt>
                <c:pt idx="23">
                  <c:v>236.79055927594197</c:v>
                </c:pt>
                <c:pt idx="24">
                  <c:v>231.22617504487002</c:v>
                </c:pt>
                <c:pt idx="25">
                  <c:v>227.47814379463856</c:v>
                </c:pt>
                <c:pt idx="26">
                  <c:v>230.50914774288782</c:v>
                </c:pt>
                <c:pt idx="27">
                  <c:v>219.00395405728494</c:v>
                </c:pt>
                <c:pt idx="28">
                  <c:v>220.03186149940566</c:v>
                </c:pt>
                <c:pt idx="29">
                  <c:v>214.04072253545229</c:v>
                </c:pt>
                <c:pt idx="30">
                  <c:v>215.44259539766301</c:v>
                </c:pt>
                <c:pt idx="31">
                  <c:v>217.53474820751867</c:v>
                </c:pt>
                <c:pt idx="32">
                  <c:v>209.26404703141392</c:v>
                </c:pt>
                <c:pt idx="33">
                  <c:v>211.13672206539624</c:v>
                </c:pt>
                <c:pt idx="34">
                  <c:v>201.55612458140999</c:v>
                </c:pt>
                <c:pt idx="35">
                  <c:v>197.33310828835008</c:v>
                </c:pt>
                <c:pt idx="36">
                  <c:v>199.04517156598956</c:v>
                </c:pt>
                <c:pt idx="37">
                  <c:v>199.12773017258655</c:v>
                </c:pt>
                <c:pt idx="38">
                  <c:v>194.99571633665951</c:v>
                </c:pt>
                <c:pt idx="39">
                  <c:v>191.3965028807244</c:v>
                </c:pt>
                <c:pt idx="40">
                  <c:v>192.46903966702973</c:v>
                </c:pt>
                <c:pt idx="41">
                  <c:v>194.79187710462347</c:v>
                </c:pt>
                <c:pt idx="42">
                  <c:v>195.34822424392635</c:v>
                </c:pt>
                <c:pt idx="43">
                  <c:v>189.9583006187122</c:v>
                </c:pt>
                <c:pt idx="44">
                  <c:v>194.08284352309187</c:v>
                </c:pt>
                <c:pt idx="45">
                  <c:v>199.38746668018814</c:v>
                </c:pt>
                <c:pt idx="46">
                  <c:v>207.18505154298546</c:v>
                </c:pt>
                <c:pt idx="47">
                  <c:v>206.94565179899288</c:v>
                </c:pt>
                <c:pt idx="48">
                  <c:v>204.83280034225476</c:v>
                </c:pt>
                <c:pt idx="49">
                  <c:v>215.42661948687262</c:v>
                </c:pt>
                <c:pt idx="50">
                  <c:v>205.11231167066288</c:v>
                </c:pt>
                <c:pt idx="51">
                  <c:v>208.23823412900572</c:v>
                </c:pt>
                <c:pt idx="52">
                  <c:v>199.70026284038161</c:v>
                </c:pt>
                <c:pt idx="53">
                  <c:v>208.77825218271235</c:v>
                </c:pt>
                <c:pt idx="54">
                  <c:v>201.90696628893315</c:v>
                </c:pt>
                <c:pt idx="55">
                  <c:v>209.48989651302082</c:v>
                </c:pt>
                <c:pt idx="56">
                  <c:v>213.72536053862737</c:v>
                </c:pt>
                <c:pt idx="57">
                  <c:v>211.95354964631179</c:v>
                </c:pt>
                <c:pt idx="58">
                  <c:v>215.24107909411245</c:v>
                </c:pt>
                <c:pt idx="59">
                  <c:v>212.26085846640424</c:v>
                </c:pt>
                <c:pt idx="60">
                  <c:v>216.99925006897973</c:v>
                </c:pt>
                <c:pt idx="61">
                  <c:v>217.34786900464633</c:v>
                </c:pt>
                <c:pt idx="62">
                  <c:v>218.66782367955003</c:v>
                </c:pt>
                <c:pt idx="63">
                  <c:v>215.71266138224865</c:v>
                </c:pt>
                <c:pt idx="64">
                  <c:v>212.28770936616669</c:v>
                </c:pt>
                <c:pt idx="65">
                  <c:v>204.34280727138471</c:v>
                </c:pt>
                <c:pt idx="66">
                  <c:v>210.44610859434042</c:v>
                </c:pt>
                <c:pt idx="67">
                  <c:v>212.430669791491</c:v>
                </c:pt>
                <c:pt idx="68">
                  <c:v>206.05453249399841</c:v>
                </c:pt>
                <c:pt idx="69">
                  <c:v>199.0440477611281</c:v>
                </c:pt>
                <c:pt idx="70">
                  <c:v>200.03769681484943</c:v>
                </c:pt>
                <c:pt idx="71">
                  <c:v>200.17755907916924</c:v>
                </c:pt>
                <c:pt idx="72">
                  <c:v>197.37776294443074</c:v>
                </c:pt>
                <c:pt idx="73">
                  <c:v>198.26339720761564</c:v>
                </c:pt>
                <c:pt idx="74">
                  <c:v>195.74557485132561</c:v>
                </c:pt>
                <c:pt idx="75">
                  <c:v>201.50873263547552</c:v>
                </c:pt>
                <c:pt idx="76">
                  <c:v>204.61115906928526</c:v>
                </c:pt>
                <c:pt idx="77">
                  <c:v>208.83871002050194</c:v>
                </c:pt>
                <c:pt idx="78">
                  <c:v>204.23813144556414</c:v>
                </c:pt>
                <c:pt idx="79">
                  <c:v>205.46170563392198</c:v>
                </c:pt>
                <c:pt idx="80">
                  <c:v>200.23619306039294</c:v>
                </c:pt>
                <c:pt idx="81">
                  <c:v>199.70335360150685</c:v>
                </c:pt>
                <c:pt idx="82">
                  <c:v>199.84627413254557</c:v>
                </c:pt>
                <c:pt idx="83">
                  <c:v>204.45826941084053</c:v>
                </c:pt>
                <c:pt idx="84">
                  <c:v>201.31024270702633</c:v>
                </c:pt>
                <c:pt idx="85">
                  <c:v>201.50467984676476</c:v>
                </c:pt>
                <c:pt idx="86">
                  <c:v>199.50093774676969</c:v>
                </c:pt>
                <c:pt idx="87">
                  <c:v>197.82303824220011</c:v>
                </c:pt>
                <c:pt idx="88">
                  <c:v>205.24793096035648</c:v>
                </c:pt>
                <c:pt idx="89">
                  <c:v>209.91320275105753</c:v>
                </c:pt>
                <c:pt idx="90">
                  <c:v>207.88258903546784</c:v>
                </c:pt>
                <c:pt idx="91">
                  <c:v>206.79908759167802</c:v>
                </c:pt>
                <c:pt idx="92">
                  <c:v>214.77590139086786</c:v>
                </c:pt>
                <c:pt idx="93">
                  <c:v>214.09015410676744</c:v>
                </c:pt>
                <c:pt idx="94">
                  <c:v>210.68163048381723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D41-094C-BCDC-8807F586F36B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frozen'!$E$19:$CU$19</c:f>
              <c:numCache>
                <c:formatCode>General</c:formatCode>
                <c:ptCount val="95"/>
                <c:pt idx="0">
                  <c:v>222.13</c:v>
                </c:pt>
                <c:pt idx="1">
                  <c:v>222.73785846176699</c:v>
                </c:pt>
                <c:pt idx="2">
                  <c:v>224.6649342360374</c:v>
                </c:pt>
                <c:pt idx="3">
                  <c:v>220.69792776176433</c:v>
                </c:pt>
                <c:pt idx="4">
                  <c:v>216.55454644925419</c:v>
                </c:pt>
                <c:pt idx="5">
                  <c:v>209.40224752557495</c:v>
                </c:pt>
                <c:pt idx="6">
                  <c:v>210.48052339754329</c:v>
                </c:pt>
                <c:pt idx="7">
                  <c:v>214.45634587228432</c:v>
                </c:pt>
                <c:pt idx="8">
                  <c:v>209.30566267088597</c:v>
                </c:pt>
                <c:pt idx="9">
                  <c:v>202.63841746988106</c:v>
                </c:pt>
                <c:pt idx="10">
                  <c:v>205.36216618757871</c:v>
                </c:pt>
                <c:pt idx="11">
                  <c:v>206.63937726918869</c:v>
                </c:pt>
                <c:pt idx="12">
                  <c:v>206.93045021335701</c:v>
                </c:pt>
                <c:pt idx="13">
                  <c:v>209.10779673221066</c:v>
                </c:pt>
                <c:pt idx="14">
                  <c:v>208.63618198791303</c:v>
                </c:pt>
                <c:pt idx="15">
                  <c:v>211.26095409983287</c:v>
                </c:pt>
                <c:pt idx="16">
                  <c:v>217.00143484720326</c:v>
                </c:pt>
                <c:pt idx="17">
                  <c:v>212.21536614723453</c:v>
                </c:pt>
                <c:pt idx="18">
                  <c:v>213.60663080777431</c:v>
                </c:pt>
                <c:pt idx="19">
                  <c:v>214.82917476729835</c:v>
                </c:pt>
                <c:pt idx="20">
                  <c:v>215.45497188016057</c:v>
                </c:pt>
                <c:pt idx="21">
                  <c:v>216.96012065854794</c:v>
                </c:pt>
                <c:pt idx="22">
                  <c:v>212.88218866507043</c:v>
                </c:pt>
                <c:pt idx="23">
                  <c:v>217.8147587650802</c:v>
                </c:pt>
                <c:pt idx="24">
                  <c:v>212.35730927500592</c:v>
                </c:pt>
                <c:pt idx="25">
                  <c:v>215.20694949019926</c:v>
                </c:pt>
                <c:pt idx="26">
                  <c:v>219.00186497705457</c:v>
                </c:pt>
                <c:pt idx="27">
                  <c:v>222.90985242890034</c:v>
                </c:pt>
                <c:pt idx="28">
                  <c:v>228.59010578346664</c:v>
                </c:pt>
                <c:pt idx="29">
                  <c:v>230.02208060926205</c:v>
                </c:pt>
                <c:pt idx="30">
                  <c:v>239.02271549665758</c:v>
                </c:pt>
                <c:pt idx="31">
                  <c:v>242.41927487047843</c:v>
                </c:pt>
                <c:pt idx="32">
                  <c:v>232.06265842475068</c:v>
                </c:pt>
                <c:pt idx="33">
                  <c:v>227.46836829816513</c:v>
                </c:pt>
                <c:pt idx="34">
                  <c:v>228.508363955932</c:v>
                </c:pt>
                <c:pt idx="35">
                  <c:v>227.26826451211139</c:v>
                </c:pt>
                <c:pt idx="36">
                  <c:v>215.54262522498183</c:v>
                </c:pt>
                <c:pt idx="37">
                  <c:v>220.18915405806825</c:v>
                </c:pt>
                <c:pt idx="38">
                  <c:v>217.71821021651152</c:v>
                </c:pt>
                <c:pt idx="39">
                  <c:v>225.28475417805646</c:v>
                </c:pt>
                <c:pt idx="40">
                  <c:v>233.40864993228337</c:v>
                </c:pt>
                <c:pt idx="41">
                  <c:v>226.47694392858256</c:v>
                </c:pt>
                <c:pt idx="42">
                  <c:v>230.38454300852541</c:v>
                </c:pt>
                <c:pt idx="43">
                  <c:v>231.41723529917761</c:v>
                </c:pt>
                <c:pt idx="44">
                  <c:v>233.08789052401366</c:v>
                </c:pt>
                <c:pt idx="45">
                  <c:v>231.0901965183497</c:v>
                </c:pt>
                <c:pt idx="46">
                  <c:v>238.29032474022731</c:v>
                </c:pt>
                <c:pt idx="47">
                  <c:v>232.95702306831379</c:v>
                </c:pt>
                <c:pt idx="48">
                  <c:v>231.29551575495313</c:v>
                </c:pt>
                <c:pt idx="49">
                  <c:v>218.16967037025356</c:v>
                </c:pt>
                <c:pt idx="50">
                  <c:v>223.08216888389478</c:v>
                </c:pt>
                <c:pt idx="51">
                  <c:v>216.46465433304888</c:v>
                </c:pt>
                <c:pt idx="52">
                  <c:v>217.15796959729292</c:v>
                </c:pt>
                <c:pt idx="53">
                  <c:v>214.02748351285672</c:v>
                </c:pt>
                <c:pt idx="54">
                  <c:v>220.00561155345414</c:v>
                </c:pt>
                <c:pt idx="55">
                  <c:v>215.12189933882439</c:v>
                </c:pt>
                <c:pt idx="56">
                  <c:v>223.14687611843848</c:v>
                </c:pt>
                <c:pt idx="57">
                  <c:v>223.59980639517315</c:v>
                </c:pt>
                <c:pt idx="58">
                  <c:v>223.78589291358861</c:v>
                </c:pt>
                <c:pt idx="59">
                  <c:v>223.12361980273641</c:v>
                </c:pt>
                <c:pt idx="60">
                  <c:v>222.18293272700691</c:v>
                </c:pt>
                <c:pt idx="61">
                  <c:v>222.63550384362227</c:v>
                </c:pt>
                <c:pt idx="62">
                  <c:v>222.04853912294365</c:v>
                </c:pt>
                <c:pt idx="63">
                  <c:v>221.11157256725181</c:v>
                </c:pt>
                <c:pt idx="64">
                  <c:v>220.92984865170448</c:v>
                </c:pt>
                <c:pt idx="65">
                  <c:v>223.08863194817363</c:v>
                </c:pt>
                <c:pt idx="66">
                  <c:v>230.85963816391495</c:v>
                </c:pt>
                <c:pt idx="67">
                  <c:v>230.25223443667556</c:v>
                </c:pt>
                <c:pt idx="68">
                  <c:v>240.18450136466942</c:v>
                </c:pt>
                <c:pt idx="69">
                  <c:v>241.51001511448715</c:v>
                </c:pt>
                <c:pt idx="70">
                  <c:v>244.53386339074586</c:v>
                </c:pt>
                <c:pt idx="71">
                  <c:v>255.18894052108445</c:v>
                </c:pt>
                <c:pt idx="72">
                  <c:v>254.688985836824</c:v>
                </c:pt>
                <c:pt idx="73">
                  <c:v>256.68371971582559</c:v>
                </c:pt>
                <c:pt idx="74">
                  <c:v>243.51944337466355</c:v>
                </c:pt>
                <c:pt idx="75">
                  <c:v>252.30651456738397</c:v>
                </c:pt>
                <c:pt idx="76">
                  <c:v>237.32147810429947</c:v>
                </c:pt>
                <c:pt idx="77">
                  <c:v>234.52344780871971</c:v>
                </c:pt>
                <c:pt idx="78">
                  <c:v>228.31917046921467</c:v>
                </c:pt>
                <c:pt idx="79">
                  <c:v>234.4121499529343</c:v>
                </c:pt>
                <c:pt idx="80">
                  <c:v>227.3947706672715</c:v>
                </c:pt>
                <c:pt idx="81">
                  <c:v>233.17503167664177</c:v>
                </c:pt>
                <c:pt idx="82">
                  <c:v>237.02973770673415</c:v>
                </c:pt>
                <c:pt idx="83">
                  <c:v>232.8164464396597</c:v>
                </c:pt>
                <c:pt idx="84">
                  <c:v>233.698006851483</c:v>
                </c:pt>
                <c:pt idx="85">
                  <c:v>237.60804540422038</c:v>
                </c:pt>
                <c:pt idx="86">
                  <c:v>240.79906765684467</c:v>
                </c:pt>
                <c:pt idx="87">
                  <c:v>236.18391233181205</c:v>
                </c:pt>
                <c:pt idx="88">
                  <c:v>235.48767418020756</c:v>
                </c:pt>
                <c:pt idx="89">
                  <c:v>229.73682786429157</c:v>
                </c:pt>
                <c:pt idx="90">
                  <c:v>233.21489433121536</c:v>
                </c:pt>
                <c:pt idx="91">
                  <c:v>234.76291254218955</c:v>
                </c:pt>
                <c:pt idx="92">
                  <c:v>227.884968809822</c:v>
                </c:pt>
                <c:pt idx="93">
                  <c:v>227.25198937588641</c:v>
                </c:pt>
                <c:pt idx="94">
                  <c:v>226.26648835699018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D41-094C-BCDC-8807F586F36B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frozen'!$E$20:$CU$20</c:f>
              <c:numCache>
                <c:formatCode>General</c:formatCode>
                <c:ptCount val="95"/>
                <c:pt idx="0">
                  <c:v>222.13</c:v>
                </c:pt>
                <c:pt idx="1">
                  <c:v>221.65747444188301</c:v>
                </c:pt>
                <c:pt idx="2">
                  <c:v>226.20021565117889</c:v>
                </c:pt>
                <c:pt idx="3">
                  <c:v>224.92889411695035</c:v>
                </c:pt>
                <c:pt idx="4">
                  <c:v>218.45327567574336</c:v>
                </c:pt>
                <c:pt idx="5">
                  <c:v>221.81120603285964</c:v>
                </c:pt>
                <c:pt idx="6">
                  <c:v>221.06539583380629</c:v>
                </c:pt>
                <c:pt idx="7">
                  <c:v>213.06494919986204</c:v>
                </c:pt>
                <c:pt idx="8">
                  <c:v>217.97865002122407</c:v>
                </c:pt>
                <c:pt idx="9">
                  <c:v>223.92275405989852</c:v>
                </c:pt>
                <c:pt idx="10">
                  <c:v>220.68235570959956</c:v>
                </c:pt>
                <c:pt idx="11">
                  <c:v>220.31000764775348</c:v>
                </c:pt>
                <c:pt idx="12">
                  <c:v>229.77130063002249</c:v>
                </c:pt>
                <c:pt idx="13">
                  <c:v>229.41961688175013</c:v>
                </c:pt>
                <c:pt idx="14">
                  <c:v>234.34366210899449</c:v>
                </c:pt>
                <c:pt idx="15">
                  <c:v>244.70471554412811</c:v>
                </c:pt>
                <c:pt idx="16">
                  <c:v>243.58363698420396</c:v>
                </c:pt>
                <c:pt idx="17">
                  <c:v>251.95409534106568</c:v>
                </c:pt>
                <c:pt idx="18">
                  <c:v>254.28004804906212</c:v>
                </c:pt>
                <c:pt idx="19">
                  <c:v>247.45904839451748</c:v>
                </c:pt>
                <c:pt idx="20">
                  <c:v>248.18560325083649</c:v>
                </c:pt>
                <c:pt idx="21">
                  <c:v>254.9879871550452</c:v>
                </c:pt>
                <c:pt idx="22">
                  <c:v>255.61987985387157</c:v>
                </c:pt>
                <c:pt idx="23">
                  <c:v>263.50811685545875</c:v>
                </c:pt>
                <c:pt idx="24">
                  <c:v>259.4007159632539</c:v>
                </c:pt>
                <c:pt idx="25">
                  <c:v>259.28482086385509</c:v>
                </c:pt>
                <c:pt idx="26">
                  <c:v>249.50042910505806</c:v>
                </c:pt>
                <c:pt idx="27">
                  <c:v>244.61593588166804</c:v>
                </c:pt>
                <c:pt idx="28">
                  <c:v>242.05398453003383</c:v>
                </c:pt>
                <c:pt idx="29">
                  <c:v>238.77205898639735</c:v>
                </c:pt>
                <c:pt idx="30">
                  <c:v>246.97783566208358</c:v>
                </c:pt>
                <c:pt idx="31">
                  <c:v>250.10535967818799</c:v>
                </c:pt>
                <c:pt idx="32">
                  <c:v>235.79809598153804</c:v>
                </c:pt>
                <c:pt idx="33">
                  <c:v>233.5468591053689</c:v>
                </c:pt>
                <c:pt idx="34">
                  <c:v>237.51351268964763</c:v>
                </c:pt>
                <c:pt idx="35">
                  <c:v>234.99716362791122</c:v>
                </c:pt>
                <c:pt idx="36">
                  <c:v>234.35437971698985</c:v>
                </c:pt>
                <c:pt idx="37">
                  <c:v>235.71674017335371</c:v>
                </c:pt>
                <c:pt idx="38">
                  <c:v>236.82064661782107</c:v>
                </c:pt>
                <c:pt idx="39">
                  <c:v>231.19793521231898</c:v>
                </c:pt>
                <c:pt idx="40">
                  <c:v>236.05568320954563</c:v>
                </c:pt>
                <c:pt idx="41">
                  <c:v>242.8807559475284</c:v>
                </c:pt>
                <c:pt idx="42">
                  <c:v>252.4689635803872</c:v>
                </c:pt>
                <c:pt idx="43">
                  <c:v>245.34810132003818</c:v>
                </c:pt>
                <c:pt idx="44">
                  <c:v>239.87189862911723</c:v>
                </c:pt>
                <c:pt idx="45">
                  <c:v>235.65804242600535</c:v>
                </c:pt>
                <c:pt idx="46">
                  <c:v>230.82876498039536</c:v>
                </c:pt>
                <c:pt idx="47">
                  <c:v>236.40781021777673</c:v>
                </c:pt>
                <c:pt idx="48">
                  <c:v>237.11662650387967</c:v>
                </c:pt>
                <c:pt idx="49">
                  <c:v>241.96858865382711</c:v>
                </c:pt>
                <c:pt idx="50">
                  <c:v>242.2839939749432</c:v>
                </c:pt>
                <c:pt idx="51">
                  <c:v>237.55204871217924</c:v>
                </c:pt>
                <c:pt idx="52">
                  <c:v>242.00807910025</c:v>
                </c:pt>
                <c:pt idx="53">
                  <c:v>244.49020723278915</c:v>
                </c:pt>
                <c:pt idx="54">
                  <c:v>244.04430221503051</c:v>
                </c:pt>
                <c:pt idx="55">
                  <c:v>242.79759310535343</c:v>
                </c:pt>
                <c:pt idx="56">
                  <c:v>235.70946957136812</c:v>
                </c:pt>
                <c:pt idx="57">
                  <c:v>228.05463662830991</c:v>
                </c:pt>
                <c:pt idx="58">
                  <c:v>223.78827986184746</c:v>
                </c:pt>
                <c:pt idx="59">
                  <c:v>224.98508626432042</c:v>
                </c:pt>
                <c:pt idx="60">
                  <c:v>215.33842621096966</c:v>
                </c:pt>
                <c:pt idx="61">
                  <c:v>213.84142692342107</c:v>
                </c:pt>
                <c:pt idx="62">
                  <c:v>210.28747054066656</c:v>
                </c:pt>
                <c:pt idx="63">
                  <c:v>214.73324245162428</c:v>
                </c:pt>
                <c:pt idx="64">
                  <c:v>216.5415667138775</c:v>
                </c:pt>
                <c:pt idx="65">
                  <c:v>213.69831663335091</c:v>
                </c:pt>
                <c:pt idx="66">
                  <c:v>215.71415209432948</c:v>
                </c:pt>
                <c:pt idx="67">
                  <c:v>213.34438260993807</c:v>
                </c:pt>
                <c:pt idx="68">
                  <c:v>218.20860671655802</c:v>
                </c:pt>
                <c:pt idx="69">
                  <c:v>211.16776772068837</c:v>
                </c:pt>
                <c:pt idx="70">
                  <c:v>209.25060832625044</c:v>
                </c:pt>
                <c:pt idx="71">
                  <c:v>202.57752548790933</c:v>
                </c:pt>
                <c:pt idx="72">
                  <c:v>202.80057499312818</c:v>
                </c:pt>
                <c:pt idx="73">
                  <c:v>208.17418954135948</c:v>
                </c:pt>
                <c:pt idx="74">
                  <c:v>212.02581626549477</c:v>
                </c:pt>
                <c:pt idx="75">
                  <c:v>212.28462812312651</c:v>
                </c:pt>
                <c:pt idx="76">
                  <c:v>223.80286158969756</c:v>
                </c:pt>
                <c:pt idx="77">
                  <c:v>221.94525288694172</c:v>
                </c:pt>
                <c:pt idx="78">
                  <c:v>224.97446086560069</c:v>
                </c:pt>
                <c:pt idx="79">
                  <c:v>225.13836590355427</c:v>
                </c:pt>
                <c:pt idx="80">
                  <c:v>220.10175447633964</c:v>
                </c:pt>
                <c:pt idx="81">
                  <c:v>223.04252295290078</c:v>
                </c:pt>
                <c:pt idx="82">
                  <c:v>226.49127211277369</c:v>
                </c:pt>
                <c:pt idx="83">
                  <c:v>226.34071462679617</c:v>
                </c:pt>
                <c:pt idx="84">
                  <c:v>240.24127270957078</c:v>
                </c:pt>
                <c:pt idx="85">
                  <c:v>237.06957953186415</c:v>
                </c:pt>
                <c:pt idx="86">
                  <c:v>247.47342744733783</c:v>
                </c:pt>
                <c:pt idx="87">
                  <c:v>248.574117675492</c:v>
                </c:pt>
                <c:pt idx="88">
                  <c:v>243.12483846390637</c:v>
                </c:pt>
                <c:pt idx="89">
                  <c:v>249.54405011961182</c:v>
                </c:pt>
                <c:pt idx="90">
                  <c:v>249.30855927535069</c:v>
                </c:pt>
                <c:pt idx="91">
                  <c:v>249.3876390195729</c:v>
                </c:pt>
                <c:pt idx="92">
                  <c:v>249.94105738184851</c:v>
                </c:pt>
                <c:pt idx="93">
                  <c:v>249.08398930171984</c:v>
                </c:pt>
                <c:pt idx="94">
                  <c:v>253.66350681707485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D41-094C-BCDC-8807F586F36B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frozen'!$E$21:$CU$21</c:f>
              <c:numCache>
                <c:formatCode>General</c:formatCode>
                <c:ptCount val="95"/>
                <c:pt idx="0">
                  <c:v>222.13</c:v>
                </c:pt>
                <c:pt idx="1">
                  <c:v>223.38318982786012</c:v>
                </c:pt>
                <c:pt idx="2">
                  <c:v>233.09268868805609</c:v>
                </c:pt>
                <c:pt idx="3">
                  <c:v>228.51180822814757</c:v>
                </c:pt>
                <c:pt idx="4">
                  <c:v>215.52817247897224</c:v>
                </c:pt>
                <c:pt idx="5">
                  <c:v>219.18460505049404</c:v>
                </c:pt>
                <c:pt idx="6">
                  <c:v>215.18130984769172</c:v>
                </c:pt>
                <c:pt idx="7">
                  <c:v>222.3616116240172</c:v>
                </c:pt>
                <c:pt idx="8">
                  <c:v>221.72342769925746</c:v>
                </c:pt>
                <c:pt idx="9">
                  <c:v>223.38936004443349</c:v>
                </c:pt>
                <c:pt idx="10">
                  <c:v>222.81769770019113</c:v>
                </c:pt>
                <c:pt idx="11">
                  <c:v>227.80652260433013</c:v>
                </c:pt>
                <c:pt idx="12">
                  <c:v>229.15606260153069</c:v>
                </c:pt>
                <c:pt idx="13">
                  <c:v>227.36954073011287</c:v>
                </c:pt>
                <c:pt idx="14">
                  <c:v>216.14962059818657</c:v>
                </c:pt>
                <c:pt idx="15">
                  <c:v>208.61193796050586</c:v>
                </c:pt>
                <c:pt idx="16">
                  <c:v>206.8368167766931</c:v>
                </c:pt>
                <c:pt idx="17">
                  <c:v>203.72901765965375</c:v>
                </c:pt>
                <c:pt idx="18">
                  <c:v>203.47915105762115</c:v>
                </c:pt>
                <c:pt idx="19">
                  <c:v>208.05381315673401</c:v>
                </c:pt>
                <c:pt idx="20">
                  <c:v>207.79544924333305</c:v>
                </c:pt>
                <c:pt idx="21">
                  <c:v>203.79129279095002</c:v>
                </c:pt>
                <c:pt idx="22">
                  <c:v>203.44757069532849</c:v>
                </c:pt>
                <c:pt idx="23">
                  <c:v>195.06047662826984</c:v>
                </c:pt>
                <c:pt idx="24">
                  <c:v>185.56147010365396</c:v>
                </c:pt>
                <c:pt idx="25">
                  <c:v>185.2693236606404</c:v>
                </c:pt>
                <c:pt idx="26">
                  <c:v>183.30536938721286</c:v>
                </c:pt>
                <c:pt idx="27">
                  <c:v>184.33578956187469</c:v>
                </c:pt>
                <c:pt idx="28">
                  <c:v>184.1395493913368</c:v>
                </c:pt>
                <c:pt idx="29">
                  <c:v>182.69868151807302</c:v>
                </c:pt>
                <c:pt idx="30">
                  <c:v>186.71734667586969</c:v>
                </c:pt>
                <c:pt idx="31">
                  <c:v>190.4452187378279</c:v>
                </c:pt>
                <c:pt idx="32">
                  <c:v>193.82737090816514</c:v>
                </c:pt>
                <c:pt idx="33">
                  <c:v>198.82396668516304</c:v>
                </c:pt>
                <c:pt idx="34">
                  <c:v>204.38438789676454</c:v>
                </c:pt>
                <c:pt idx="35">
                  <c:v>206.61339194544061</c:v>
                </c:pt>
                <c:pt idx="36">
                  <c:v>214.27262788919685</c:v>
                </c:pt>
                <c:pt idx="37">
                  <c:v>211.37255266642424</c:v>
                </c:pt>
                <c:pt idx="38">
                  <c:v>209.05990269737674</c:v>
                </c:pt>
                <c:pt idx="39">
                  <c:v>213.72150778337766</c:v>
                </c:pt>
                <c:pt idx="40">
                  <c:v>215.72451763319711</c:v>
                </c:pt>
                <c:pt idx="41">
                  <c:v>212.72235439311112</c:v>
                </c:pt>
                <c:pt idx="42">
                  <c:v>209.90072955080626</c:v>
                </c:pt>
                <c:pt idx="43">
                  <c:v>210.05140295381787</c:v>
                </c:pt>
                <c:pt idx="44">
                  <c:v>206.83757624720246</c:v>
                </c:pt>
                <c:pt idx="45">
                  <c:v>201.68504910693164</c:v>
                </c:pt>
                <c:pt idx="46">
                  <c:v>200.2348736056021</c:v>
                </c:pt>
                <c:pt idx="47">
                  <c:v>195.68154066558623</c:v>
                </c:pt>
                <c:pt idx="48">
                  <c:v>190.74113436368094</c:v>
                </c:pt>
                <c:pt idx="49">
                  <c:v>190.0741253098679</c:v>
                </c:pt>
                <c:pt idx="50">
                  <c:v>190.32643554869512</c:v>
                </c:pt>
                <c:pt idx="51">
                  <c:v>187.56093058508557</c:v>
                </c:pt>
                <c:pt idx="52">
                  <c:v>190.77228678429216</c:v>
                </c:pt>
                <c:pt idx="53">
                  <c:v>189.71643797612384</c:v>
                </c:pt>
                <c:pt idx="54">
                  <c:v>184.80083774345266</c:v>
                </c:pt>
                <c:pt idx="55">
                  <c:v>186.93723621586381</c:v>
                </c:pt>
                <c:pt idx="56">
                  <c:v>174.71975025552339</c:v>
                </c:pt>
                <c:pt idx="57">
                  <c:v>171.4911704289274</c:v>
                </c:pt>
                <c:pt idx="58">
                  <c:v>176.0380683132683</c:v>
                </c:pt>
                <c:pt idx="59">
                  <c:v>187.30927504949292</c:v>
                </c:pt>
                <c:pt idx="60">
                  <c:v>194.70030697067213</c:v>
                </c:pt>
                <c:pt idx="61">
                  <c:v>193.72335348039326</c:v>
                </c:pt>
                <c:pt idx="62">
                  <c:v>189.28511450520944</c:v>
                </c:pt>
                <c:pt idx="63">
                  <c:v>182.88028221880208</c:v>
                </c:pt>
                <c:pt idx="64">
                  <c:v>176.72427282380806</c:v>
                </c:pt>
                <c:pt idx="65">
                  <c:v>174.93333472611528</c:v>
                </c:pt>
                <c:pt idx="66">
                  <c:v>174.62510297588321</c:v>
                </c:pt>
                <c:pt idx="67">
                  <c:v>176.76683104744413</c:v>
                </c:pt>
                <c:pt idx="68">
                  <c:v>177.13007955119338</c:v>
                </c:pt>
                <c:pt idx="69">
                  <c:v>181.91971975878147</c:v>
                </c:pt>
                <c:pt idx="70">
                  <c:v>174.05971538477814</c:v>
                </c:pt>
                <c:pt idx="71">
                  <c:v>168.59154772814597</c:v>
                </c:pt>
                <c:pt idx="72">
                  <c:v>174.1141823899479</c:v>
                </c:pt>
                <c:pt idx="73">
                  <c:v>172.25276950852918</c:v>
                </c:pt>
                <c:pt idx="74">
                  <c:v>175.26326031656441</c:v>
                </c:pt>
                <c:pt idx="75">
                  <c:v>176.53778563288043</c:v>
                </c:pt>
                <c:pt idx="76">
                  <c:v>180.83187825222484</c:v>
                </c:pt>
                <c:pt idx="77">
                  <c:v>179.87854664294011</c:v>
                </c:pt>
                <c:pt idx="78">
                  <c:v>184.96109996011677</c:v>
                </c:pt>
                <c:pt idx="79">
                  <c:v>191.71201254046355</c:v>
                </c:pt>
                <c:pt idx="80">
                  <c:v>189.38926146509172</c:v>
                </c:pt>
                <c:pt idx="81">
                  <c:v>188.0476292989498</c:v>
                </c:pt>
                <c:pt idx="82">
                  <c:v>184.86758611498018</c:v>
                </c:pt>
                <c:pt idx="83">
                  <c:v>188.37838091777348</c:v>
                </c:pt>
                <c:pt idx="84">
                  <c:v>177.51349235307572</c:v>
                </c:pt>
                <c:pt idx="85">
                  <c:v>175.45869128472236</c:v>
                </c:pt>
                <c:pt idx="86">
                  <c:v>180.62306286597007</c:v>
                </c:pt>
                <c:pt idx="87">
                  <c:v>176.15019572808333</c:v>
                </c:pt>
                <c:pt idx="88">
                  <c:v>173.11691296309525</c:v>
                </c:pt>
                <c:pt idx="89">
                  <c:v>173.08574463333846</c:v>
                </c:pt>
                <c:pt idx="90">
                  <c:v>181.51140562564024</c:v>
                </c:pt>
                <c:pt idx="91">
                  <c:v>185.85529408681427</c:v>
                </c:pt>
                <c:pt idx="92">
                  <c:v>181.63479244280819</c:v>
                </c:pt>
                <c:pt idx="93">
                  <c:v>180.19963532018815</c:v>
                </c:pt>
                <c:pt idx="94">
                  <c:v>181.04290154644448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D41-094C-BCDC-8807F586F36B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frozen'!$E$22:$CU$22</c:f>
              <c:numCache>
                <c:formatCode>General</c:formatCode>
                <c:ptCount val="95"/>
                <c:pt idx="0">
                  <c:v>222.13</c:v>
                </c:pt>
                <c:pt idx="1">
                  <c:v>214.48665393494053</c:v>
                </c:pt>
                <c:pt idx="2">
                  <c:v>215.70446021323244</c:v>
                </c:pt>
                <c:pt idx="3">
                  <c:v>213.96655550404265</c:v>
                </c:pt>
                <c:pt idx="4">
                  <c:v>220.00122215235956</c:v>
                </c:pt>
                <c:pt idx="5">
                  <c:v>215.55529865901761</c:v>
                </c:pt>
                <c:pt idx="6">
                  <c:v>217.08911785495573</c:v>
                </c:pt>
                <c:pt idx="7">
                  <c:v>206.65160009247671</c:v>
                </c:pt>
                <c:pt idx="8">
                  <c:v>204.36768045846861</c:v>
                </c:pt>
                <c:pt idx="9">
                  <c:v>193.1680923636159</c:v>
                </c:pt>
                <c:pt idx="10">
                  <c:v>201.29925963510658</c:v>
                </c:pt>
                <c:pt idx="11">
                  <c:v>203.31672904056569</c:v>
                </c:pt>
                <c:pt idx="12">
                  <c:v>205.25731439953958</c:v>
                </c:pt>
                <c:pt idx="13">
                  <c:v>195.35070330647761</c:v>
                </c:pt>
                <c:pt idx="14">
                  <c:v>191.75579705486186</c:v>
                </c:pt>
                <c:pt idx="15">
                  <c:v>193.87018875423658</c:v>
                </c:pt>
                <c:pt idx="16">
                  <c:v>186.10834711225152</c:v>
                </c:pt>
                <c:pt idx="17">
                  <c:v>190.36956411988461</c:v>
                </c:pt>
                <c:pt idx="18">
                  <c:v>193.76310167175663</c:v>
                </c:pt>
                <c:pt idx="19">
                  <c:v>195.67944191125054</c:v>
                </c:pt>
                <c:pt idx="20">
                  <c:v>201.45305200285713</c:v>
                </c:pt>
                <c:pt idx="21">
                  <c:v>198.77747871062058</c:v>
                </c:pt>
                <c:pt idx="22">
                  <c:v>195.75602131869732</c:v>
                </c:pt>
                <c:pt idx="23">
                  <c:v>196.00611447170834</c:v>
                </c:pt>
                <c:pt idx="24">
                  <c:v>194.20657101853962</c:v>
                </c:pt>
                <c:pt idx="25">
                  <c:v>190.44552117367769</c:v>
                </c:pt>
                <c:pt idx="26">
                  <c:v>196.55917051612633</c:v>
                </c:pt>
                <c:pt idx="27">
                  <c:v>199.86412381117532</c:v>
                </c:pt>
                <c:pt idx="28">
                  <c:v>199.10943558887112</c:v>
                </c:pt>
                <c:pt idx="29">
                  <c:v>205.87287198376993</c:v>
                </c:pt>
                <c:pt idx="30">
                  <c:v>205.53695657995428</c:v>
                </c:pt>
                <c:pt idx="31">
                  <c:v>200.88092838281429</c:v>
                </c:pt>
                <c:pt idx="32">
                  <c:v>194.79468914435643</c:v>
                </c:pt>
                <c:pt idx="33">
                  <c:v>194.04788794123354</c:v>
                </c:pt>
                <c:pt idx="34">
                  <c:v>188.09080073904173</c:v>
                </c:pt>
                <c:pt idx="35">
                  <c:v>187.12264193648349</c:v>
                </c:pt>
                <c:pt idx="36">
                  <c:v>178.93793750728793</c:v>
                </c:pt>
                <c:pt idx="37">
                  <c:v>177.35356555468081</c:v>
                </c:pt>
                <c:pt idx="38">
                  <c:v>178.80512509851417</c:v>
                </c:pt>
                <c:pt idx="39">
                  <c:v>184.25788860723537</c:v>
                </c:pt>
                <c:pt idx="40">
                  <c:v>190.58792512655472</c:v>
                </c:pt>
                <c:pt idx="41">
                  <c:v>188.22171232858176</c:v>
                </c:pt>
                <c:pt idx="42">
                  <c:v>185.74207181001421</c:v>
                </c:pt>
                <c:pt idx="43">
                  <c:v>183.88310592581851</c:v>
                </c:pt>
                <c:pt idx="44">
                  <c:v>184.74955226016289</c:v>
                </c:pt>
                <c:pt idx="45">
                  <c:v>179.19689859219119</c:v>
                </c:pt>
                <c:pt idx="46">
                  <c:v>172.48246480542358</c:v>
                </c:pt>
                <c:pt idx="47">
                  <c:v>174.40729573556436</c:v>
                </c:pt>
                <c:pt idx="48">
                  <c:v>174.45487440481463</c:v>
                </c:pt>
                <c:pt idx="49">
                  <c:v>173.57098229216294</c:v>
                </c:pt>
                <c:pt idx="50">
                  <c:v>168.48395150904096</c:v>
                </c:pt>
                <c:pt idx="51">
                  <c:v>176.726996035735</c:v>
                </c:pt>
                <c:pt idx="52">
                  <c:v>179.83991770292812</c:v>
                </c:pt>
                <c:pt idx="53">
                  <c:v>174.62758870776551</c:v>
                </c:pt>
                <c:pt idx="54">
                  <c:v>173.70882385914229</c:v>
                </c:pt>
                <c:pt idx="55">
                  <c:v>173.45762129106117</c:v>
                </c:pt>
                <c:pt idx="56">
                  <c:v>173.0317812412892</c:v>
                </c:pt>
                <c:pt idx="57">
                  <c:v>174.60695685053281</c:v>
                </c:pt>
                <c:pt idx="58">
                  <c:v>169.5426414100524</c:v>
                </c:pt>
                <c:pt idx="59">
                  <c:v>174.11272375784455</c:v>
                </c:pt>
                <c:pt idx="60">
                  <c:v>173.63838291061469</c:v>
                </c:pt>
                <c:pt idx="61">
                  <c:v>176.68553305135325</c:v>
                </c:pt>
                <c:pt idx="62">
                  <c:v>171.44775537066906</c:v>
                </c:pt>
                <c:pt idx="63">
                  <c:v>165.2465439701102</c:v>
                </c:pt>
                <c:pt idx="64">
                  <c:v>165.52897221908279</c:v>
                </c:pt>
                <c:pt idx="65">
                  <c:v>172.62003466955323</c:v>
                </c:pt>
                <c:pt idx="66">
                  <c:v>179.39137649280178</c:v>
                </c:pt>
                <c:pt idx="67">
                  <c:v>174.90818599154014</c:v>
                </c:pt>
                <c:pt idx="68">
                  <c:v>177.23448329255027</c:v>
                </c:pt>
                <c:pt idx="69">
                  <c:v>182.83531771238239</c:v>
                </c:pt>
                <c:pt idx="70">
                  <c:v>182.11885956863728</c:v>
                </c:pt>
                <c:pt idx="71">
                  <c:v>182.28287963788929</c:v>
                </c:pt>
                <c:pt idx="72">
                  <c:v>169.98474114822048</c:v>
                </c:pt>
                <c:pt idx="73">
                  <c:v>169.08629438318312</c:v>
                </c:pt>
                <c:pt idx="74">
                  <c:v>167.70113583102173</c:v>
                </c:pt>
                <c:pt idx="75">
                  <c:v>164.96017351492114</c:v>
                </c:pt>
                <c:pt idx="76">
                  <c:v>162.32324767196368</c:v>
                </c:pt>
                <c:pt idx="77">
                  <c:v>165.90521189908094</c:v>
                </c:pt>
                <c:pt idx="78">
                  <c:v>165.03247122361338</c:v>
                </c:pt>
                <c:pt idx="79">
                  <c:v>163.01315803341166</c:v>
                </c:pt>
                <c:pt idx="80">
                  <c:v>159.83793481345751</c:v>
                </c:pt>
                <c:pt idx="81">
                  <c:v>161.67593508026621</c:v>
                </c:pt>
                <c:pt idx="82">
                  <c:v>162.35183080303599</c:v>
                </c:pt>
                <c:pt idx="83">
                  <c:v>158.4841864005565</c:v>
                </c:pt>
                <c:pt idx="84">
                  <c:v>155.55777695710819</c:v>
                </c:pt>
                <c:pt idx="85">
                  <c:v>153.10342932253474</c:v>
                </c:pt>
                <c:pt idx="86">
                  <c:v>148.0164537519741</c:v>
                </c:pt>
                <c:pt idx="87">
                  <c:v>143.63124418750701</c:v>
                </c:pt>
                <c:pt idx="88">
                  <c:v>143.77584009156047</c:v>
                </c:pt>
                <c:pt idx="89">
                  <c:v>144.60439305176888</c:v>
                </c:pt>
                <c:pt idx="90">
                  <c:v>146.96609866893661</c:v>
                </c:pt>
                <c:pt idx="91">
                  <c:v>150.3668423480369</c:v>
                </c:pt>
                <c:pt idx="92">
                  <c:v>151.13136397894417</c:v>
                </c:pt>
                <c:pt idx="93">
                  <c:v>148.68127315794058</c:v>
                </c:pt>
                <c:pt idx="94">
                  <c:v>144.58767482994642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D41-094C-BCDC-8807F586F36B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frozen'!$E$23:$CU$23</c:f>
              <c:numCache>
                <c:formatCode>General</c:formatCode>
                <c:ptCount val="95"/>
                <c:pt idx="0">
                  <c:v>222.13</c:v>
                </c:pt>
                <c:pt idx="1">
                  <c:v>218.68076109306216</c:v>
                </c:pt>
                <c:pt idx="2">
                  <c:v>210.20484579981564</c:v>
                </c:pt>
                <c:pt idx="3">
                  <c:v>208.99472540820196</c:v>
                </c:pt>
                <c:pt idx="4">
                  <c:v>202.6507095440077</c:v>
                </c:pt>
                <c:pt idx="5">
                  <c:v>205.22222629154894</c:v>
                </c:pt>
                <c:pt idx="6">
                  <c:v>209.12203666719077</c:v>
                </c:pt>
                <c:pt idx="7">
                  <c:v>210.95750973023999</c:v>
                </c:pt>
                <c:pt idx="8">
                  <c:v>205.77361914735059</c:v>
                </c:pt>
                <c:pt idx="9">
                  <c:v>207.99436773216081</c:v>
                </c:pt>
                <c:pt idx="10">
                  <c:v>213.10479955829376</c:v>
                </c:pt>
                <c:pt idx="11">
                  <c:v>209.37884648866083</c:v>
                </c:pt>
                <c:pt idx="12">
                  <c:v>199.62555911056779</c:v>
                </c:pt>
                <c:pt idx="13">
                  <c:v>207.13108805679846</c:v>
                </c:pt>
                <c:pt idx="14">
                  <c:v>210.12387771230931</c:v>
                </c:pt>
                <c:pt idx="15">
                  <c:v>208.87404991715957</c:v>
                </c:pt>
                <c:pt idx="16">
                  <c:v>216.20767730961811</c:v>
                </c:pt>
                <c:pt idx="17">
                  <c:v>219.26232518417416</c:v>
                </c:pt>
                <c:pt idx="18">
                  <c:v>225.50673017293641</c:v>
                </c:pt>
                <c:pt idx="19">
                  <c:v>227.34352298351365</c:v>
                </c:pt>
                <c:pt idx="20">
                  <c:v>227.72046802336817</c:v>
                </c:pt>
                <c:pt idx="21">
                  <c:v>231.09942691576126</c:v>
                </c:pt>
                <c:pt idx="22">
                  <c:v>214.78335766927242</c:v>
                </c:pt>
                <c:pt idx="23">
                  <c:v>206.49832008025814</c:v>
                </c:pt>
                <c:pt idx="24">
                  <c:v>206.41102168969783</c:v>
                </c:pt>
                <c:pt idx="25">
                  <c:v>205.70089723724516</c:v>
                </c:pt>
                <c:pt idx="26">
                  <c:v>217.00603121641535</c:v>
                </c:pt>
                <c:pt idx="27">
                  <c:v>225.77532808258539</c:v>
                </c:pt>
                <c:pt idx="28">
                  <c:v>231.75605414282452</c:v>
                </c:pt>
                <c:pt idx="29">
                  <c:v>226.31903926886775</c:v>
                </c:pt>
                <c:pt idx="30">
                  <c:v>229.34015310470798</c:v>
                </c:pt>
                <c:pt idx="31">
                  <c:v>230.51374193753765</c:v>
                </c:pt>
                <c:pt idx="32">
                  <c:v>229.87297370173965</c:v>
                </c:pt>
                <c:pt idx="33">
                  <c:v>232.34668508023691</c:v>
                </c:pt>
                <c:pt idx="34">
                  <c:v>230.85373997282565</c:v>
                </c:pt>
                <c:pt idx="35">
                  <c:v>229.89985356710389</c:v>
                </c:pt>
                <c:pt idx="36">
                  <c:v>224.13755882312032</c:v>
                </c:pt>
                <c:pt idx="37">
                  <c:v>226.02149643435339</c:v>
                </c:pt>
                <c:pt idx="38">
                  <c:v>221.48753699117583</c:v>
                </c:pt>
                <c:pt idx="39">
                  <c:v>225.32953259633081</c:v>
                </c:pt>
                <c:pt idx="40">
                  <c:v>232.05643803282337</c:v>
                </c:pt>
                <c:pt idx="41">
                  <c:v>234.88240990948788</c:v>
                </c:pt>
                <c:pt idx="42">
                  <c:v>229.15236991816545</c:v>
                </c:pt>
                <c:pt idx="43">
                  <c:v>227.17554234229698</c:v>
                </c:pt>
                <c:pt idx="44">
                  <c:v>229.38515175981667</c:v>
                </c:pt>
                <c:pt idx="45">
                  <c:v>228.83137983270751</c:v>
                </c:pt>
                <c:pt idx="46">
                  <c:v>221.11232163722985</c:v>
                </c:pt>
                <c:pt idx="47">
                  <c:v>225.34623637353511</c:v>
                </c:pt>
                <c:pt idx="48">
                  <c:v>225.30815841223645</c:v>
                </c:pt>
                <c:pt idx="49">
                  <c:v>226.57137997634706</c:v>
                </c:pt>
                <c:pt idx="50">
                  <c:v>229.86101826255813</c:v>
                </c:pt>
                <c:pt idx="51">
                  <c:v>229.60137148215699</c:v>
                </c:pt>
                <c:pt idx="52">
                  <c:v>225.44873689893225</c:v>
                </c:pt>
                <c:pt idx="53">
                  <c:v>224.2267891137891</c:v>
                </c:pt>
                <c:pt idx="54">
                  <c:v>220.10992380512943</c:v>
                </c:pt>
                <c:pt idx="55">
                  <c:v>219.31381102947771</c:v>
                </c:pt>
                <c:pt idx="56">
                  <c:v>211.83465955603015</c:v>
                </c:pt>
                <c:pt idx="57">
                  <c:v>215.44673684123543</c:v>
                </c:pt>
                <c:pt idx="58">
                  <c:v>214.65100116598006</c:v>
                </c:pt>
                <c:pt idx="59">
                  <c:v>224.56494643387876</c:v>
                </c:pt>
                <c:pt idx="60">
                  <c:v>225.00737968943335</c:v>
                </c:pt>
                <c:pt idx="61">
                  <c:v>234.40546159690999</c:v>
                </c:pt>
                <c:pt idx="62">
                  <c:v>220.99419309960663</c:v>
                </c:pt>
                <c:pt idx="63">
                  <c:v>227.64163091475282</c:v>
                </c:pt>
                <c:pt idx="64">
                  <c:v>225.06611174497553</c:v>
                </c:pt>
                <c:pt idx="65">
                  <c:v>235.69947144577822</c:v>
                </c:pt>
                <c:pt idx="66">
                  <c:v>244.98444580536395</c:v>
                </c:pt>
                <c:pt idx="67">
                  <c:v>247.58170273732645</c:v>
                </c:pt>
                <c:pt idx="68">
                  <c:v>238.38316140752443</c:v>
                </c:pt>
                <c:pt idx="69">
                  <c:v>235.53313835468862</c:v>
                </c:pt>
                <c:pt idx="70">
                  <c:v>233.06934438953402</c:v>
                </c:pt>
                <c:pt idx="71">
                  <c:v>236.39378863496128</c:v>
                </c:pt>
                <c:pt idx="72">
                  <c:v>231.76917238545261</c:v>
                </c:pt>
                <c:pt idx="73">
                  <c:v>241.89177749567941</c:v>
                </c:pt>
                <c:pt idx="74">
                  <c:v>244.93018010712004</c:v>
                </c:pt>
                <c:pt idx="75">
                  <c:v>248.18833268386868</c:v>
                </c:pt>
                <c:pt idx="76">
                  <c:v>253.72737304154805</c:v>
                </c:pt>
                <c:pt idx="77">
                  <c:v>244.0426999103139</c:v>
                </c:pt>
                <c:pt idx="78">
                  <c:v>244.66472855734676</c:v>
                </c:pt>
                <c:pt idx="79">
                  <c:v>231.025929998468</c:v>
                </c:pt>
                <c:pt idx="80">
                  <c:v>230.84075795228216</c:v>
                </c:pt>
                <c:pt idx="81">
                  <c:v>240.96895599085374</c:v>
                </c:pt>
                <c:pt idx="82">
                  <c:v>238.54756101361616</c:v>
                </c:pt>
                <c:pt idx="83">
                  <c:v>238.60923904123419</c:v>
                </c:pt>
                <c:pt idx="84">
                  <c:v>229.96487032426828</c:v>
                </c:pt>
                <c:pt idx="85">
                  <c:v>219.78658902605454</c:v>
                </c:pt>
                <c:pt idx="86">
                  <c:v>222.67645769311022</c:v>
                </c:pt>
                <c:pt idx="87">
                  <c:v>225.81984237691759</c:v>
                </c:pt>
                <c:pt idx="88">
                  <c:v>234.4069226372394</c:v>
                </c:pt>
                <c:pt idx="89">
                  <c:v>233.23649681991526</c:v>
                </c:pt>
                <c:pt idx="90">
                  <c:v>240.48691747423126</c:v>
                </c:pt>
                <c:pt idx="91">
                  <c:v>234.6901950293346</c:v>
                </c:pt>
                <c:pt idx="92">
                  <c:v>233.66480681142517</c:v>
                </c:pt>
                <c:pt idx="93">
                  <c:v>227.51399954982145</c:v>
                </c:pt>
                <c:pt idx="94">
                  <c:v>223.11928118757257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D41-094C-BCDC-8807F586F36B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frozen'!$E$24:$CU$24</c:f>
              <c:numCache>
                <c:formatCode>General</c:formatCode>
                <c:ptCount val="95"/>
                <c:pt idx="0">
                  <c:v>222.13</c:v>
                </c:pt>
                <c:pt idx="1">
                  <c:v>225.49342072733563</c:v>
                </c:pt>
                <c:pt idx="2">
                  <c:v>228.14523858189986</c:v>
                </c:pt>
                <c:pt idx="3">
                  <c:v>224.56129570624208</c:v>
                </c:pt>
                <c:pt idx="4">
                  <c:v>230.75348822851296</c:v>
                </c:pt>
                <c:pt idx="5">
                  <c:v>226.92725939487883</c:v>
                </c:pt>
                <c:pt idx="6">
                  <c:v>226.90182431217875</c:v>
                </c:pt>
                <c:pt idx="7">
                  <c:v>229.61907550966134</c:v>
                </c:pt>
                <c:pt idx="8">
                  <c:v>225.18472078801122</c:v>
                </c:pt>
                <c:pt idx="9">
                  <c:v>218.07723567818587</c:v>
                </c:pt>
                <c:pt idx="10">
                  <c:v>225.45869528520328</c:v>
                </c:pt>
                <c:pt idx="11">
                  <c:v>218.13874694426005</c:v>
                </c:pt>
                <c:pt idx="12">
                  <c:v>215.71543647167593</c:v>
                </c:pt>
                <c:pt idx="13">
                  <c:v>209.99516543302016</c:v>
                </c:pt>
                <c:pt idx="14">
                  <c:v>214.18811799631649</c:v>
                </c:pt>
                <c:pt idx="15">
                  <c:v>209.82411826339603</c:v>
                </c:pt>
                <c:pt idx="16">
                  <c:v>214.1668998227631</c:v>
                </c:pt>
                <c:pt idx="17">
                  <c:v>213.73036071542828</c:v>
                </c:pt>
                <c:pt idx="18">
                  <c:v>217.67443369442333</c:v>
                </c:pt>
                <c:pt idx="19">
                  <c:v>224.72017948162761</c:v>
                </c:pt>
                <c:pt idx="20">
                  <c:v>223.81594996539977</c:v>
                </c:pt>
                <c:pt idx="21">
                  <c:v>225.34207892525197</c:v>
                </c:pt>
                <c:pt idx="22">
                  <c:v>228.94261386816552</c:v>
                </c:pt>
                <c:pt idx="23">
                  <c:v>227.66993178454288</c:v>
                </c:pt>
                <c:pt idx="24">
                  <c:v>227.86186162261677</c:v>
                </c:pt>
                <c:pt idx="25">
                  <c:v>218.16084448445307</c:v>
                </c:pt>
                <c:pt idx="26">
                  <c:v>216.19789845156976</c:v>
                </c:pt>
                <c:pt idx="27">
                  <c:v>225.51191405275335</c:v>
                </c:pt>
                <c:pt idx="28">
                  <c:v>229.23137605552543</c:v>
                </c:pt>
                <c:pt idx="29">
                  <c:v>222.1650681011084</c:v>
                </c:pt>
                <c:pt idx="30">
                  <c:v>224.74690859163269</c:v>
                </c:pt>
                <c:pt idx="31">
                  <c:v>222.16829347340126</c:v>
                </c:pt>
                <c:pt idx="32">
                  <c:v>220.58863854822013</c:v>
                </c:pt>
                <c:pt idx="33">
                  <c:v>218.17937600518744</c:v>
                </c:pt>
                <c:pt idx="34">
                  <c:v>215.61143462792666</c:v>
                </c:pt>
                <c:pt idx="35">
                  <c:v>217.86619428862633</c:v>
                </c:pt>
                <c:pt idx="36">
                  <c:v>219.26040201246215</c:v>
                </c:pt>
                <c:pt idx="37">
                  <c:v>214.58058014913757</c:v>
                </c:pt>
                <c:pt idx="38">
                  <c:v>219.79003627585155</c:v>
                </c:pt>
                <c:pt idx="39">
                  <c:v>222.48109872392064</c:v>
                </c:pt>
                <c:pt idx="40">
                  <c:v>234.78651900806278</c:v>
                </c:pt>
                <c:pt idx="41">
                  <c:v>245.67589492023399</c:v>
                </c:pt>
                <c:pt idx="42">
                  <c:v>242.41713447227002</c:v>
                </c:pt>
                <c:pt idx="43">
                  <c:v>244.30988922725103</c:v>
                </c:pt>
                <c:pt idx="44">
                  <c:v>246.84042623717048</c:v>
                </c:pt>
                <c:pt idx="45">
                  <c:v>253.46434688652704</c:v>
                </c:pt>
                <c:pt idx="46">
                  <c:v>250.60621791629549</c:v>
                </c:pt>
                <c:pt idx="47">
                  <c:v>251.87337370620489</c:v>
                </c:pt>
                <c:pt idx="48">
                  <c:v>249.96522524235144</c:v>
                </c:pt>
                <c:pt idx="49">
                  <c:v>251.73654645270921</c:v>
                </c:pt>
                <c:pt idx="50">
                  <c:v>250.98682708934058</c:v>
                </c:pt>
                <c:pt idx="51">
                  <c:v>259.07566973762124</c:v>
                </c:pt>
                <c:pt idx="52">
                  <c:v>249.77172342616865</c:v>
                </c:pt>
                <c:pt idx="53">
                  <c:v>249.18858824398976</c:v>
                </c:pt>
                <c:pt idx="54">
                  <c:v>253.60529598253277</c:v>
                </c:pt>
                <c:pt idx="55">
                  <c:v>256.81941811473496</c:v>
                </c:pt>
                <c:pt idx="56">
                  <c:v>262.06581205654271</c:v>
                </c:pt>
                <c:pt idx="57">
                  <c:v>265.27397719916024</c:v>
                </c:pt>
                <c:pt idx="58">
                  <c:v>257.70118590752173</c:v>
                </c:pt>
                <c:pt idx="59">
                  <c:v>253.78584852209804</c:v>
                </c:pt>
                <c:pt idx="60">
                  <c:v>252.17106757720995</c:v>
                </c:pt>
                <c:pt idx="61">
                  <c:v>242.72486881680638</c:v>
                </c:pt>
                <c:pt idx="62">
                  <c:v>247.37215171408536</c:v>
                </c:pt>
                <c:pt idx="63">
                  <c:v>248.83529002289873</c:v>
                </c:pt>
                <c:pt idx="64">
                  <c:v>248.26995706786738</c:v>
                </c:pt>
                <c:pt idx="65">
                  <c:v>248.47519064637001</c:v>
                </c:pt>
                <c:pt idx="66">
                  <c:v>243.08553608778558</c:v>
                </c:pt>
                <c:pt idx="67">
                  <c:v>250.32163149976637</c:v>
                </c:pt>
                <c:pt idx="68">
                  <c:v>252.66920121976685</c:v>
                </c:pt>
                <c:pt idx="69">
                  <c:v>244.71316102430103</c:v>
                </c:pt>
                <c:pt idx="70">
                  <c:v>250.00301740792696</c:v>
                </c:pt>
                <c:pt idx="71">
                  <c:v>256.39260953283656</c:v>
                </c:pt>
                <c:pt idx="72">
                  <c:v>248.22435724134874</c:v>
                </c:pt>
                <c:pt idx="73">
                  <c:v>242.18426679199027</c:v>
                </c:pt>
                <c:pt idx="74">
                  <c:v>234.33423438396503</c:v>
                </c:pt>
                <c:pt idx="75">
                  <c:v>233.02763526467047</c:v>
                </c:pt>
                <c:pt idx="76">
                  <c:v>235.27774421561574</c:v>
                </c:pt>
                <c:pt idx="77">
                  <c:v>229.50283641053394</c:v>
                </c:pt>
                <c:pt idx="78">
                  <c:v>242.39106191712702</c:v>
                </c:pt>
                <c:pt idx="79">
                  <c:v>236.61562025652353</c:v>
                </c:pt>
                <c:pt idx="80">
                  <c:v>236.77829685235011</c:v>
                </c:pt>
                <c:pt idx="81">
                  <c:v>231.64360280180261</c:v>
                </c:pt>
                <c:pt idx="82">
                  <c:v>235.58073560521208</c:v>
                </c:pt>
                <c:pt idx="83">
                  <c:v>235.80780740231577</c:v>
                </c:pt>
                <c:pt idx="84">
                  <c:v>240.08370692921932</c:v>
                </c:pt>
                <c:pt idx="85">
                  <c:v>234.15695109324056</c:v>
                </c:pt>
                <c:pt idx="86">
                  <c:v>240.33298509484504</c:v>
                </c:pt>
                <c:pt idx="87">
                  <c:v>243.30125416820232</c:v>
                </c:pt>
                <c:pt idx="88">
                  <c:v>241.01008487312728</c:v>
                </c:pt>
                <c:pt idx="89">
                  <c:v>240.42058733063382</c:v>
                </c:pt>
                <c:pt idx="90">
                  <c:v>249.13885805436968</c:v>
                </c:pt>
                <c:pt idx="91">
                  <c:v>242.55041807364623</c:v>
                </c:pt>
                <c:pt idx="92">
                  <c:v>247.66650617378693</c:v>
                </c:pt>
                <c:pt idx="93">
                  <c:v>256.09962834207425</c:v>
                </c:pt>
                <c:pt idx="94">
                  <c:v>255.6776798847784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D41-094C-BCDC-8807F586F36B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frozen'!$E$25:$CU$25</c:f>
              <c:numCache>
                <c:formatCode>General</c:formatCode>
                <c:ptCount val="95"/>
                <c:pt idx="0">
                  <c:v>222.13</c:v>
                </c:pt>
                <c:pt idx="1">
                  <c:v>220.51492965583711</c:v>
                </c:pt>
                <c:pt idx="2">
                  <c:v>213.11141548232717</c:v>
                </c:pt>
                <c:pt idx="3">
                  <c:v>209.03628181717795</c:v>
                </c:pt>
                <c:pt idx="4">
                  <c:v>217.94138131961404</c:v>
                </c:pt>
                <c:pt idx="5">
                  <c:v>221.09198198684501</c:v>
                </c:pt>
                <c:pt idx="6">
                  <c:v>220.61024919413688</c:v>
                </c:pt>
                <c:pt idx="7">
                  <c:v>217.39961108622214</c:v>
                </c:pt>
                <c:pt idx="8">
                  <c:v>217.89097237648906</c:v>
                </c:pt>
                <c:pt idx="9">
                  <c:v>222.40826537635817</c:v>
                </c:pt>
                <c:pt idx="10">
                  <c:v>221.17025400219825</c:v>
                </c:pt>
                <c:pt idx="11">
                  <c:v>231.08649866575519</c:v>
                </c:pt>
                <c:pt idx="12">
                  <c:v>240.39324430823851</c:v>
                </c:pt>
                <c:pt idx="13">
                  <c:v>239.28757754812091</c:v>
                </c:pt>
                <c:pt idx="14">
                  <c:v>233.8132801374563</c:v>
                </c:pt>
                <c:pt idx="15">
                  <c:v>231.17765684480639</c:v>
                </c:pt>
                <c:pt idx="16">
                  <c:v>222.53685732407837</c:v>
                </c:pt>
                <c:pt idx="17">
                  <c:v>222.15380587429158</c:v>
                </c:pt>
                <c:pt idx="18">
                  <c:v>230.80118200019692</c:v>
                </c:pt>
                <c:pt idx="19">
                  <c:v>227.55169793146251</c:v>
                </c:pt>
                <c:pt idx="20">
                  <c:v>227.21056875334256</c:v>
                </c:pt>
                <c:pt idx="21">
                  <c:v>228.1730072639522</c:v>
                </c:pt>
                <c:pt idx="22">
                  <c:v>229.80152598249606</c:v>
                </c:pt>
                <c:pt idx="23">
                  <c:v>220.46256319304075</c:v>
                </c:pt>
                <c:pt idx="24">
                  <c:v>224.24832248409237</c:v>
                </c:pt>
                <c:pt idx="25">
                  <c:v>225.38751061880433</c:v>
                </c:pt>
                <c:pt idx="26">
                  <c:v>229.1069111705157</c:v>
                </c:pt>
                <c:pt idx="27">
                  <c:v>226.61336960933036</c:v>
                </c:pt>
                <c:pt idx="28">
                  <c:v>222.92867532396858</c:v>
                </c:pt>
                <c:pt idx="29">
                  <c:v>217.70014666443035</c:v>
                </c:pt>
                <c:pt idx="30">
                  <c:v>218.36532078368674</c:v>
                </c:pt>
                <c:pt idx="31">
                  <c:v>219.31370845142013</c:v>
                </c:pt>
                <c:pt idx="32">
                  <c:v>221.63680053465043</c:v>
                </c:pt>
                <c:pt idx="33">
                  <c:v>221.65946383590511</c:v>
                </c:pt>
                <c:pt idx="34">
                  <c:v>229.36445934906754</c:v>
                </c:pt>
                <c:pt idx="35">
                  <c:v>221.63261124831999</c:v>
                </c:pt>
                <c:pt idx="36">
                  <c:v>224.64398910467634</c:v>
                </c:pt>
                <c:pt idx="37">
                  <c:v>226.33560993187024</c:v>
                </c:pt>
                <c:pt idx="38">
                  <c:v>225.43385385257562</c:v>
                </c:pt>
                <c:pt idx="39">
                  <c:v>223.47709487025253</c:v>
                </c:pt>
                <c:pt idx="40">
                  <c:v>217.70524798885052</c:v>
                </c:pt>
                <c:pt idx="41">
                  <c:v>213.10514880553538</c:v>
                </c:pt>
                <c:pt idx="42">
                  <c:v>211.82394555482486</c:v>
                </c:pt>
                <c:pt idx="43">
                  <c:v>206.82832893489876</c:v>
                </c:pt>
                <c:pt idx="44">
                  <c:v>200.20084387998642</c:v>
                </c:pt>
                <c:pt idx="45">
                  <c:v>199.87536907243174</c:v>
                </c:pt>
                <c:pt idx="46">
                  <c:v>199.84593780769458</c:v>
                </c:pt>
                <c:pt idx="47">
                  <c:v>200.64823369451898</c:v>
                </c:pt>
                <c:pt idx="48">
                  <c:v>192.67884316014889</c:v>
                </c:pt>
                <c:pt idx="49">
                  <c:v>189.85544119697832</c:v>
                </c:pt>
                <c:pt idx="50">
                  <c:v>188.09243315642749</c:v>
                </c:pt>
                <c:pt idx="51">
                  <c:v>188.39676994922172</c:v>
                </c:pt>
                <c:pt idx="52">
                  <c:v>183.11156188406352</c:v>
                </c:pt>
                <c:pt idx="53">
                  <c:v>180.35058475022646</c:v>
                </c:pt>
                <c:pt idx="54">
                  <c:v>175.52845314020635</c:v>
                </c:pt>
                <c:pt idx="55">
                  <c:v>175.52821656401059</c:v>
                </c:pt>
                <c:pt idx="56">
                  <c:v>176.66080250979488</c:v>
                </c:pt>
                <c:pt idx="57">
                  <c:v>175.51591876226064</c:v>
                </c:pt>
                <c:pt idx="58">
                  <c:v>181.68959562266721</c:v>
                </c:pt>
                <c:pt idx="59">
                  <c:v>190.81131846334054</c:v>
                </c:pt>
                <c:pt idx="60">
                  <c:v>191.28683615892459</c:v>
                </c:pt>
                <c:pt idx="61">
                  <c:v>186.9699065224184</c:v>
                </c:pt>
                <c:pt idx="62">
                  <c:v>190.96787785251314</c:v>
                </c:pt>
                <c:pt idx="63">
                  <c:v>190.83459643992725</c:v>
                </c:pt>
                <c:pt idx="64">
                  <c:v>193.11448217904419</c:v>
                </c:pt>
                <c:pt idx="65">
                  <c:v>184.95945854269681</c:v>
                </c:pt>
                <c:pt idx="66">
                  <c:v>185.45052856646194</c:v>
                </c:pt>
                <c:pt idx="67">
                  <c:v>194.98463473363529</c:v>
                </c:pt>
                <c:pt idx="68">
                  <c:v>192.11962710822883</c:v>
                </c:pt>
                <c:pt idx="69">
                  <c:v>200.70680004184314</c:v>
                </c:pt>
                <c:pt idx="70">
                  <c:v>206.15636168076375</c:v>
                </c:pt>
                <c:pt idx="71">
                  <c:v>210.14432459411105</c:v>
                </c:pt>
                <c:pt idx="72">
                  <c:v>207.19525619182807</c:v>
                </c:pt>
                <c:pt idx="73">
                  <c:v>197.7530480401397</c:v>
                </c:pt>
                <c:pt idx="74">
                  <c:v>197.71529214403117</c:v>
                </c:pt>
                <c:pt idx="75">
                  <c:v>205.13375240496595</c:v>
                </c:pt>
                <c:pt idx="76">
                  <c:v>198.97534082677512</c:v>
                </c:pt>
                <c:pt idx="77">
                  <c:v>194.44828805620847</c:v>
                </c:pt>
                <c:pt idx="78">
                  <c:v>194.0305269063808</c:v>
                </c:pt>
                <c:pt idx="79">
                  <c:v>188.60662331424538</c:v>
                </c:pt>
                <c:pt idx="80">
                  <c:v>180.62856055397893</c:v>
                </c:pt>
                <c:pt idx="81">
                  <c:v>174.64522060527247</c:v>
                </c:pt>
                <c:pt idx="82">
                  <c:v>184.1218118841532</c:v>
                </c:pt>
                <c:pt idx="83">
                  <c:v>182.54815167944508</c:v>
                </c:pt>
                <c:pt idx="84">
                  <c:v>183.3610525560064</c:v>
                </c:pt>
                <c:pt idx="85">
                  <c:v>185.5829372910886</c:v>
                </c:pt>
                <c:pt idx="86">
                  <c:v>185.61576427778041</c:v>
                </c:pt>
                <c:pt idx="87">
                  <c:v>186.9504123798437</c:v>
                </c:pt>
                <c:pt idx="88">
                  <c:v>194.56364216310126</c:v>
                </c:pt>
                <c:pt idx="89">
                  <c:v>192.0343262949886</c:v>
                </c:pt>
                <c:pt idx="90">
                  <c:v>191.51324087503275</c:v>
                </c:pt>
                <c:pt idx="91">
                  <c:v>189.27601875011143</c:v>
                </c:pt>
                <c:pt idx="92">
                  <c:v>194.61852345916216</c:v>
                </c:pt>
                <c:pt idx="93">
                  <c:v>200.99940452484248</c:v>
                </c:pt>
                <c:pt idx="94">
                  <c:v>201.89747722897576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D41-094C-BCDC-8807F586F36B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frozen'!$E$26:$CU$26</c:f>
              <c:numCache>
                <c:formatCode>General</c:formatCode>
                <c:ptCount val="95"/>
                <c:pt idx="0">
                  <c:v>222.13</c:v>
                </c:pt>
                <c:pt idx="1">
                  <c:v>225.24106798553888</c:v>
                </c:pt>
                <c:pt idx="2">
                  <c:v>219.25660613824451</c:v>
                </c:pt>
                <c:pt idx="3">
                  <c:v>217.05687043904129</c:v>
                </c:pt>
                <c:pt idx="4">
                  <c:v>212.77501036692115</c:v>
                </c:pt>
                <c:pt idx="5">
                  <c:v>223.10946035051313</c:v>
                </c:pt>
                <c:pt idx="6">
                  <c:v>226.58720436100231</c:v>
                </c:pt>
                <c:pt idx="7">
                  <c:v>215.07810329971693</c:v>
                </c:pt>
                <c:pt idx="8">
                  <c:v>218.19131698100762</c:v>
                </c:pt>
                <c:pt idx="9">
                  <c:v>214.58302123173388</c:v>
                </c:pt>
                <c:pt idx="10">
                  <c:v>216.76489977129259</c:v>
                </c:pt>
                <c:pt idx="11">
                  <c:v>218.68672532237187</c:v>
                </c:pt>
                <c:pt idx="12">
                  <c:v>207.83320858981557</c:v>
                </c:pt>
                <c:pt idx="13">
                  <c:v>207.74362777891562</c:v>
                </c:pt>
                <c:pt idx="14">
                  <c:v>198.50160950764939</c:v>
                </c:pt>
                <c:pt idx="15">
                  <c:v>202.75324947700673</c:v>
                </c:pt>
                <c:pt idx="16">
                  <c:v>195.62974743353425</c:v>
                </c:pt>
                <c:pt idx="17">
                  <c:v>196.49731100603216</c:v>
                </c:pt>
                <c:pt idx="18">
                  <c:v>198.32702420628246</c:v>
                </c:pt>
                <c:pt idx="19">
                  <c:v>197.22766386623317</c:v>
                </c:pt>
                <c:pt idx="20">
                  <c:v>196.07285230753726</c:v>
                </c:pt>
                <c:pt idx="21">
                  <c:v>195.68040127284337</c:v>
                </c:pt>
                <c:pt idx="22">
                  <c:v>193.20279010409897</c:v>
                </c:pt>
                <c:pt idx="23">
                  <c:v>188.81525707150433</c:v>
                </c:pt>
                <c:pt idx="24">
                  <c:v>183.52678887241473</c:v>
                </c:pt>
                <c:pt idx="25">
                  <c:v>178.04389816393643</c:v>
                </c:pt>
                <c:pt idx="26">
                  <c:v>179.21768037955513</c:v>
                </c:pt>
                <c:pt idx="27">
                  <c:v>178.51756798670044</c:v>
                </c:pt>
                <c:pt idx="28">
                  <c:v>172.97725765736112</c:v>
                </c:pt>
                <c:pt idx="29">
                  <c:v>180.84492984365869</c:v>
                </c:pt>
                <c:pt idx="30">
                  <c:v>175.80849681997771</c:v>
                </c:pt>
                <c:pt idx="31">
                  <c:v>173.96564575792416</c:v>
                </c:pt>
                <c:pt idx="32">
                  <c:v>173.32663796199401</c:v>
                </c:pt>
                <c:pt idx="33">
                  <c:v>176.13645284040194</c:v>
                </c:pt>
                <c:pt idx="34">
                  <c:v>169.09345661985805</c:v>
                </c:pt>
                <c:pt idx="35">
                  <c:v>169.79185645196989</c:v>
                </c:pt>
                <c:pt idx="36">
                  <c:v>167.07076092124177</c:v>
                </c:pt>
                <c:pt idx="37">
                  <c:v>162.59383201061416</c:v>
                </c:pt>
                <c:pt idx="38">
                  <c:v>159.0140222782525</c:v>
                </c:pt>
                <c:pt idx="39">
                  <c:v>159.81642495008717</c:v>
                </c:pt>
                <c:pt idx="40">
                  <c:v>166.07755950919173</c:v>
                </c:pt>
                <c:pt idx="41">
                  <c:v>174.81029550941741</c:v>
                </c:pt>
                <c:pt idx="42">
                  <c:v>178.80931623830048</c:v>
                </c:pt>
                <c:pt idx="43">
                  <c:v>177.95977324090825</c:v>
                </c:pt>
                <c:pt idx="44">
                  <c:v>180.63473158720529</c:v>
                </c:pt>
                <c:pt idx="45">
                  <c:v>180.06689497750517</c:v>
                </c:pt>
                <c:pt idx="46">
                  <c:v>180.85847131921312</c:v>
                </c:pt>
                <c:pt idx="47">
                  <c:v>170.89919341522747</c:v>
                </c:pt>
                <c:pt idx="48">
                  <c:v>167.5760095439768</c:v>
                </c:pt>
                <c:pt idx="49">
                  <c:v>169.82549646545885</c:v>
                </c:pt>
                <c:pt idx="50">
                  <c:v>169.2063323877428</c:v>
                </c:pt>
                <c:pt idx="51">
                  <c:v>172.72185140635622</c:v>
                </c:pt>
                <c:pt idx="52">
                  <c:v>168.85601014454474</c:v>
                </c:pt>
                <c:pt idx="53">
                  <c:v>169.36246833455391</c:v>
                </c:pt>
                <c:pt idx="54">
                  <c:v>165.79231483323591</c:v>
                </c:pt>
                <c:pt idx="55">
                  <c:v>170.29898948322605</c:v>
                </c:pt>
                <c:pt idx="56">
                  <c:v>172.00922994406028</c:v>
                </c:pt>
                <c:pt idx="57">
                  <c:v>169.36333043581294</c:v>
                </c:pt>
                <c:pt idx="58">
                  <c:v>173.97260283649538</c:v>
                </c:pt>
                <c:pt idx="59">
                  <c:v>174.88170646531398</c:v>
                </c:pt>
                <c:pt idx="60">
                  <c:v>176.99291600279611</c:v>
                </c:pt>
                <c:pt idx="61">
                  <c:v>184.46338383751782</c:v>
                </c:pt>
                <c:pt idx="62">
                  <c:v>175.66448639273688</c:v>
                </c:pt>
                <c:pt idx="63">
                  <c:v>179.34531285705836</c:v>
                </c:pt>
                <c:pt idx="64">
                  <c:v>177.58489380615455</c:v>
                </c:pt>
                <c:pt idx="65">
                  <c:v>176.88569179882748</c:v>
                </c:pt>
                <c:pt idx="66">
                  <c:v>180.90648275892872</c:v>
                </c:pt>
                <c:pt idx="67">
                  <c:v>181.67497895092916</c:v>
                </c:pt>
                <c:pt idx="68">
                  <c:v>175.89447933125248</c:v>
                </c:pt>
                <c:pt idx="69">
                  <c:v>180.39285040574799</c:v>
                </c:pt>
                <c:pt idx="70">
                  <c:v>179.95189426873333</c:v>
                </c:pt>
                <c:pt idx="71">
                  <c:v>184.09521977938817</c:v>
                </c:pt>
                <c:pt idx="72">
                  <c:v>187.93282382590948</c:v>
                </c:pt>
                <c:pt idx="73">
                  <c:v>195.95949608552448</c:v>
                </c:pt>
                <c:pt idx="74">
                  <c:v>197.47470286889285</c:v>
                </c:pt>
                <c:pt idx="75">
                  <c:v>193.45360520644155</c:v>
                </c:pt>
                <c:pt idx="76">
                  <c:v>194.12574780167063</c:v>
                </c:pt>
                <c:pt idx="77">
                  <c:v>192.70119084802741</c:v>
                </c:pt>
                <c:pt idx="78">
                  <c:v>194.20188791903303</c:v>
                </c:pt>
                <c:pt idx="79">
                  <c:v>201.42001714070369</c:v>
                </c:pt>
                <c:pt idx="80">
                  <c:v>196.74665904565546</c:v>
                </c:pt>
                <c:pt idx="81">
                  <c:v>197.19568284787613</c:v>
                </c:pt>
                <c:pt idx="82">
                  <c:v>197.97091653471986</c:v>
                </c:pt>
                <c:pt idx="83">
                  <c:v>201.11198465336238</c:v>
                </c:pt>
                <c:pt idx="84">
                  <c:v>211.01662276689726</c:v>
                </c:pt>
                <c:pt idx="85">
                  <c:v>205.19739404810881</c:v>
                </c:pt>
                <c:pt idx="86">
                  <c:v>203.58977524826005</c:v>
                </c:pt>
                <c:pt idx="87">
                  <c:v>202.9178781530585</c:v>
                </c:pt>
                <c:pt idx="88">
                  <c:v>205.11820356044916</c:v>
                </c:pt>
                <c:pt idx="89">
                  <c:v>211.20512854670201</c:v>
                </c:pt>
                <c:pt idx="90">
                  <c:v>211.65985952749918</c:v>
                </c:pt>
                <c:pt idx="91">
                  <c:v>212.13170598336046</c:v>
                </c:pt>
                <c:pt idx="92">
                  <c:v>206.81271323470406</c:v>
                </c:pt>
                <c:pt idx="93">
                  <c:v>205.95992218724507</c:v>
                </c:pt>
                <c:pt idx="94">
                  <c:v>203.75879719731716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D41-094C-BCDC-8807F586F36B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frozen'!$E$27:$CU$27</c:f>
              <c:numCache>
                <c:formatCode>General</c:formatCode>
                <c:ptCount val="95"/>
                <c:pt idx="0">
                  <c:v>222.13</c:v>
                </c:pt>
                <c:pt idx="1">
                  <c:v>223.87156203292989</c:v>
                </c:pt>
                <c:pt idx="2">
                  <c:v>218.7367503133589</c:v>
                </c:pt>
                <c:pt idx="3">
                  <c:v>217.59164271145355</c:v>
                </c:pt>
                <c:pt idx="4">
                  <c:v>221.33282726605557</c:v>
                </c:pt>
                <c:pt idx="5">
                  <c:v>222.05852255793528</c:v>
                </c:pt>
                <c:pt idx="6">
                  <c:v>224.68433357796675</c:v>
                </c:pt>
                <c:pt idx="7">
                  <c:v>220.2074684934222</c:v>
                </c:pt>
                <c:pt idx="8">
                  <c:v>219.82206701651248</c:v>
                </c:pt>
                <c:pt idx="9">
                  <c:v>211.75875370753707</c:v>
                </c:pt>
                <c:pt idx="10">
                  <c:v>220.99290039052352</c:v>
                </c:pt>
                <c:pt idx="11">
                  <c:v>219.97225659623959</c:v>
                </c:pt>
                <c:pt idx="12">
                  <c:v>222.12160197643993</c:v>
                </c:pt>
                <c:pt idx="13">
                  <c:v>223.75203835194185</c:v>
                </c:pt>
                <c:pt idx="14">
                  <c:v>223.74903228083062</c:v>
                </c:pt>
                <c:pt idx="15">
                  <c:v>225.98811517484413</c:v>
                </c:pt>
                <c:pt idx="16">
                  <c:v>228.85168143666854</c:v>
                </c:pt>
                <c:pt idx="17">
                  <c:v>234.14439314023076</c:v>
                </c:pt>
                <c:pt idx="18">
                  <c:v>226.80262917356211</c:v>
                </c:pt>
                <c:pt idx="19">
                  <c:v>229.82512543204001</c:v>
                </c:pt>
                <c:pt idx="20">
                  <c:v>220.66876032389109</c:v>
                </c:pt>
                <c:pt idx="21">
                  <c:v>223.04704604315805</c:v>
                </c:pt>
                <c:pt idx="22">
                  <c:v>219.94817402720437</c:v>
                </c:pt>
                <c:pt idx="23">
                  <c:v>218.53939873583772</c:v>
                </c:pt>
                <c:pt idx="24">
                  <c:v>220.14399380033842</c:v>
                </c:pt>
                <c:pt idx="25">
                  <c:v>235.24478854848635</c:v>
                </c:pt>
                <c:pt idx="26">
                  <c:v>221.3773282445257</c:v>
                </c:pt>
                <c:pt idx="27">
                  <c:v>224.65888691222497</c:v>
                </c:pt>
                <c:pt idx="28">
                  <c:v>224.5034271143349</c:v>
                </c:pt>
                <c:pt idx="29">
                  <c:v>221.6162355353184</c:v>
                </c:pt>
                <c:pt idx="30">
                  <c:v>229.13129445378533</c:v>
                </c:pt>
                <c:pt idx="31">
                  <c:v>225.08081105615733</c:v>
                </c:pt>
                <c:pt idx="32">
                  <c:v>216.75746315715693</c:v>
                </c:pt>
                <c:pt idx="33">
                  <c:v>218.17758975073809</c:v>
                </c:pt>
                <c:pt idx="34">
                  <c:v>219.05268917333453</c:v>
                </c:pt>
                <c:pt idx="35">
                  <c:v>215.26136760551509</c:v>
                </c:pt>
                <c:pt idx="36">
                  <c:v>212.89331671113104</c:v>
                </c:pt>
                <c:pt idx="37">
                  <c:v>211.38150907378485</c:v>
                </c:pt>
                <c:pt idx="38">
                  <c:v>207.99620492391776</c:v>
                </c:pt>
                <c:pt idx="39">
                  <c:v>209.44277417822852</c:v>
                </c:pt>
                <c:pt idx="40">
                  <c:v>216.06952921912628</c:v>
                </c:pt>
                <c:pt idx="41">
                  <c:v>214.4665236546106</c:v>
                </c:pt>
                <c:pt idx="42">
                  <c:v>218.79629193081837</c:v>
                </c:pt>
                <c:pt idx="43">
                  <c:v>221.72449687768491</c:v>
                </c:pt>
                <c:pt idx="44">
                  <c:v>211.761182953131</c:v>
                </c:pt>
                <c:pt idx="45">
                  <c:v>207.46613854317459</c:v>
                </c:pt>
                <c:pt idx="46">
                  <c:v>203.57125207070808</c:v>
                </c:pt>
                <c:pt idx="47">
                  <c:v>209.86956293366515</c:v>
                </c:pt>
                <c:pt idx="48">
                  <c:v>211.47453637245945</c:v>
                </c:pt>
                <c:pt idx="49">
                  <c:v>217.65687657151838</c:v>
                </c:pt>
                <c:pt idx="50">
                  <c:v>218.58375766584365</c:v>
                </c:pt>
                <c:pt idx="51">
                  <c:v>220.84886850023869</c:v>
                </c:pt>
                <c:pt idx="52">
                  <c:v>217.0831455053054</c:v>
                </c:pt>
                <c:pt idx="53">
                  <c:v>209.23364684690935</c:v>
                </c:pt>
                <c:pt idx="54">
                  <c:v>207.36652105522094</c:v>
                </c:pt>
                <c:pt idx="55">
                  <c:v>209.07053102980993</c:v>
                </c:pt>
                <c:pt idx="56">
                  <c:v>202.30364069772523</c:v>
                </c:pt>
                <c:pt idx="57">
                  <c:v>199.30590105178672</c:v>
                </c:pt>
                <c:pt idx="58">
                  <c:v>205.45103925501792</c:v>
                </c:pt>
                <c:pt idx="59">
                  <c:v>207.72606577592154</c:v>
                </c:pt>
                <c:pt idx="60">
                  <c:v>206.97889865288658</c:v>
                </c:pt>
                <c:pt idx="61">
                  <c:v>219.47697976731882</c:v>
                </c:pt>
                <c:pt idx="62">
                  <c:v>225.06040143073247</c:v>
                </c:pt>
                <c:pt idx="63">
                  <c:v>214.88294772426661</c:v>
                </c:pt>
                <c:pt idx="64">
                  <c:v>212.28251319172193</c:v>
                </c:pt>
                <c:pt idx="65">
                  <c:v>211.5819385844805</c:v>
                </c:pt>
                <c:pt idx="66">
                  <c:v>216.76568609150181</c:v>
                </c:pt>
                <c:pt idx="67">
                  <c:v>215.38202393143678</c:v>
                </c:pt>
                <c:pt idx="68">
                  <c:v>220.9447400728026</c:v>
                </c:pt>
                <c:pt idx="69">
                  <c:v>227.49753581815878</c:v>
                </c:pt>
                <c:pt idx="70">
                  <c:v>228.23832343157449</c:v>
                </c:pt>
                <c:pt idx="71">
                  <c:v>232.27133849852251</c:v>
                </c:pt>
                <c:pt idx="72">
                  <c:v>239.82667610877536</c:v>
                </c:pt>
                <c:pt idx="73">
                  <c:v>248.77602362037663</c:v>
                </c:pt>
                <c:pt idx="74">
                  <c:v>250.93152250982826</c:v>
                </c:pt>
                <c:pt idx="75">
                  <c:v>249.81819876772994</c:v>
                </c:pt>
                <c:pt idx="76">
                  <c:v>254.87008814296814</c:v>
                </c:pt>
                <c:pt idx="77">
                  <c:v>247.80567919815675</c:v>
                </c:pt>
                <c:pt idx="78">
                  <c:v>250.04208937873915</c:v>
                </c:pt>
                <c:pt idx="79">
                  <c:v>257.93182697879035</c:v>
                </c:pt>
                <c:pt idx="80">
                  <c:v>249.04303712628032</c:v>
                </c:pt>
                <c:pt idx="81">
                  <c:v>243.40747364781643</c:v>
                </c:pt>
                <c:pt idx="82">
                  <c:v>252.27917132144827</c:v>
                </c:pt>
                <c:pt idx="83">
                  <c:v>241.50762621489611</c:v>
                </c:pt>
                <c:pt idx="84">
                  <c:v>244.34945538241698</c:v>
                </c:pt>
                <c:pt idx="85">
                  <c:v>237.77695018138664</c:v>
                </c:pt>
                <c:pt idx="86">
                  <c:v>236.66493125145004</c:v>
                </c:pt>
                <c:pt idx="87">
                  <c:v>237.83730885706254</c:v>
                </c:pt>
                <c:pt idx="88">
                  <c:v>235.03157530688705</c:v>
                </c:pt>
                <c:pt idx="89">
                  <c:v>227.43484966551458</c:v>
                </c:pt>
                <c:pt idx="90">
                  <c:v>224.88702075430393</c:v>
                </c:pt>
                <c:pt idx="91">
                  <c:v>216.08355165757888</c:v>
                </c:pt>
                <c:pt idx="92">
                  <c:v>217.10640785612023</c:v>
                </c:pt>
                <c:pt idx="93">
                  <c:v>212.40286603754191</c:v>
                </c:pt>
                <c:pt idx="94">
                  <c:v>206.73516336653509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D41-094C-BCDC-8807F586F36B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frozen'!$E$28:$CU$28</c:f>
              <c:numCache>
                <c:formatCode>General</c:formatCode>
                <c:ptCount val="95"/>
                <c:pt idx="0">
                  <c:v>222.13</c:v>
                </c:pt>
                <c:pt idx="1">
                  <c:v>219.63411717333653</c:v>
                </c:pt>
                <c:pt idx="2">
                  <c:v>225.70821055265512</c:v>
                </c:pt>
                <c:pt idx="3">
                  <c:v>228.20656927736866</c:v>
                </c:pt>
                <c:pt idx="4">
                  <c:v>224.29412199158386</c:v>
                </c:pt>
                <c:pt idx="5">
                  <c:v>229.02780836105191</c:v>
                </c:pt>
                <c:pt idx="6">
                  <c:v>235.49631623665675</c:v>
                </c:pt>
                <c:pt idx="7">
                  <c:v>247.89802581370807</c:v>
                </c:pt>
                <c:pt idx="8">
                  <c:v>248.37017465190974</c:v>
                </c:pt>
                <c:pt idx="9">
                  <c:v>256.88906733145075</c:v>
                </c:pt>
                <c:pt idx="10">
                  <c:v>258.44055128528015</c:v>
                </c:pt>
                <c:pt idx="11">
                  <c:v>247.29148334451023</c:v>
                </c:pt>
                <c:pt idx="12">
                  <c:v>247.04689710554189</c:v>
                </c:pt>
                <c:pt idx="13">
                  <c:v>251.18669090267213</c:v>
                </c:pt>
                <c:pt idx="14">
                  <c:v>246.44024952404689</c:v>
                </c:pt>
                <c:pt idx="15">
                  <c:v>246.52388649442457</c:v>
                </c:pt>
                <c:pt idx="16">
                  <c:v>246.77896817072181</c:v>
                </c:pt>
                <c:pt idx="17">
                  <c:v>251.33381257355737</c:v>
                </c:pt>
                <c:pt idx="18">
                  <c:v>244.38568274207211</c:v>
                </c:pt>
                <c:pt idx="19">
                  <c:v>245.23308531499848</c:v>
                </c:pt>
                <c:pt idx="20">
                  <c:v>239.52705271293132</c:v>
                </c:pt>
                <c:pt idx="21">
                  <c:v>234.42594018978136</c:v>
                </c:pt>
                <c:pt idx="22">
                  <c:v>237.14277004561023</c:v>
                </c:pt>
                <c:pt idx="23">
                  <c:v>239.87501681383878</c:v>
                </c:pt>
                <c:pt idx="24">
                  <c:v>229.05822048644731</c:v>
                </c:pt>
                <c:pt idx="25">
                  <c:v>224.16890436184295</c:v>
                </c:pt>
                <c:pt idx="26">
                  <c:v>218.10908024745575</c:v>
                </c:pt>
                <c:pt idx="27">
                  <c:v>212.7165145854994</c:v>
                </c:pt>
                <c:pt idx="28">
                  <c:v>221.70697539312917</c:v>
                </c:pt>
                <c:pt idx="29">
                  <c:v>222.42025681607373</c:v>
                </c:pt>
                <c:pt idx="30">
                  <c:v>219.85076530678685</c:v>
                </c:pt>
                <c:pt idx="31">
                  <c:v>214.30863036752254</c:v>
                </c:pt>
                <c:pt idx="32">
                  <c:v>207.73118702498343</c:v>
                </c:pt>
                <c:pt idx="33">
                  <c:v>215.47366404308806</c:v>
                </c:pt>
                <c:pt idx="34">
                  <c:v>207.29013815155389</c:v>
                </c:pt>
                <c:pt idx="35">
                  <c:v>213.17343990941131</c:v>
                </c:pt>
                <c:pt idx="36">
                  <c:v>210.03651673382313</c:v>
                </c:pt>
                <c:pt idx="37">
                  <c:v>212.23469092239176</c:v>
                </c:pt>
                <c:pt idx="38">
                  <c:v>207.1095249520655</c:v>
                </c:pt>
                <c:pt idx="39">
                  <c:v>210.12201206273417</c:v>
                </c:pt>
                <c:pt idx="40">
                  <c:v>207.12123094176692</c:v>
                </c:pt>
                <c:pt idx="41">
                  <c:v>206.12930584100712</c:v>
                </c:pt>
                <c:pt idx="42">
                  <c:v>203.3234963787242</c:v>
                </c:pt>
                <c:pt idx="43">
                  <c:v>201.62451369846727</c:v>
                </c:pt>
                <c:pt idx="44">
                  <c:v>202.61758664696754</c:v>
                </c:pt>
                <c:pt idx="45">
                  <c:v>196.45090016709156</c:v>
                </c:pt>
                <c:pt idx="46">
                  <c:v>196.32878192454947</c:v>
                </c:pt>
                <c:pt idx="47">
                  <c:v>197.23402345406987</c:v>
                </c:pt>
                <c:pt idx="48">
                  <c:v>199.05353379550988</c:v>
                </c:pt>
                <c:pt idx="49">
                  <c:v>209.59481832887491</c:v>
                </c:pt>
                <c:pt idx="50">
                  <c:v>206.49399033456359</c:v>
                </c:pt>
                <c:pt idx="51">
                  <c:v>204.37519890411374</c:v>
                </c:pt>
                <c:pt idx="52">
                  <c:v>200.75472433558528</c:v>
                </c:pt>
                <c:pt idx="53">
                  <c:v>206.45512125140164</c:v>
                </c:pt>
                <c:pt idx="54">
                  <c:v>208.71687120405721</c:v>
                </c:pt>
                <c:pt idx="55">
                  <c:v>219.1585000902792</c:v>
                </c:pt>
                <c:pt idx="56">
                  <c:v>224.88645215032858</c:v>
                </c:pt>
                <c:pt idx="57">
                  <c:v>216.114514406231</c:v>
                </c:pt>
                <c:pt idx="58">
                  <c:v>222.66917836138256</c:v>
                </c:pt>
                <c:pt idx="59">
                  <c:v>223.17152164893554</c:v>
                </c:pt>
                <c:pt idx="60">
                  <c:v>218.01345311668393</c:v>
                </c:pt>
                <c:pt idx="61">
                  <c:v>225.66081785417586</c:v>
                </c:pt>
                <c:pt idx="62">
                  <c:v>221.07368069730333</c:v>
                </c:pt>
                <c:pt idx="63">
                  <c:v>221.36969997001356</c:v>
                </c:pt>
                <c:pt idx="64">
                  <c:v>220.7019516580001</c:v>
                </c:pt>
                <c:pt idx="65">
                  <c:v>219.82083844525906</c:v>
                </c:pt>
                <c:pt idx="66">
                  <c:v>226.64621760162638</c:v>
                </c:pt>
                <c:pt idx="67">
                  <c:v>224.39972189655109</c:v>
                </c:pt>
                <c:pt idx="68">
                  <c:v>231.90228924046534</c:v>
                </c:pt>
                <c:pt idx="69">
                  <c:v>226.25859564599523</c:v>
                </c:pt>
                <c:pt idx="70">
                  <c:v>223.26081491625376</c:v>
                </c:pt>
                <c:pt idx="71">
                  <c:v>221.84344773243228</c:v>
                </c:pt>
                <c:pt idx="72">
                  <c:v>215.36686827536295</c:v>
                </c:pt>
                <c:pt idx="73">
                  <c:v>220.38337523442218</c:v>
                </c:pt>
                <c:pt idx="74">
                  <c:v>227.97018566613121</c:v>
                </c:pt>
                <c:pt idx="75">
                  <c:v>230.7946744045401</c:v>
                </c:pt>
                <c:pt idx="76">
                  <c:v>229.22286287710045</c:v>
                </c:pt>
                <c:pt idx="77">
                  <c:v>227.53672811407262</c:v>
                </c:pt>
                <c:pt idx="78">
                  <c:v>230.31457086327907</c:v>
                </c:pt>
                <c:pt idx="79">
                  <c:v>223.30408591825642</c:v>
                </c:pt>
                <c:pt idx="80">
                  <c:v>224.35551640442776</c:v>
                </c:pt>
                <c:pt idx="81">
                  <c:v>219.13081404506866</c:v>
                </c:pt>
                <c:pt idx="82">
                  <c:v>216.87985435944415</c:v>
                </c:pt>
                <c:pt idx="83">
                  <c:v>221.69837599224843</c:v>
                </c:pt>
                <c:pt idx="84">
                  <c:v>224.01858325023468</c:v>
                </c:pt>
                <c:pt idx="85">
                  <c:v>218.44253266686087</c:v>
                </c:pt>
                <c:pt idx="86">
                  <c:v>217.37968551016098</c:v>
                </c:pt>
                <c:pt idx="87">
                  <c:v>225.73512762432364</c:v>
                </c:pt>
                <c:pt idx="88">
                  <c:v>223.28995249824885</c:v>
                </c:pt>
                <c:pt idx="89">
                  <c:v>221.78226272077555</c:v>
                </c:pt>
                <c:pt idx="90">
                  <c:v>226.0652438102297</c:v>
                </c:pt>
                <c:pt idx="91">
                  <c:v>216.18493488115482</c:v>
                </c:pt>
                <c:pt idx="92">
                  <c:v>224.59976474239903</c:v>
                </c:pt>
                <c:pt idx="93">
                  <c:v>217.15619647945508</c:v>
                </c:pt>
                <c:pt idx="94">
                  <c:v>220.87728821771836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D41-094C-BCDC-8807F586F36B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frozen'!$E$29:$CU$29</c:f>
              <c:numCache>
                <c:formatCode>General</c:formatCode>
                <c:ptCount val="95"/>
                <c:pt idx="0">
                  <c:v>222.13</c:v>
                </c:pt>
                <c:pt idx="1">
                  <c:v>229.05485837193862</c:v>
                </c:pt>
                <c:pt idx="2">
                  <c:v>230.81083179802957</c:v>
                </c:pt>
                <c:pt idx="3">
                  <c:v>230.39096419007043</c:v>
                </c:pt>
                <c:pt idx="4">
                  <c:v>241.28868975026694</c:v>
                </c:pt>
                <c:pt idx="5">
                  <c:v>237.80699765294267</c:v>
                </c:pt>
                <c:pt idx="6">
                  <c:v>228.09238247398866</c:v>
                </c:pt>
                <c:pt idx="7">
                  <c:v>233.67204267690059</c:v>
                </c:pt>
                <c:pt idx="8">
                  <c:v>234.73958790298474</c:v>
                </c:pt>
                <c:pt idx="9">
                  <c:v>233.23844158927875</c:v>
                </c:pt>
                <c:pt idx="10">
                  <c:v>233.00809770087659</c:v>
                </c:pt>
                <c:pt idx="11">
                  <c:v>230.27421376117852</c:v>
                </c:pt>
                <c:pt idx="12">
                  <c:v>230.09896531658362</c:v>
                </c:pt>
                <c:pt idx="13">
                  <c:v>228.24099605087338</c:v>
                </c:pt>
                <c:pt idx="14">
                  <c:v>234.82112243771712</c:v>
                </c:pt>
                <c:pt idx="15">
                  <c:v>228.93172398646044</c:v>
                </c:pt>
                <c:pt idx="16">
                  <c:v>233.87303341496809</c:v>
                </c:pt>
                <c:pt idx="17">
                  <c:v>226.07094865714996</c:v>
                </c:pt>
                <c:pt idx="18">
                  <c:v>228.81209736464098</c:v>
                </c:pt>
                <c:pt idx="19">
                  <c:v>228.68527236220379</c:v>
                </c:pt>
                <c:pt idx="20">
                  <c:v>229.54726706866433</c:v>
                </c:pt>
                <c:pt idx="21">
                  <c:v>227.05242189803241</c:v>
                </c:pt>
                <c:pt idx="22">
                  <c:v>228.89083048377825</c:v>
                </c:pt>
                <c:pt idx="23">
                  <c:v>237.78453507332046</c:v>
                </c:pt>
                <c:pt idx="24">
                  <c:v>244.48491500607363</c:v>
                </c:pt>
                <c:pt idx="25">
                  <c:v>241.86604179200651</c:v>
                </c:pt>
                <c:pt idx="26">
                  <c:v>248.06678524229741</c:v>
                </c:pt>
                <c:pt idx="27">
                  <c:v>252.62869299167883</c:v>
                </c:pt>
                <c:pt idx="28">
                  <c:v>248.27727924963654</c:v>
                </c:pt>
                <c:pt idx="29">
                  <c:v>250.32164707975406</c:v>
                </c:pt>
                <c:pt idx="30">
                  <c:v>250.88144099335014</c:v>
                </c:pt>
                <c:pt idx="31">
                  <c:v>252.29150290421293</c:v>
                </c:pt>
                <c:pt idx="32">
                  <c:v>259.43306021784866</c:v>
                </c:pt>
                <c:pt idx="33">
                  <c:v>253.10258838518337</c:v>
                </c:pt>
                <c:pt idx="34">
                  <c:v>254.95794122821198</c:v>
                </c:pt>
                <c:pt idx="35">
                  <c:v>254.26144213187143</c:v>
                </c:pt>
                <c:pt idx="36">
                  <c:v>251.8179717750744</c:v>
                </c:pt>
                <c:pt idx="37">
                  <c:v>258.94024776390717</c:v>
                </c:pt>
                <c:pt idx="38">
                  <c:v>248.85111435879654</c:v>
                </c:pt>
                <c:pt idx="39">
                  <c:v>251.66025513541874</c:v>
                </c:pt>
                <c:pt idx="40">
                  <c:v>246.93543744451017</c:v>
                </c:pt>
                <c:pt idx="41">
                  <c:v>248.89532501059037</c:v>
                </c:pt>
                <c:pt idx="42">
                  <c:v>246.94123990077969</c:v>
                </c:pt>
                <c:pt idx="43">
                  <c:v>248.07401456281832</c:v>
                </c:pt>
                <c:pt idx="44">
                  <c:v>240.26762525597769</c:v>
                </c:pt>
                <c:pt idx="45">
                  <c:v>239.3129627210121</c:v>
                </c:pt>
                <c:pt idx="46">
                  <c:v>240.27951880978964</c:v>
                </c:pt>
                <c:pt idx="47">
                  <c:v>242.9657992760211</c:v>
                </c:pt>
                <c:pt idx="48">
                  <c:v>238.63411570289807</c:v>
                </c:pt>
                <c:pt idx="49">
                  <c:v>244.71579853171511</c:v>
                </c:pt>
                <c:pt idx="50">
                  <c:v>250.9805307836194</c:v>
                </c:pt>
                <c:pt idx="51">
                  <c:v>256.72541272957608</c:v>
                </c:pt>
                <c:pt idx="52">
                  <c:v>266.22018161815026</c:v>
                </c:pt>
                <c:pt idx="53">
                  <c:v>260.1877967782662</c:v>
                </c:pt>
                <c:pt idx="54">
                  <c:v>251.93181513890369</c:v>
                </c:pt>
                <c:pt idx="55">
                  <c:v>255.89626151313652</c:v>
                </c:pt>
                <c:pt idx="56">
                  <c:v>248.73100426654329</c:v>
                </c:pt>
                <c:pt idx="57">
                  <c:v>245.22989324450012</c:v>
                </c:pt>
                <c:pt idx="58">
                  <c:v>243.54525364241397</c:v>
                </c:pt>
                <c:pt idx="59">
                  <c:v>242.25231651060039</c:v>
                </c:pt>
                <c:pt idx="60">
                  <c:v>237.15870100616922</c:v>
                </c:pt>
                <c:pt idx="61">
                  <c:v>251.25053696841849</c:v>
                </c:pt>
                <c:pt idx="62">
                  <c:v>253.42035472748432</c:v>
                </c:pt>
                <c:pt idx="63">
                  <c:v>250.64806212938214</c:v>
                </c:pt>
                <c:pt idx="64">
                  <c:v>256.78042846853373</c:v>
                </c:pt>
                <c:pt idx="65">
                  <c:v>245.97032127350064</c:v>
                </c:pt>
                <c:pt idx="66">
                  <c:v>244.79469760712095</c:v>
                </c:pt>
                <c:pt idx="67">
                  <c:v>251.70025943746296</c:v>
                </c:pt>
                <c:pt idx="68">
                  <c:v>253.0951527036772</c:v>
                </c:pt>
                <c:pt idx="69">
                  <c:v>257.41584904970262</c:v>
                </c:pt>
                <c:pt idx="70">
                  <c:v>267.1108069743766</c:v>
                </c:pt>
                <c:pt idx="71">
                  <c:v>262.89429212717732</c:v>
                </c:pt>
                <c:pt idx="72">
                  <c:v>260.05320247018631</c:v>
                </c:pt>
                <c:pt idx="73">
                  <c:v>263.49665365045894</c:v>
                </c:pt>
                <c:pt idx="74">
                  <c:v>258.96885744318462</c:v>
                </c:pt>
                <c:pt idx="75">
                  <c:v>256.71724633711972</c:v>
                </c:pt>
                <c:pt idx="76">
                  <c:v>261.21510821427461</c:v>
                </c:pt>
                <c:pt idx="77">
                  <c:v>266.62868147936427</c:v>
                </c:pt>
                <c:pt idx="78">
                  <c:v>260.17657706799162</c:v>
                </c:pt>
                <c:pt idx="79">
                  <c:v>249.03003483639731</c:v>
                </c:pt>
                <c:pt idx="80">
                  <c:v>247.07351424496343</c:v>
                </c:pt>
                <c:pt idx="81">
                  <c:v>243.99816696366372</c:v>
                </c:pt>
                <c:pt idx="82">
                  <c:v>242.44140352963376</c:v>
                </c:pt>
                <c:pt idx="83">
                  <c:v>241.00955615991657</c:v>
                </c:pt>
                <c:pt idx="84">
                  <c:v>244.14196815592618</c:v>
                </c:pt>
                <c:pt idx="85">
                  <c:v>244.85379249546781</c:v>
                </c:pt>
                <c:pt idx="86">
                  <c:v>246.23795362054034</c:v>
                </c:pt>
                <c:pt idx="87">
                  <c:v>240.49207802956127</c:v>
                </c:pt>
                <c:pt idx="88">
                  <c:v>232.06919473320323</c:v>
                </c:pt>
                <c:pt idx="89">
                  <c:v>222.28484635695213</c:v>
                </c:pt>
                <c:pt idx="90">
                  <c:v>231.75632316573697</c:v>
                </c:pt>
                <c:pt idx="91">
                  <c:v>234.44334906339992</c:v>
                </c:pt>
                <c:pt idx="92">
                  <c:v>231.25447788073132</c:v>
                </c:pt>
                <c:pt idx="93">
                  <c:v>228.89730500094888</c:v>
                </c:pt>
                <c:pt idx="94">
                  <c:v>230.04771848872809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CD41-094C-BCDC-8807F586F36B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frozen'!$E$30:$CU$30</c:f>
              <c:numCache>
                <c:formatCode>General</c:formatCode>
                <c:ptCount val="95"/>
                <c:pt idx="0">
                  <c:v>222.13</c:v>
                </c:pt>
                <c:pt idx="1">
                  <c:v>230.84952608010988</c:v>
                </c:pt>
                <c:pt idx="2">
                  <c:v>222.77361236213284</c:v>
                </c:pt>
                <c:pt idx="3">
                  <c:v>233.9376323572757</c:v>
                </c:pt>
                <c:pt idx="4">
                  <c:v>223.06917687267494</c:v>
                </c:pt>
                <c:pt idx="5">
                  <c:v>228.36762342031452</c:v>
                </c:pt>
                <c:pt idx="6">
                  <c:v>231.78189508648637</c:v>
                </c:pt>
                <c:pt idx="7">
                  <c:v>232.01143802012632</c:v>
                </c:pt>
                <c:pt idx="8">
                  <c:v>236.50354976178753</c:v>
                </c:pt>
                <c:pt idx="9">
                  <c:v>234.85596118538155</c:v>
                </c:pt>
                <c:pt idx="10">
                  <c:v>244.78866594499317</c:v>
                </c:pt>
                <c:pt idx="11">
                  <c:v>248.17092350253557</c:v>
                </c:pt>
                <c:pt idx="12">
                  <c:v>249.84700725216231</c:v>
                </c:pt>
                <c:pt idx="13">
                  <c:v>247.95822922425697</c:v>
                </c:pt>
                <c:pt idx="14">
                  <c:v>248.69554245421671</c:v>
                </c:pt>
                <c:pt idx="15">
                  <c:v>244.36033185859557</c:v>
                </c:pt>
                <c:pt idx="16">
                  <c:v>236.80880728330783</c:v>
                </c:pt>
                <c:pt idx="17">
                  <c:v>243.29843769928024</c:v>
                </c:pt>
                <c:pt idx="18">
                  <c:v>247.58139668080571</c:v>
                </c:pt>
                <c:pt idx="19">
                  <c:v>237.26273174552105</c:v>
                </c:pt>
                <c:pt idx="20">
                  <c:v>236.17998260990092</c:v>
                </c:pt>
                <c:pt idx="21">
                  <c:v>235.10887905294823</c:v>
                </c:pt>
                <c:pt idx="22">
                  <c:v>235.48922050982509</c:v>
                </c:pt>
                <c:pt idx="23">
                  <c:v>237.64426197860359</c:v>
                </c:pt>
                <c:pt idx="24">
                  <c:v>237.09722814072762</c:v>
                </c:pt>
                <c:pt idx="25">
                  <c:v>227.96289522575984</c:v>
                </c:pt>
                <c:pt idx="26">
                  <c:v>225.81000017971292</c:v>
                </c:pt>
                <c:pt idx="27">
                  <c:v>233.9584807205346</c:v>
                </c:pt>
                <c:pt idx="28">
                  <c:v>234.85087185368278</c:v>
                </c:pt>
                <c:pt idx="29">
                  <c:v>237.7268849438058</c:v>
                </c:pt>
                <c:pt idx="30">
                  <c:v>237.13204776879013</c:v>
                </c:pt>
                <c:pt idx="31">
                  <c:v>242.27843301968858</c:v>
                </c:pt>
                <c:pt idx="32">
                  <c:v>237.97151681577199</c:v>
                </c:pt>
                <c:pt idx="33">
                  <c:v>228.65260525390119</c:v>
                </c:pt>
                <c:pt idx="34">
                  <c:v>228.05014049227785</c:v>
                </c:pt>
                <c:pt idx="35">
                  <c:v>225.54799096367123</c:v>
                </c:pt>
                <c:pt idx="36">
                  <c:v>227.2180228982819</c:v>
                </c:pt>
                <c:pt idx="37">
                  <c:v>219.09576692270073</c:v>
                </c:pt>
                <c:pt idx="38">
                  <c:v>224.57209714704405</c:v>
                </c:pt>
                <c:pt idx="39">
                  <c:v>221.23643451788263</c:v>
                </c:pt>
                <c:pt idx="40">
                  <c:v>233.70784708113757</c:v>
                </c:pt>
                <c:pt idx="41">
                  <c:v>232.70075543172203</c:v>
                </c:pt>
                <c:pt idx="42">
                  <c:v>222.89418430435148</c:v>
                </c:pt>
                <c:pt idx="43">
                  <c:v>227.40300184901588</c:v>
                </c:pt>
                <c:pt idx="44">
                  <c:v>234.19402729158253</c:v>
                </c:pt>
                <c:pt idx="45">
                  <c:v>233.50269592046092</c:v>
                </c:pt>
                <c:pt idx="46">
                  <c:v>236.36005351073231</c:v>
                </c:pt>
                <c:pt idx="47">
                  <c:v>246.39687385201114</c:v>
                </c:pt>
                <c:pt idx="48">
                  <c:v>246.2770532449735</c:v>
                </c:pt>
                <c:pt idx="49">
                  <c:v>235.30898157840471</c:v>
                </c:pt>
                <c:pt idx="50">
                  <c:v>238.76962900454109</c:v>
                </c:pt>
                <c:pt idx="51">
                  <c:v>235.60776195139721</c:v>
                </c:pt>
                <c:pt idx="52">
                  <c:v>227.81446520134006</c:v>
                </c:pt>
                <c:pt idx="53">
                  <c:v>232.5579238803665</c:v>
                </c:pt>
                <c:pt idx="54">
                  <c:v>233.07910938702281</c:v>
                </c:pt>
                <c:pt idx="55">
                  <c:v>230.40000115312864</c:v>
                </c:pt>
                <c:pt idx="56">
                  <c:v>235.52276356294556</c:v>
                </c:pt>
                <c:pt idx="57">
                  <c:v>244.42612694289403</c:v>
                </c:pt>
                <c:pt idx="58">
                  <c:v>247.2963321279627</c:v>
                </c:pt>
                <c:pt idx="59">
                  <c:v>238.35518537698346</c:v>
                </c:pt>
                <c:pt idx="60">
                  <c:v>237.9827809567104</c:v>
                </c:pt>
                <c:pt idx="61">
                  <c:v>241.10725110302704</c:v>
                </c:pt>
                <c:pt idx="62">
                  <c:v>227.77702204024268</c:v>
                </c:pt>
                <c:pt idx="63">
                  <c:v>222.63226598041123</c:v>
                </c:pt>
                <c:pt idx="64">
                  <c:v>235.38436525339165</c:v>
                </c:pt>
                <c:pt idx="65">
                  <c:v>227.15743265248878</c:v>
                </c:pt>
                <c:pt idx="66">
                  <c:v>224.43605648281999</c:v>
                </c:pt>
                <c:pt idx="67">
                  <c:v>224.14169909714911</c:v>
                </c:pt>
                <c:pt idx="68">
                  <c:v>218.14858743627559</c:v>
                </c:pt>
                <c:pt idx="69">
                  <c:v>222.30687156517479</c:v>
                </c:pt>
                <c:pt idx="70">
                  <c:v>229.4902690054777</c:v>
                </c:pt>
                <c:pt idx="71">
                  <c:v>235.98308453853815</c:v>
                </c:pt>
                <c:pt idx="72">
                  <c:v>240.70534257040117</c:v>
                </c:pt>
                <c:pt idx="73">
                  <c:v>250.4377970890541</c:v>
                </c:pt>
                <c:pt idx="74">
                  <c:v>261.71720976981379</c:v>
                </c:pt>
                <c:pt idx="75">
                  <c:v>253.76747406357629</c:v>
                </c:pt>
                <c:pt idx="76">
                  <c:v>250.71322604528504</c:v>
                </c:pt>
                <c:pt idx="77">
                  <c:v>253.29800167094587</c:v>
                </c:pt>
                <c:pt idx="78">
                  <c:v>244.5757121889078</c:v>
                </c:pt>
                <c:pt idx="79">
                  <c:v>240.52225465173856</c:v>
                </c:pt>
                <c:pt idx="80">
                  <c:v>237.83932529376136</c:v>
                </c:pt>
                <c:pt idx="81">
                  <c:v>239.78458172108805</c:v>
                </c:pt>
                <c:pt idx="82">
                  <c:v>244.44924779594109</c:v>
                </c:pt>
                <c:pt idx="83">
                  <c:v>241.80924601548676</c:v>
                </c:pt>
                <c:pt idx="84">
                  <c:v>236.2675661951393</c:v>
                </c:pt>
                <c:pt idx="85">
                  <c:v>238.17806216107826</c:v>
                </c:pt>
                <c:pt idx="86">
                  <c:v>244.41724068450836</c:v>
                </c:pt>
                <c:pt idx="87">
                  <c:v>242.72376542139961</c:v>
                </c:pt>
                <c:pt idx="88">
                  <c:v>234.19958166685103</c:v>
                </c:pt>
                <c:pt idx="89">
                  <c:v>230.62194131487021</c:v>
                </c:pt>
                <c:pt idx="90">
                  <c:v>232.89974731976187</c:v>
                </c:pt>
                <c:pt idx="91">
                  <c:v>230.41737926849339</c:v>
                </c:pt>
                <c:pt idx="92">
                  <c:v>225.01645255444259</c:v>
                </c:pt>
                <c:pt idx="93">
                  <c:v>222.39265937222922</c:v>
                </c:pt>
                <c:pt idx="94">
                  <c:v>231.61411257898939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D41-094C-BCDC-8807F586F36B}"/>
            </c:ext>
          </c:extLst>
        </c:ser>
        <c:ser>
          <c:idx val="29"/>
          <c:order val="29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frozen'!$E$31:$CU$31</c:f>
              <c:numCache>
                <c:formatCode>General</c:formatCode>
                <c:ptCount val="95"/>
                <c:pt idx="0">
                  <c:v>222.13</c:v>
                </c:pt>
                <c:pt idx="1">
                  <c:v>216.86898803098367</c:v>
                </c:pt>
                <c:pt idx="2">
                  <c:v>220.10073247496069</c:v>
                </c:pt>
                <c:pt idx="3">
                  <c:v>214.15342369947024</c:v>
                </c:pt>
                <c:pt idx="4">
                  <c:v>209.27920753610499</c:v>
                </c:pt>
                <c:pt idx="5">
                  <c:v>200.69438699676556</c:v>
                </c:pt>
                <c:pt idx="6">
                  <c:v>199.41836102056413</c:v>
                </c:pt>
                <c:pt idx="7">
                  <c:v>192.69977839278127</c:v>
                </c:pt>
                <c:pt idx="8">
                  <c:v>192.20219879826209</c:v>
                </c:pt>
                <c:pt idx="9">
                  <c:v>198.6267480795741</c:v>
                </c:pt>
                <c:pt idx="10">
                  <c:v>198.55429029138585</c:v>
                </c:pt>
                <c:pt idx="11">
                  <c:v>202.18153451620196</c:v>
                </c:pt>
                <c:pt idx="12">
                  <c:v>207.02819545731671</c:v>
                </c:pt>
                <c:pt idx="13">
                  <c:v>203.00401132259537</c:v>
                </c:pt>
                <c:pt idx="14">
                  <c:v>205.073186591308</c:v>
                </c:pt>
                <c:pt idx="15">
                  <c:v>207.50767194168526</c:v>
                </c:pt>
                <c:pt idx="16">
                  <c:v>209.43569773514935</c:v>
                </c:pt>
                <c:pt idx="17">
                  <c:v>215.5075960830473</c:v>
                </c:pt>
                <c:pt idx="18">
                  <c:v>218.97590998183526</c:v>
                </c:pt>
                <c:pt idx="19">
                  <c:v>224.35729095541018</c:v>
                </c:pt>
                <c:pt idx="20">
                  <c:v>224.65843346983172</c:v>
                </c:pt>
                <c:pt idx="21">
                  <c:v>227.81105910023967</c:v>
                </c:pt>
                <c:pt idx="22">
                  <c:v>228.27114309749055</c:v>
                </c:pt>
                <c:pt idx="23">
                  <c:v>225.55294788455291</c:v>
                </c:pt>
                <c:pt idx="24">
                  <c:v>216.92945418444845</c:v>
                </c:pt>
                <c:pt idx="25">
                  <c:v>214.04167912114136</c:v>
                </c:pt>
                <c:pt idx="26">
                  <c:v>211.1246750647351</c:v>
                </c:pt>
                <c:pt idx="27">
                  <c:v>208.93927667498639</c:v>
                </c:pt>
                <c:pt idx="28">
                  <c:v>210.69958259528556</c:v>
                </c:pt>
                <c:pt idx="29">
                  <c:v>214.88198556684017</c:v>
                </c:pt>
                <c:pt idx="30">
                  <c:v>219.16883149248156</c:v>
                </c:pt>
                <c:pt idx="31">
                  <c:v>226.15767623699571</c:v>
                </c:pt>
                <c:pt idx="32">
                  <c:v>228.56413696248856</c:v>
                </c:pt>
                <c:pt idx="33">
                  <c:v>220.6719821382236</c:v>
                </c:pt>
                <c:pt idx="34">
                  <c:v>217.56971300786856</c:v>
                </c:pt>
                <c:pt idx="35">
                  <c:v>216.89781760563423</c:v>
                </c:pt>
                <c:pt idx="36">
                  <c:v>217.39033133529551</c:v>
                </c:pt>
                <c:pt idx="37">
                  <c:v>222.0866520910584</c:v>
                </c:pt>
                <c:pt idx="38">
                  <c:v>229.29175393521146</c:v>
                </c:pt>
                <c:pt idx="39">
                  <c:v>225.98326628067278</c:v>
                </c:pt>
                <c:pt idx="40">
                  <c:v>235.53937454123454</c:v>
                </c:pt>
                <c:pt idx="41">
                  <c:v>251.51074644221208</c:v>
                </c:pt>
                <c:pt idx="42">
                  <c:v>256.91325678153379</c:v>
                </c:pt>
                <c:pt idx="43">
                  <c:v>261.37000033962528</c:v>
                </c:pt>
                <c:pt idx="44">
                  <c:v>257.82465587661136</c:v>
                </c:pt>
                <c:pt idx="45">
                  <c:v>256.42364608308009</c:v>
                </c:pt>
                <c:pt idx="46">
                  <c:v>260.46784313589808</c:v>
                </c:pt>
                <c:pt idx="47">
                  <c:v>266.31740125681233</c:v>
                </c:pt>
                <c:pt idx="48">
                  <c:v>272.96899074502426</c:v>
                </c:pt>
                <c:pt idx="49">
                  <c:v>269.42912195091924</c:v>
                </c:pt>
                <c:pt idx="50">
                  <c:v>273.96590776507793</c:v>
                </c:pt>
                <c:pt idx="51">
                  <c:v>280.6848236780495</c:v>
                </c:pt>
                <c:pt idx="52">
                  <c:v>265.6334227781702</c:v>
                </c:pt>
                <c:pt idx="53">
                  <c:v>265.28169066626708</c:v>
                </c:pt>
                <c:pt idx="54">
                  <c:v>264.38437129102834</c:v>
                </c:pt>
                <c:pt idx="55">
                  <c:v>262.02975913981163</c:v>
                </c:pt>
                <c:pt idx="56">
                  <c:v>259.40782034474967</c:v>
                </c:pt>
                <c:pt idx="57">
                  <c:v>252.17967578911876</c:v>
                </c:pt>
                <c:pt idx="58">
                  <c:v>250.59570983701784</c:v>
                </c:pt>
                <c:pt idx="59">
                  <c:v>255.05248419094079</c:v>
                </c:pt>
                <c:pt idx="60">
                  <c:v>243.11581283812902</c:v>
                </c:pt>
                <c:pt idx="61">
                  <c:v>248.09024597466529</c:v>
                </c:pt>
                <c:pt idx="62">
                  <c:v>254.01456752664964</c:v>
                </c:pt>
                <c:pt idx="63">
                  <c:v>256.31203671683539</c:v>
                </c:pt>
                <c:pt idx="64">
                  <c:v>258.15354944111618</c:v>
                </c:pt>
                <c:pt idx="65">
                  <c:v>249.28546258215817</c:v>
                </c:pt>
                <c:pt idx="66">
                  <c:v>256.17291266654934</c:v>
                </c:pt>
                <c:pt idx="67">
                  <c:v>256.1811456448367</c:v>
                </c:pt>
                <c:pt idx="68">
                  <c:v>263.23812770057282</c:v>
                </c:pt>
                <c:pt idx="69">
                  <c:v>272.03664229665253</c:v>
                </c:pt>
                <c:pt idx="70">
                  <c:v>272.5276394461319</c:v>
                </c:pt>
                <c:pt idx="71">
                  <c:v>261.46800813679079</c:v>
                </c:pt>
                <c:pt idx="72">
                  <c:v>265.33632599701036</c:v>
                </c:pt>
                <c:pt idx="73">
                  <c:v>267.53841323794967</c:v>
                </c:pt>
                <c:pt idx="74">
                  <c:v>262.40371076369024</c:v>
                </c:pt>
                <c:pt idx="75">
                  <c:v>264.16802230567401</c:v>
                </c:pt>
                <c:pt idx="76">
                  <c:v>268.96644005238687</c:v>
                </c:pt>
                <c:pt idx="77">
                  <c:v>272.78603247993078</c:v>
                </c:pt>
                <c:pt idx="78">
                  <c:v>276.59171845436447</c:v>
                </c:pt>
                <c:pt idx="79">
                  <c:v>288.05893773034961</c:v>
                </c:pt>
                <c:pt idx="80">
                  <c:v>285.27898522331941</c:v>
                </c:pt>
                <c:pt idx="81">
                  <c:v>273.18740237435276</c:v>
                </c:pt>
                <c:pt idx="82">
                  <c:v>264.6637005792665</c:v>
                </c:pt>
                <c:pt idx="83">
                  <c:v>265.39688715426689</c:v>
                </c:pt>
                <c:pt idx="84">
                  <c:v>259.18689444058776</c:v>
                </c:pt>
                <c:pt idx="85">
                  <c:v>257.69157147191288</c:v>
                </c:pt>
                <c:pt idx="86">
                  <c:v>258.27199835978581</c:v>
                </c:pt>
                <c:pt idx="87">
                  <c:v>250.44286025224687</c:v>
                </c:pt>
                <c:pt idx="88">
                  <c:v>249.80500270022918</c:v>
                </c:pt>
                <c:pt idx="89">
                  <c:v>253.25277960357457</c:v>
                </c:pt>
                <c:pt idx="90">
                  <c:v>257.12996427415578</c:v>
                </c:pt>
                <c:pt idx="91">
                  <c:v>257.0605127248765</c:v>
                </c:pt>
                <c:pt idx="92">
                  <c:v>253.29678049121642</c:v>
                </c:pt>
                <c:pt idx="93">
                  <c:v>253.16201909727243</c:v>
                </c:pt>
                <c:pt idx="94">
                  <c:v>262.38451298101791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CD41-094C-BCDC-8807F586F36B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frozen'!$E$32:$CU$32</c:f>
              <c:numCache>
                <c:formatCode>General</c:formatCode>
                <c:ptCount val="95"/>
                <c:pt idx="0">
                  <c:v>222.13</c:v>
                </c:pt>
                <c:pt idx="1">
                  <c:v>226.71632497808011</c:v>
                </c:pt>
                <c:pt idx="2">
                  <c:v>232.39655740463328</c:v>
                </c:pt>
                <c:pt idx="3">
                  <c:v>226.45217417770922</c:v>
                </c:pt>
                <c:pt idx="4">
                  <c:v>217.59027824732973</c:v>
                </c:pt>
                <c:pt idx="5">
                  <c:v>223.29511160472029</c:v>
                </c:pt>
                <c:pt idx="6">
                  <c:v>219.25028701400595</c:v>
                </c:pt>
                <c:pt idx="7">
                  <c:v>219.73459943334555</c:v>
                </c:pt>
                <c:pt idx="8">
                  <c:v>225.90465949841882</c:v>
                </c:pt>
                <c:pt idx="9">
                  <c:v>235.21129311495594</c:v>
                </c:pt>
                <c:pt idx="10">
                  <c:v>232.8732955840498</c:v>
                </c:pt>
                <c:pt idx="11">
                  <c:v>238.05752513619811</c:v>
                </c:pt>
                <c:pt idx="12">
                  <c:v>234.52404024576433</c:v>
                </c:pt>
                <c:pt idx="13">
                  <c:v>224.50968803879931</c:v>
                </c:pt>
                <c:pt idx="14">
                  <c:v>224.8199149022638</c:v>
                </c:pt>
                <c:pt idx="15">
                  <c:v>218.68629435511193</c:v>
                </c:pt>
                <c:pt idx="16">
                  <c:v>219.21563131701873</c:v>
                </c:pt>
                <c:pt idx="17">
                  <c:v>216.17551557939788</c:v>
                </c:pt>
                <c:pt idx="18">
                  <c:v>222.67258145718259</c:v>
                </c:pt>
                <c:pt idx="19">
                  <c:v>226.32065961449194</c:v>
                </c:pt>
                <c:pt idx="20">
                  <c:v>221.86542280667021</c:v>
                </c:pt>
                <c:pt idx="21">
                  <c:v>224.0101350617866</c:v>
                </c:pt>
                <c:pt idx="22">
                  <c:v>225.88291736467681</c:v>
                </c:pt>
                <c:pt idx="23">
                  <c:v>224.18195122484158</c:v>
                </c:pt>
                <c:pt idx="24">
                  <c:v>214.20579770770868</c:v>
                </c:pt>
                <c:pt idx="25">
                  <c:v>214.30952933542662</c:v>
                </c:pt>
                <c:pt idx="26">
                  <c:v>209.1583227731341</c:v>
                </c:pt>
                <c:pt idx="27">
                  <c:v>213.48387415711778</c:v>
                </c:pt>
                <c:pt idx="28">
                  <c:v>208.89331383303573</c:v>
                </c:pt>
                <c:pt idx="29">
                  <c:v>204.02060011601128</c:v>
                </c:pt>
                <c:pt idx="30">
                  <c:v>197.57616522090234</c:v>
                </c:pt>
                <c:pt idx="31">
                  <c:v>206.31958562051943</c:v>
                </c:pt>
                <c:pt idx="32">
                  <c:v>206.40359642224772</c:v>
                </c:pt>
                <c:pt idx="33">
                  <c:v>206.61941351767231</c:v>
                </c:pt>
                <c:pt idx="34">
                  <c:v>206.18699702005929</c:v>
                </c:pt>
                <c:pt idx="35">
                  <c:v>208.45170626394037</c:v>
                </c:pt>
                <c:pt idx="36">
                  <c:v>207.84688093030346</c:v>
                </c:pt>
                <c:pt idx="37">
                  <c:v>210.6492665439541</c:v>
                </c:pt>
                <c:pt idx="38">
                  <c:v>205.88312208192121</c:v>
                </c:pt>
                <c:pt idx="39">
                  <c:v>200.42592389406269</c:v>
                </c:pt>
                <c:pt idx="40">
                  <c:v>212.48243164904255</c:v>
                </c:pt>
                <c:pt idx="41">
                  <c:v>214.96817852259886</c:v>
                </c:pt>
                <c:pt idx="42">
                  <c:v>212.03516696837968</c:v>
                </c:pt>
                <c:pt idx="43">
                  <c:v>219.63129991458604</c:v>
                </c:pt>
                <c:pt idx="44">
                  <c:v>221.18939701608042</c:v>
                </c:pt>
                <c:pt idx="45">
                  <c:v>222.19933977215078</c:v>
                </c:pt>
                <c:pt idx="46">
                  <c:v>222.71184248532342</c:v>
                </c:pt>
                <c:pt idx="47">
                  <c:v>230.89694755785709</c:v>
                </c:pt>
                <c:pt idx="48">
                  <c:v>231.82953252937659</c:v>
                </c:pt>
                <c:pt idx="49">
                  <c:v>230.24378724683186</c:v>
                </c:pt>
                <c:pt idx="50">
                  <c:v>232.98022103802688</c:v>
                </c:pt>
                <c:pt idx="51">
                  <c:v>225.37693210963084</c:v>
                </c:pt>
                <c:pt idx="52">
                  <c:v>222.48235005326535</c:v>
                </c:pt>
                <c:pt idx="53">
                  <c:v>219.94808977974648</c:v>
                </c:pt>
                <c:pt idx="54">
                  <c:v>215.52544405087011</c:v>
                </c:pt>
                <c:pt idx="55">
                  <c:v>223.95947153038614</c:v>
                </c:pt>
                <c:pt idx="56">
                  <c:v>223.89403351030526</c:v>
                </c:pt>
                <c:pt idx="57">
                  <c:v>218.34952254295268</c:v>
                </c:pt>
                <c:pt idx="58">
                  <c:v>215.49051280962442</c:v>
                </c:pt>
                <c:pt idx="59">
                  <c:v>215.76458188531535</c:v>
                </c:pt>
                <c:pt idx="60">
                  <c:v>213.8282653446924</c:v>
                </c:pt>
                <c:pt idx="61">
                  <c:v>215.92364518700876</c:v>
                </c:pt>
                <c:pt idx="62">
                  <c:v>213.53990243633334</c:v>
                </c:pt>
                <c:pt idx="63">
                  <c:v>211.6600352031424</c:v>
                </c:pt>
                <c:pt idx="64">
                  <c:v>214.33970881734541</c:v>
                </c:pt>
                <c:pt idx="65">
                  <c:v>215.83572729932234</c:v>
                </c:pt>
                <c:pt idx="66">
                  <c:v>212.85076833248289</c:v>
                </c:pt>
                <c:pt idx="67">
                  <c:v>209.04065598813941</c:v>
                </c:pt>
                <c:pt idx="68">
                  <c:v>202.43897490264703</c:v>
                </c:pt>
                <c:pt idx="69">
                  <c:v>208.47777975721766</c:v>
                </c:pt>
                <c:pt idx="70">
                  <c:v>206.21000597584359</c:v>
                </c:pt>
                <c:pt idx="71">
                  <c:v>199.86342251772933</c:v>
                </c:pt>
                <c:pt idx="72">
                  <c:v>202.23238262788021</c:v>
                </c:pt>
                <c:pt idx="73">
                  <c:v>203.3380042859942</c:v>
                </c:pt>
                <c:pt idx="74">
                  <c:v>208.6492587187962</c:v>
                </c:pt>
                <c:pt idx="75">
                  <c:v>214.22701427992854</c:v>
                </c:pt>
                <c:pt idx="76">
                  <c:v>217.44735837889655</c:v>
                </c:pt>
                <c:pt idx="77">
                  <c:v>219.34782352971021</c:v>
                </c:pt>
                <c:pt idx="78">
                  <c:v>218.32846781155948</c:v>
                </c:pt>
                <c:pt idx="79">
                  <c:v>206.59529349415573</c:v>
                </c:pt>
                <c:pt idx="80">
                  <c:v>209.94502285803915</c:v>
                </c:pt>
                <c:pt idx="81">
                  <c:v>221.0533859557701</c:v>
                </c:pt>
                <c:pt idx="82">
                  <c:v>222.07914130990477</c:v>
                </c:pt>
                <c:pt idx="83">
                  <c:v>232.87334205378457</c:v>
                </c:pt>
                <c:pt idx="84">
                  <c:v>233.68318787141894</c:v>
                </c:pt>
                <c:pt idx="85">
                  <c:v>241.31185077153927</c:v>
                </c:pt>
                <c:pt idx="86">
                  <c:v>229.58705786673912</c:v>
                </c:pt>
                <c:pt idx="87">
                  <c:v>235.81183891170141</c:v>
                </c:pt>
                <c:pt idx="88">
                  <c:v>227.89032723797393</c:v>
                </c:pt>
                <c:pt idx="89">
                  <c:v>229.91789056257119</c:v>
                </c:pt>
                <c:pt idx="90">
                  <c:v>229.62172987976197</c:v>
                </c:pt>
                <c:pt idx="91">
                  <c:v>224.62836928948064</c:v>
                </c:pt>
                <c:pt idx="92">
                  <c:v>223.32890121013654</c:v>
                </c:pt>
                <c:pt idx="93">
                  <c:v>217.3251726285998</c:v>
                </c:pt>
                <c:pt idx="94">
                  <c:v>215.42379337595401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D41-094C-BCDC-8807F586F36B}"/>
            </c:ext>
          </c:extLst>
        </c:ser>
        <c:ser>
          <c:idx val="31"/>
          <c:order val="31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frozen'!$E$33:$CU$33</c:f>
              <c:numCache>
                <c:formatCode>General</c:formatCode>
                <c:ptCount val="95"/>
                <c:pt idx="0">
                  <c:v>222.13</c:v>
                </c:pt>
                <c:pt idx="1">
                  <c:v>226.29004346983115</c:v>
                </c:pt>
                <c:pt idx="2">
                  <c:v>214.93353473048776</c:v>
                </c:pt>
                <c:pt idx="3">
                  <c:v>206.70012473399561</c:v>
                </c:pt>
                <c:pt idx="4">
                  <c:v>214.66058746359118</c:v>
                </c:pt>
                <c:pt idx="5">
                  <c:v>221.71145389396375</c:v>
                </c:pt>
                <c:pt idx="6">
                  <c:v>220.16221867274427</c:v>
                </c:pt>
                <c:pt idx="7">
                  <c:v>224.4606053516691</c:v>
                </c:pt>
                <c:pt idx="8">
                  <c:v>224.28248692710233</c:v>
                </c:pt>
                <c:pt idx="9">
                  <c:v>238.27470460599761</c:v>
                </c:pt>
                <c:pt idx="10">
                  <c:v>238.50251108116572</c:v>
                </c:pt>
                <c:pt idx="11">
                  <c:v>232.18754284548561</c:v>
                </c:pt>
                <c:pt idx="12">
                  <c:v>234.99947026699198</c:v>
                </c:pt>
                <c:pt idx="13">
                  <c:v>234.09000088319377</c:v>
                </c:pt>
                <c:pt idx="14">
                  <c:v>234.73901425092635</c:v>
                </c:pt>
                <c:pt idx="15">
                  <c:v>230.28500038656429</c:v>
                </c:pt>
                <c:pt idx="16">
                  <c:v>232.88115644032254</c:v>
                </c:pt>
                <c:pt idx="17">
                  <c:v>240.24632698675342</c:v>
                </c:pt>
                <c:pt idx="18">
                  <c:v>235.73740255291094</c:v>
                </c:pt>
                <c:pt idx="19">
                  <c:v>233.88927705479216</c:v>
                </c:pt>
                <c:pt idx="20">
                  <c:v>234.32093717824216</c:v>
                </c:pt>
                <c:pt idx="21">
                  <c:v>225.60282782439236</c:v>
                </c:pt>
                <c:pt idx="22">
                  <c:v>217.58455141117048</c:v>
                </c:pt>
                <c:pt idx="23">
                  <c:v>222.50202286787186</c:v>
                </c:pt>
                <c:pt idx="24">
                  <c:v>223.8760695061867</c:v>
                </c:pt>
                <c:pt idx="25">
                  <c:v>219.73803086567696</c:v>
                </c:pt>
                <c:pt idx="26">
                  <c:v>220.40515818974646</c:v>
                </c:pt>
                <c:pt idx="27">
                  <c:v>214.15291491742354</c:v>
                </c:pt>
                <c:pt idx="28">
                  <c:v>212.44148006763459</c:v>
                </c:pt>
                <c:pt idx="29">
                  <c:v>204.93481890377657</c:v>
                </c:pt>
                <c:pt idx="30">
                  <c:v>206.06567669761719</c:v>
                </c:pt>
                <c:pt idx="31">
                  <c:v>196.50035014784325</c:v>
                </c:pt>
                <c:pt idx="32">
                  <c:v>196.03215272214993</c:v>
                </c:pt>
                <c:pt idx="33">
                  <c:v>188.33533615969705</c:v>
                </c:pt>
                <c:pt idx="34">
                  <c:v>193.04125361610602</c:v>
                </c:pt>
                <c:pt idx="35">
                  <c:v>190.76935156697022</c:v>
                </c:pt>
                <c:pt idx="36">
                  <c:v>198.31657209093314</c:v>
                </c:pt>
                <c:pt idx="37">
                  <c:v>196.73262577130563</c:v>
                </c:pt>
                <c:pt idx="38">
                  <c:v>193.55230878971366</c:v>
                </c:pt>
                <c:pt idx="39">
                  <c:v>196.86973428054603</c:v>
                </c:pt>
                <c:pt idx="40">
                  <c:v>199.82274649444651</c:v>
                </c:pt>
                <c:pt idx="41">
                  <c:v>196.86271120227153</c:v>
                </c:pt>
                <c:pt idx="42">
                  <c:v>196.94802886674071</c:v>
                </c:pt>
                <c:pt idx="43">
                  <c:v>195.39397343149142</c:v>
                </c:pt>
                <c:pt idx="44">
                  <c:v>184.65647314436555</c:v>
                </c:pt>
                <c:pt idx="45">
                  <c:v>184.55150586442389</c:v>
                </c:pt>
                <c:pt idx="46">
                  <c:v>176.69522258936399</c:v>
                </c:pt>
                <c:pt idx="47">
                  <c:v>176.45269574780136</c:v>
                </c:pt>
                <c:pt idx="48">
                  <c:v>181.20338359716789</c:v>
                </c:pt>
                <c:pt idx="49">
                  <c:v>179.19576869537832</c:v>
                </c:pt>
                <c:pt idx="50">
                  <c:v>183.53252145975392</c:v>
                </c:pt>
                <c:pt idx="51">
                  <c:v>191.09931277187576</c:v>
                </c:pt>
                <c:pt idx="52">
                  <c:v>189.11272690364561</c:v>
                </c:pt>
                <c:pt idx="53">
                  <c:v>196.69768952497111</c:v>
                </c:pt>
                <c:pt idx="54">
                  <c:v>203.04027402250139</c:v>
                </c:pt>
                <c:pt idx="55">
                  <c:v>203.28751409042786</c:v>
                </c:pt>
                <c:pt idx="56">
                  <c:v>207.30526393114852</c:v>
                </c:pt>
                <c:pt idx="57">
                  <c:v>207.17804918010148</c:v>
                </c:pt>
                <c:pt idx="58">
                  <c:v>213.55762268214221</c:v>
                </c:pt>
                <c:pt idx="59">
                  <c:v>210.17271632256305</c:v>
                </c:pt>
                <c:pt idx="60">
                  <c:v>208.86021309478664</c:v>
                </c:pt>
                <c:pt idx="61">
                  <c:v>207.42560904094356</c:v>
                </c:pt>
                <c:pt idx="62">
                  <c:v>213.84123342522273</c:v>
                </c:pt>
                <c:pt idx="63">
                  <c:v>214.45353852289452</c:v>
                </c:pt>
                <c:pt idx="64">
                  <c:v>216.24264063179177</c:v>
                </c:pt>
                <c:pt idx="65">
                  <c:v>219.44597879429853</c:v>
                </c:pt>
                <c:pt idx="66">
                  <c:v>216.41528720376698</c:v>
                </c:pt>
                <c:pt idx="67">
                  <c:v>213.55886707379543</c:v>
                </c:pt>
                <c:pt idx="68">
                  <c:v>210.12642856083335</c:v>
                </c:pt>
                <c:pt idx="69">
                  <c:v>213.36758394609021</c:v>
                </c:pt>
                <c:pt idx="70">
                  <c:v>222.59176025406992</c:v>
                </c:pt>
                <c:pt idx="71">
                  <c:v>221.091454842866</c:v>
                </c:pt>
                <c:pt idx="72">
                  <c:v>219.71088972131062</c:v>
                </c:pt>
                <c:pt idx="73">
                  <c:v>212.21870695163642</c:v>
                </c:pt>
                <c:pt idx="74">
                  <c:v>203.65474581336727</c:v>
                </c:pt>
                <c:pt idx="75">
                  <c:v>210.79541270009733</c:v>
                </c:pt>
                <c:pt idx="76">
                  <c:v>202.94436789918956</c:v>
                </c:pt>
                <c:pt idx="77">
                  <c:v>201.02591879136406</c:v>
                </c:pt>
                <c:pt idx="78">
                  <c:v>196.25075482866799</c:v>
                </c:pt>
                <c:pt idx="79">
                  <c:v>202.76534475492446</c:v>
                </c:pt>
                <c:pt idx="80">
                  <c:v>200.98883885333706</c:v>
                </c:pt>
                <c:pt idx="81">
                  <c:v>192.32648455026535</c:v>
                </c:pt>
                <c:pt idx="82">
                  <c:v>184.07796323254496</c:v>
                </c:pt>
                <c:pt idx="83">
                  <c:v>184.44562152436325</c:v>
                </c:pt>
                <c:pt idx="84">
                  <c:v>187.65714557856609</c:v>
                </c:pt>
                <c:pt idx="85">
                  <c:v>191.34312999183075</c:v>
                </c:pt>
                <c:pt idx="86">
                  <c:v>190.24159031532517</c:v>
                </c:pt>
                <c:pt idx="87">
                  <c:v>198.0504423431037</c:v>
                </c:pt>
                <c:pt idx="88">
                  <c:v>203.34275705277321</c:v>
                </c:pt>
                <c:pt idx="89">
                  <c:v>207.10154587284671</c:v>
                </c:pt>
                <c:pt idx="90">
                  <c:v>215.20426830033989</c:v>
                </c:pt>
                <c:pt idx="91">
                  <c:v>213.20346979209089</c:v>
                </c:pt>
                <c:pt idx="92">
                  <c:v>212.21643403389464</c:v>
                </c:pt>
                <c:pt idx="93">
                  <c:v>216.11734626769908</c:v>
                </c:pt>
                <c:pt idx="94">
                  <c:v>218.25613072250329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CD41-094C-BCDC-8807F586F36B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frozen'!$E$34:$CU$34</c:f>
              <c:numCache>
                <c:formatCode>General</c:formatCode>
                <c:ptCount val="95"/>
                <c:pt idx="0">
                  <c:v>222.13</c:v>
                </c:pt>
                <c:pt idx="1">
                  <c:v>224.56389734825248</c:v>
                </c:pt>
                <c:pt idx="2">
                  <c:v>220.4004418979749</c:v>
                </c:pt>
                <c:pt idx="3">
                  <c:v>220.03297618706344</c:v>
                </c:pt>
                <c:pt idx="4">
                  <c:v>219.02151426389241</c:v>
                </c:pt>
                <c:pt idx="5">
                  <c:v>220.82949737664575</c:v>
                </c:pt>
                <c:pt idx="6">
                  <c:v>209.12950513137949</c:v>
                </c:pt>
                <c:pt idx="7">
                  <c:v>209.39563892570698</c:v>
                </c:pt>
                <c:pt idx="8">
                  <c:v>213.30377702919932</c:v>
                </c:pt>
                <c:pt idx="9">
                  <c:v>216.38161945859383</c:v>
                </c:pt>
                <c:pt idx="10">
                  <c:v>217.39992571763659</c:v>
                </c:pt>
                <c:pt idx="11">
                  <c:v>218.3551221845938</c:v>
                </c:pt>
                <c:pt idx="12">
                  <c:v>217.19906907946071</c:v>
                </c:pt>
                <c:pt idx="13">
                  <c:v>225.05934555157617</c:v>
                </c:pt>
                <c:pt idx="14">
                  <c:v>220.84782310626395</c:v>
                </c:pt>
                <c:pt idx="15">
                  <c:v>217.01340029987614</c:v>
                </c:pt>
                <c:pt idx="16">
                  <c:v>216.42762730930099</c:v>
                </c:pt>
                <c:pt idx="17">
                  <c:v>216.36183782358</c:v>
                </c:pt>
                <c:pt idx="18">
                  <c:v>229.98161004152178</c:v>
                </c:pt>
                <c:pt idx="19">
                  <c:v>233.82991546653179</c:v>
                </c:pt>
                <c:pt idx="20">
                  <c:v>231.19435886311976</c:v>
                </c:pt>
                <c:pt idx="21">
                  <c:v>222.95551855719191</c:v>
                </c:pt>
                <c:pt idx="22">
                  <c:v>223.74899443931983</c:v>
                </c:pt>
                <c:pt idx="23">
                  <c:v>220.09569731558048</c:v>
                </c:pt>
                <c:pt idx="24">
                  <c:v>229.77818443992848</c:v>
                </c:pt>
                <c:pt idx="25">
                  <c:v>236.3551079999493</c:v>
                </c:pt>
                <c:pt idx="26">
                  <c:v>232.71911271349273</c:v>
                </c:pt>
                <c:pt idx="27">
                  <c:v>225.11968868848842</c:v>
                </c:pt>
                <c:pt idx="28">
                  <c:v>226.71559026926877</c:v>
                </c:pt>
                <c:pt idx="29">
                  <c:v>227.38564788695433</c:v>
                </c:pt>
                <c:pt idx="30">
                  <c:v>227.988395997163</c:v>
                </c:pt>
                <c:pt idx="31">
                  <c:v>230.03031227049235</c:v>
                </c:pt>
                <c:pt idx="32">
                  <c:v>233.17127751433046</c:v>
                </c:pt>
                <c:pt idx="33">
                  <c:v>228.00449096266362</c:v>
                </c:pt>
                <c:pt idx="34">
                  <c:v>229.01276306069335</c:v>
                </c:pt>
                <c:pt idx="35">
                  <c:v>228.32282267142097</c:v>
                </c:pt>
                <c:pt idx="36">
                  <c:v>235.26134375918454</c:v>
                </c:pt>
                <c:pt idx="37">
                  <c:v>232.72486628328136</c:v>
                </c:pt>
                <c:pt idx="38">
                  <c:v>231.87086097214734</c:v>
                </c:pt>
                <c:pt idx="39">
                  <c:v>230.52860798998796</c:v>
                </c:pt>
                <c:pt idx="40">
                  <c:v>236.73612384061582</c:v>
                </c:pt>
                <c:pt idx="41">
                  <c:v>228.85125556696826</c:v>
                </c:pt>
                <c:pt idx="42">
                  <c:v>229.55220381018432</c:v>
                </c:pt>
                <c:pt idx="43">
                  <c:v>229.94979274704161</c:v>
                </c:pt>
                <c:pt idx="44">
                  <c:v>223.48719199369799</c:v>
                </c:pt>
                <c:pt idx="45">
                  <c:v>226.45504172861553</c:v>
                </c:pt>
                <c:pt idx="46">
                  <c:v>223.50242052087631</c:v>
                </c:pt>
                <c:pt idx="47">
                  <c:v>218.7283182922553</c:v>
                </c:pt>
                <c:pt idx="48">
                  <c:v>214.717562298216</c:v>
                </c:pt>
                <c:pt idx="49">
                  <c:v>215.38920588216587</c:v>
                </c:pt>
                <c:pt idx="50">
                  <c:v>215.60652724078494</c:v>
                </c:pt>
                <c:pt idx="51">
                  <c:v>208.36086631588213</c:v>
                </c:pt>
                <c:pt idx="52">
                  <c:v>217.3327458508011</c:v>
                </c:pt>
                <c:pt idx="53">
                  <c:v>209.38810349169623</c:v>
                </c:pt>
                <c:pt idx="54">
                  <c:v>217.01729140549895</c:v>
                </c:pt>
                <c:pt idx="55">
                  <c:v>219.25252546725048</c:v>
                </c:pt>
                <c:pt idx="56">
                  <c:v>220.83223751537966</c:v>
                </c:pt>
                <c:pt idx="57">
                  <c:v>231.94658162600282</c:v>
                </c:pt>
                <c:pt idx="58">
                  <c:v>236.3152642935359</c:v>
                </c:pt>
                <c:pt idx="59">
                  <c:v>231.97837050749987</c:v>
                </c:pt>
                <c:pt idx="60">
                  <c:v>238.2171772990267</c:v>
                </c:pt>
                <c:pt idx="61">
                  <c:v>236.54781459018619</c:v>
                </c:pt>
                <c:pt idx="62">
                  <c:v>239.61653431463043</c:v>
                </c:pt>
                <c:pt idx="63">
                  <c:v>240.31526399187942</c:v>
                </c:pt>
                <c:pt idx="64">
                  <c:v>234.30752564593772</c:v>
                </c:pt>
                <c:pt idx="65">
                  <c:v>229.75483218622</c:v>
                </c:pt>
                <c:pt idx="66">
                  <c:v>230.79367274960612</c:v>
                </c:pt>
                <c:pt idx="67">
                  <c:v>225.72094626971244</c:v>
                </c:pt>
                <c:pt idx="68">
                  <c:v>223.90979979709616</c:v>
                </c:pt>
                <c:pt idx="69">
                  <c:v>224.87945276126527</c:v>
                </c:pt>
                <c:pt idx="70">
                  <c:v>221.57534416328687</c:v>
                </c:pt>
                <c:pt idx="71">
                  <c:v>223.78285183433141</c:v>
                </c:pt>
                <c:pt idx="72">
                  <c:v>223.18413216711158</c:v>
                </c:pt>
                <c:pt idx="73">
                  <c:v>223.49075122184479</c:v>
                </c:pt>
                <c:pt idx="74">
                  <c:v>223.88705041658744</c:v>
                </c:pt>
                <c:pt idx="75">
                  <c:v>227.90598484662675</c:v>
                </c:pt>
                <c:pt idx="76">
                  <c:v>227.22530667279864</c:v>
                </c:pt>
                <c:pt idx="77">
                  <c:v>221.11896207674232</c:v>
                </c:pt>
                <c:pt idx="78">
                  <c:v>209.68515484864858</c:v>
                </c:pt>
                <c:pt idx="79">
                  <c:v>208.0270462167046</c:v>
                </c:pt>
                <c:pt idx="80">
                  <c:v>222.11369604608888</c:v>
                </c:pt>
                <c:pt idx="81">
                  <c:v>229.55204538145153</c:v>
                </c:pt>
                <c:pt idx="82">
                  <c:v>224.60251927876863</c:v>
                </c:pt>
                <c:pt idx="83">
                  <c:v>230.43135481981344</c:v>
                </c:pt>
                <c:pt idx="84">
                  <c:v>231.88818800346837</c:v>
                </c:pt>
                <c:pt idx="85">
                  <c:v>231.89365982907955</c:v>
                </c:pt>
                <c:pt idx="86">
                  <c:v>234.0122920632071</c:v>
                </c:pt>
                <c:pt idx="87">
                  <c:v>231.19585059826491</c:v>
                </c:pt>
                <c:pt idx="88">
                  <c:v>230.37131401609381</c:v>
                </c:pt>
                <c:pt idx="89">
                  <c:v>233.20389940292137</c:v>
                </c:pt>
                <c:pt idx="90">
                  <c:v>247.08821572513671</c:v>
                </c:pt>
                <c:pt idx="91">
                  <c:v>243.1898577293824</c:v>
                </c:pt>
                <c:pt idx="92">
                  <c:v>238.04220390661732</c:v>
                </c:pt>
                <c:pt idx="93">
                  <c:v>240.06663957500669</c:v>
                </c:pt>
                <c:pt idx="94">
                  <c:v>246.07823501351368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D41-094C-BCDC-8807F586F36B}"/>
            </c:ext>
          </c:extLst>
        </c:ser>
        <c:ser>
          <c:idx val="33"/>
          <c:order val="33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frozen'!$E$35:$CU$35</c:f>
              <c:numCache>
                <c:formatCode>General</c:formatCode>
                <c:ptCount val="95"/>
                <c:pt idx="0">
                  <c:v>222.13</c:v>
                </c:pt>
                <c:pt idx="1">
                  <c:v>215.68867373195616</c:v>
                </c:pt>
                <c:pt idx="2">
                  <c:v>216.57868602039392</c:v>
                </c:pt>
                <c:pt idx="3">
                  <c:v>220.59928969101253</c:v>
                </c:pt>
                <c:pt idx="4">
                  <c:v>223.99323375970405</c:v>
                </c:pt>
                <c:pt idx="5">
                  <c:v>238.63415803422242</c:v>
                </c:pt>
                <c:pt idx="6">
                  <c:v>246.66693238091128</c:v>
                </c:pt>
                <c:pt idx="7">
                  <c:v>246.80602331960944</c:v>
                </c:pt>
                <c:pt idx="8">
                  <c:v>243.63819628627158</c:v>
                </c:pt>
                <c:pt idx="9">
                  <c:v>247.19217538347144</c:v>
                </c:pt>
                <c:pt idx="10">
                  <c:v>236.4090203858967</c:v>
                </c:pt>
                <c:pt idx="11">
                  <c:v>240.58036093412935</c:v>
                </c:pt>
                <c:pt idx="12">
                  <c:v>241.48430474811713</c:v>
                </c:pt>
                <c:pt idx="13">
                  <c:v>241.08161639712716</c:v>
                </c:pt>
                <c:pt idx="14">
                  <c:v>243.08643277875035</c:v>
                </c:pt>
                <c:pt idx="15">
                  <c:v>243.34253287964748</c:v>
                </c:pt>
                <c:pt idx="16">
                  <c:v>242.50718466424127</c:v>
                </c:pt>
                <c:pt idx="17">
                  <c:v>239.2733254415196</c:v>
                </c:pt>
                <c:pt idx="18">
                  <c:v>233.6509571377189</c:v>
                </c:pt>
                <c:pt idx="19">
                  <c:v>226.471234230043</c:v>
                </c:pt>
                <c:pt idx="20">
                  <c:v>228.54706495938589</c:v>
                </c:pt>
                <c:pt idx="21">
                  <c:v>226.2817442818417</c:v>
                </c:pt>
                <c:pt idx="22">
                  <c:v>222.86903708291274</c:v>
                </c:pt>
                <c:pt idx="23">
                  <c:v>223.81639829060603</c:v>
                </c:pt>
                <c:pt idx="24">
                  <c:v>226.0202795055973</c:v>
                </c:pt>
                <c:pt idx="25">
                  <c:v>231.66029156259643</c:v>
                </c:pt>
                <c:pt idx="26">
                  <c:v>226.97752209051126</c:v>
                </c:pt>
                <c:pt idx="27">
                  <c:v>233.49541798720244</c:v>
                </c:pt>
                <c:pt idx="28">
                  <c:v>230.55353757067493</c:v>
                </c:pt>
                <c:pt idx="29">
                  <c:v>226.89456763545098</c:v>
                </c:pt>
                <c:pt idx="30">
                  <c:v>226.61266210091793</c:v>
                </c:pt>
                <c:pt idx="31">
                  <c:v>223.96752172706232</c:v>
                </c:pt>
                <c:pt idx="32">
                  <c:v>227.05961701796761</c:v>
                </c:pt>
                <c:pt idx="33">
                  <c:v>223.67619534784413</c:v>
                </c:pt>
                <c:pt idx="34">
                  <c:v>226.26326396097471</c:v>
                </c:pt>
                <c:pt idx="35">
                  <c:v>228.17515397843775</c:v>
                </c:pt>
                <c:pt idx="36">
                  <c:v>230.5820962089295</c:v>
                </c:pt>
                <c:pt idx="37">
                  <c:v>229.86434968153614</c:v>
                </c:pt>
                <c:pt idx="38">
                  <c:v>234.17411918095192</c:v>
                </c:pt>
                <c:pt idx="39">
                  <c:v>226.77962973814573</c:v>
                </c:pt>
                <c:pt idx="40">
                  <c:v>232.97380884852919</c:v>
                </c:pt>
                <c:pt idx="41">
                  <c:v>228.865806577716</c:v>
                </c:pt>
                <c:pt idx="42">
                  <c:v>223.24647531192656</c:v>
                </c:pt>
                <c:pt idx="43">
                  <c:v>230.65316219293723</c:v>
                </c:pt>
                <c:pt idx="44">
                  <c:v>226.62762283452892</c:v>
                </c:pt>
                <c:pt idx="45">
                  <c:v>228.99133640536562</c:v>
                </c:pt>
                <c:pt idx="46">
                  <c:v>229.86001323322739</c:v>
                </c:pt>
                <c:pt idx="47">
                  <c:v>227.93562032988615</c:v>
                </c:pt>
                <c:pt idx="48">
                  <c:v>229.19455640769277</c:v>
                </c:pt>
                <c:pt idx="49">
                  <c:v>237.37528369659898</c:v>
                </c:pt>
                <c:pt idx="50">
                  <c:v>235.60517257210779</c:v>
                </c:pt>
                <c:pt idx="51">
                  <c:v>227.28624022477055</c:v>
                </c:pt>
                <c:pt idx="52">
                  <c:v>229.44346086431912</c:v>
                </c:pt>
                <c:pt idx="53">
                  <c:v>227.29439808934589</c:v>
                </c:pt>
                <c:pt idx="54">
                  <c:v>229.26935431643719</c:v>
                </c:pt>
                <c:pt idx="55">
                  <c:v>229.556686948117</c:v>
                </c:pt>
                <c:pt idx="56">
                  <c:v>228.99562277363</c:v>
                </c:pt>
                <c:pt idx="57">
                  <c:v>219.30271923415577</c:v>
                </c:pt>
                <c:pt idx="58">
                  <c:v>214.25138554289688</c:v>
                </c:pt>
                <c:pt idx="59">
                  <c:v>208.40045044614135</c:v>
                </c:pt>
                <c:pt idx="60">
                  <c:v>203.52560796389466</c:v>
                </c:pt>
                <c:pt idx="61">
                  <c:v>206.44248988652515</c:v>
                </c:pt>
                <c:pt idx="62">
                  <c:v>212.51043059132607</c:v>
                </c:pt>
                <c:pt idx="63">
                  <c:v>213.98671046926171</c:v>
                </c:pt>
                <c:pt idx="64">
                  <c:v>217.59203286203274</c:v>
                </c:pt>
                <c:pt idx="65">
                  <c:v>215.32469515396357</c:v>
                </c:pt>
                <c:pt idx="66">
                  <c:v>222.92447163413141</c:v>
                </c:pt>
                <c:pt idx="67">
                  <c:v>223.22080344971897</c:v>
                </c:pt>
                <c:pt idx="68">
                  <c:v>224.55197492895786</c:v>
                </c:pt>
                <c:pt idx="69">
                  <c:v>223.4539579082861</c:v>
                </c:pt>
                <c:pt idx="70">
                  <c:v>218.08878594546448</c:v>
                </c:pt>
                <c:pt idx="71">
                  <c:v>216.22050416498234</c:v>
                </c:pt>
                <c:pt idx="72">
                  <c:v>212.91212682850858</c:v>
                </c:pt>
                <c:pt idx="73">
                  <c:v>220.18982142390445</c:v>
                </c:pt>
                <c:pt idx="74">
                  <c:v>214.24946922330579</c:v>
                </c:pt>
                <c:pt idx="75">
                  <c:v>206.52872225636361</c:v>
                </c:pt>
                <c:pt idx="76">
                  <c:v>213.10840539996698</c:v>
                </c:pt>
                <c:pt idx="77">
                  <c:v>215.71518319796712</c:v>
                </c:pt>
                <c:pt idx="78">
                  <c:v>214.74866227755953</c:v>
                </c:pt>
                <c:pt idx="79">
                  <c:v>214.49576290481707</c:v>
                </c:pt>
                <c:pt idx="80">
                  <c:v>218.6251401872498</c:v>
                </c:pt>
                <c:pt idx="81">
                  <c:v>207.05404696273544</c:v>
                </c:pt>
                <c:pt idx="82">
                  <c:v>213.20485962618449</c:v>
                </c:pt>
                <c:pt idx="83">
                  <c:v>208.03534353362349</c:v>
                </c:pt>
                <c:pt idx="84">
                  <c:v>203.14263668963198</c:v>
                </c:pt>
                <c:pt idx="85">
                  <c:v>194.58888362997484</c:v>
                </c:pt>
                <c:pt idx="86">
                  <c:v>193.55714539542501</c:v>
                </c:pt>
                <c:pt idx="87">
                  <c:v>189.94717168692273</c:v>
                </c:pt>
                <c:pt idx="88">
                  <c:v>184.38262090370299</c:v>
                </c:pt>
                <c:pt idx="89">
                  <c:v>181.75571653845805</c:v>
                </c:pt>
                <c:pt idx="90">
                  <c:v>187.79776218641933</c:v>
                </c:pt>
                <c:pt idx="91">
                  <c:v>188.37314045595264</c:v>
                </c:pt>
                <c:pt idx="92">
                  <c:v>190.36280456157257</c:v>
                </c:pt>
                <c:pt idx="93">
                  <c:v>199.27131295885741</c:v>
                </c:pt>
                <c:pt idx="94">
                  <c:v>198.36740199700088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CD41-094C-BCDC-8807F586F36B}"/>
            </c:ext>
          </c:extLst>
        </c:ser>
        <c:ser>
          <c:idx val="34"/>
          <c:order val="34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frozen'!$E$36:$CU$36</c:f>
              <c:numCache>
                <c:formatCode>General</c:formatCode>
                <c:ptCount val="95"/>
                <c:pt idx="0">
                  <c:v>222.13</c:v>
                </c:pt>
                <c:pt idx="1">
                  <c:v>220.97331472427229</c:v>
                </c:pt>
                <c:pt idx="2">
                  <c:v>208.6707329213142</c:v>
                </c:pt>
                <c:pt idx="3">
                  <c:v>206.51526328918757</c:v>
                </c:pt>
                <c:pt idx="4">
                  <c:v>204.31025074144125</c:v>
                </c:pt>
                <c:pt idx="5">
                  <c:v>204.5406503101388</c:v>
                </c:pt>
                <c:pt idx="6">
                  <c:v>207.81277561671396</c:v>
                </c:pt>
                <c:pt idx="7">
                  <c:v>204.69653830463727</c:v>
                </c:pt>
                <c:pt idx="8">
                  <c:v>211.56768478318088</c:v>
                </c:pt>
                <c:pt idx="9">
                  <c:v>208.96997062292763</c:v>
                </c:pt>
                <c:pt idx="10">
                  <c:v>212.34311180339037</c:v>
                </c:pt>
                <c:pt idx="11">
                  <c:v>207.79596575408107</c:v>
                </c:pt>
                <c:pt idx="12">
                  <c:v>215.58126208894666</c:v>
                </c:pt>
                <c:pt idx="13">
                  <c:v>220.28846152896327</c:v>
                </c:pt>
                <c:pt idx="14">
                  <c:v>211.5885476811296</c:v>
                </c:pt>
                <c:pt idx="15">
                  <c:v>220.07948557372549</c:v>
                </c:pt>
                <c:pt idx="16">
                  <c:v>216.81151731679967</c:v>
                </c:pt>
                <c:pt idx="17">
                  <c:v>218.59073373890362</c:v>
                </c:pt>
                <c:pt idx="18">
                  <c:v>222.45425143065282</c:v>
                </c:pt>
                <c:pt idx="19">
                  <c:v>222.91906847531368</c:v>
                </c:pt>
                <c:pt idx="20">
                  <c:v>218.19030862334856</c:v>
                </c:pt>
                <c:pt idx="21">
                  <c:v>217.44699443692218</c:v>
                </c:pt>
                <c:pt idx="22">
                  <c:v>218.51610304841876</c:v>
                </c:pt>
                <c:pt idx="23">
                  <c:v>216.45124009660003</c:v>
                </c:pt>
                <c:pt idx="24">
                  <c:v>205.06248855385124</c:v>
                </c:pt>
                <c:pt idx="25">
                  <c:v>208.98805398226017</c:v>
                </c:pt>
                <c:pt idx="26">
                  <c:v>212.99421538540659</c:v>
                </c:pt>
                <c:pt idx="27">
                  <c:v>217.71451898326154</c:v>
                </c:pt>
                <c:pt idx="28">
                  <c:v>221.58000177608045</c:v>
                </c:pt>
                <c:pt idx="29">
                  <c:v>228.57890381625751</c:v>
                </c:pt>
                <c:pt idx="30">
                  <c:v>216.81242339953005</c:v>
                </c:pt>
                <c:pt idx="31">
                  <c:v>223.05533767954438</c:v>
                </c:pt>
                <c:pt idx="32">
                  <c:v>225.19238330615104</c:v>
                </c:pt>
                <c:pt idx="33">
                  <c:v>227.25107753065157</c:v>
                </c:pt>
                <c:pt idx="34">
                  <c:v>219.36897683363094</c:v>
                </c:pt>
                <c:pt idx="35">
                  <c:v>215.30220578577087</c:v>
                </c:pt>
                <c:pt idx="36">
                  <c:v>218.43421106278859</c:v>
                </c:pt>
                <c:pt idx="37">
                  <c:v>223.35813379333732</c:v>
                </c:pt>
                <c:pt idx="38">
                  <c:v>224.10934526601201</c:v>
                </c:pt>
                <c:pt idx="39">
                  <c:v>216.45392568360162</c:v>
                </c:pt>
                <c:pt idx="40">
                  <c:v>219.9922080453712</c:v>
                </c:pt>
                <c:pt idx="41">
                  <c:v>225.99522717448468</c:v>
                </c:pt>
                <c:pt idx="42">
                  <c:v>220.75087910688731</c:v>
                </c:pt>
                <c:pt idx="43">
                  <c:v>230.1781050482945</c:v>
                </c:pt>
                <c:pt idx="44">
                  <c:v>236.45646464003525</c:v>
                </c:pt>
                <c:pt idx="45">
                  <c:v>232.45747470159472</c:v>
                </c:pt>
                <c:pt idx="46">
                  <c:v>229.37572145012726</c:v>
                </c:pt>
                <c:pt idx="47">
                  <c:v>231.60154542951054</c:v>
                </c:pt>
                <c:pt idx="48">
                  <c:v>231.32289977562058</c:v>
                </c:pt>
                <c:pt idx="49">
                  <c:v>238.8555342712535</c:v>
                </c:pt>
                <c:pt idx="50">
                  <c:v>235.98591299341973</c:v>
                </c:pt>
                <c:pt idx="51">
                  <c:v>226.75508714809345</c:v>
                </c:pt>
                <c:pt idx="52">
                  <c:v>220.51382244245059</c:v>
                </c:pt>
                <c:pt idx="53">
                  <c:v>222.73234044136765</c:v>
                </c:pt>
                <c:pt idx="54">
                  <c:v>226.23024801919382</c:v>
                </c:pt>
                <c:pt idx="55">
                  <c:v>236.85773894397946</c:v>
                </c:pt>
                <c:pt idx="56">
                  <c:v>234.38579747422989</c:v>
                </c:pt>
                <c:pt idx="57">
                  <c:v>247.04807697829261</c:v>
                </c:pt>
                <c:pt idx="58">
                  <c:v>248.25000786398525</c:v>
                </c:pt>
                <c:pt idx="59">
                  <c:v>247.72028529979477</c:v>
                </c:pt>
                <c:pt idx="60">
                  <c:v>247.1259419693188</c:v>
                </c:pt>
                <c:pt idx="61">
                  <c:v>252.2891873081677</c:v>
                </c:pt>
                <c:pt idx="62">
                  <c:v>250.88438620067996</c:v>
                </c:pt>
                <c:pt idx="63">
                  <c:v>243.87803291268366</c:v>
                </c:pt>
                <c:pt idx="64">
                  <c:v>252.01298585084629</c:v>
                </c:pt>
                <c:pt idx="65">
                  <c:v>257.96824740314514</c:v>
                </c:pt>
                <c:pt idx="66">
                  <c:v>259.03538748918305</c:v>
                </c:pt>
                <c:pt idx="67">
                  <c:v>251.86229589436294</c:v>
                </c:pt>
                <c:pt idx="68">
                  <c:v>254.8756824596108</c:v>
                </c:pt>
                <c:pt idx="69">
                  <c:v>254.06794203107833</c:v>
                </c:pt>
                <c:pt idx="70">
                  <c:v>262.11875292613973</c:v>
                </c:pt>
                <c:pt idx="71">
                  <c:v>264.85585457331518</c:v>
                </c:pt>
                <c:pt idx="72">
                  <c:v>252.6758380808138</c:v>
                </c:pt>
                <c:pt idx="73">
                  <c:v>258.60628887359627</c:v>
                </c:pt>
                <c:pt idx="74">
                  <c:v>251.59149199986257</c:v>
                </c:pt>
                <c:pt idx="75">
                  <c:v>253.25802890699583</c:v>
                </c:pt>
                <c:pt idx="76">
                  <c:v>247.39714603003009</c:v>
                </c:pt>
                <c:pt idx="77">
                  <c:v>236.68209830166793</c:v>
                </c:pt>
                <c:pt idx="78">
                  <c:v>228.51983569643826</c:v>
                </c:pt>
                <c:pt idx="79">
                  <c:v>231.11863873958836</c:v>
                </c:pt>
                <c:pt idx="80">
                  <c:v>236.15925600882093</c:v>
                </c:pt>
                <c:pt idx="81">
                  <c:v>235.71589852149705</c:v>
                </c:pt>
                <c:pt idx="82">
                  <c:v>242.61335072533953</c:v>
                </c:pt>
                <c:pt idx="83">
                  <c:v>243.4889306310632</c:v>
                </c:pt>
                <c:pt idx="84">
                  <c:v>246.34408352738444</c:v>
                </c:pt>
                <c:pt idx="85">
                  <c:v>254.90989457026987</c:v>
                </c:pt>
                <c:pt idx="86">
                  <c:v>250.30208809555731</c:v>
                </c:pt>
                <c:pt idx="87">
                  <c:v>253.79816181483648</c:v>
                </c:pt>
                <c:pt idx="88">
                  <c:v>253.01018505248226</c:v>
                </c:pt>
                <c:pt idx="89">
                  <c:v>255.89686431976287</c:v>
                </c:pt>
                <c:pt idx="90">
                  <c:v>250.11236780468693</c:v>
                </c:pt>
                <c:pt idx="91">
                  <c:v>249.53449864740668</c:v>
                </c:pt>
                <c:pt idx="92">
                  <c:v>248.00463378777633</c:v>
                </c:pt>
                <c:pt idx="93">
                  <c:v>250.41634159640702</c:v>
                </c:pt>
                <c:pt idx="94">
                  <c:v>263.94517287662893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CD41-094C-BCDC-8807F586F36B}"/>
            </c:ext>
          </c:extLst>
        </c:ser>
        <c:ser>
          <c:idx val="35"/>
          <c:order val="35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frozen'!$E$37:$CU$37</c:f>
              <c:numCache>
                <c:formatCode>General</c:formatCode>
                <c:ptCount val="95"/>
                <c:pt idx="0">
                  <c:v>222.13</c:v>
                </c:pt>
                <c:pt idx="1">
                  <c:v>220.4690852930153</c:v>
                </c:pt>
                <c:pt idx="2">
                  <c:v>218.77201673291461</c:v>
                </c:pt>
                <c:pt idx="3">
                  <c:v>222.27949587471142</c:v>
                </c:pt>
                <c:pt idx="4">
                  <c:v>222.91414605222002</c:v>
                </c:pt>
                <c:pt idx="5">
                  <c:v>221.64775817708417</c:v>
                </c:pt>
                <c:pt idx="6">
                  <c:v>223.76965396385953</c:v>
                </c:pt>
                <c:pt idx="7">
                  <c:v>215.85295356738112</c:v>
                </c:pt>
                <c:pt idx="8">
                  <c:v>222.819341554358</c:v>
                </c:pt>
                <c:pt idx="9">
                  <c:v>231.83418888314091</c:v>
                </c:pt>
                <c:pt idx="10">
                  <c:v>235.81039511063128</c:v>
                </c:pt>
                <c:pt idx="11">
                  <c:v>236.92137600745505</c:v>
                </c:pt>
                <c:pt idx="12">
                  <c:v>240.18147118879406</c:v>
                </c:pt>
                <c:pt idx="13">
                  <c:v>242.8747571324063</c:v>
                </c:pt>
                <c:pt idx="14">
                  <c:v>226.7436795673309</c:v>
                </c:pt>
                <c:pt idx="15">
                  <c:v>233.37103022257776</c:v>
                </c:pt>
                <c:pt idx="16">
                  <c:v>227.78194300861992</c:v>
                </c:pt>
                <c:pt idx="17">
                  <c:v>227.23714131899169</c:v>
                </c:pt>
                <c:pt idx="18">
                  <c:v>223.14557014447888</c:v>
                </c:pt>
                <c:pt idx="19">
                  <c:v>224.10403460244058</c:v>
                </c:pt>
                <c:pt idx="20">
                  <c:v>220.43871366844851</c:v>
                </c:pt>
                <c:pt idx="21">
                  <c:v>224.17503172217434</c:v>
                </c:pt>
                <c:pt idx="22">
                  <c:v>229.17359029230238</c:v>
                </c:pt>
                <c:pt idx="23">
                  <c:v>223.12311165895537</c:v>
                </c:pt>
                <c:pt idx="24">
                  <c:v>215.01136892682356</c:v>
                </c:pt>
                <c:pt idx="25">
                  <c:v>220.52715582032317</c:v>
                </c:pt>
                <c:pt idx="26">
                  <c:v>223.20369545700828</c:v>
                </c:pt>
                <c:pt idx="27">
                  <c:v>222.41143472383496</c:v>
                </c:pt>
                <c:pt idx="28">
                  <c:v>222.17782300333761</c:v>
                </c:pt>
                <c:pt idx="29">
                  <c:v>224.15288004952728</c:v>
                </c:pt>
                <c:pt idx="30">
                  <c:v>219.90022609385181</c:v>
                </c:pt>
                <c:pt idx="31">
                  <c:v>221.57966412823995</c:v>
                </c:pt>
                <c:pt idx="32">
                  <c:v>218.7774080343587</c:v>
                </c:pt>
                <c:pt idx="33">
                  <c:v>227.08406701946447</c:v>
                </c:pt>
                <c:pt idx="34">
                  <c:v>226.53742139418421</c:v>
                </c:pt>
                <c:pt idx="35">
                  <c:v>225.31061366734025</c:v>
                </c:pt>
                <c:pt idx="36">
                  <c:v>226.05973450058357</c:v>
                </c:pt>
                <c:pt idx="37">
                  <c:v>228.6469489368734</c:v>
                </c:pt>
                <c:pt idx="38">
                  <c:v>220.36479886959415</c:v>
                </c:pt>
                <c:pt idx="39">
                  <c:v>225.86078679537806</c:v>
                </c:pt>
                <c:pt idx="40">
                  <c:v>224.35471083913811</c:v>
                </c:pt>
                <c:pt idx="41">
                  <c:v>225.96251350227976</c:v>
                </c:pt>
                <c:pt idx="42">
                  <c:v>226.80486053040019</c:v>
                </c:pt>
                <c:pt idx="43">
                  <c:v>228.27624048629801</c:v>
                </c:pt>
                <c:pt idx="44">
                  <c:v>231.3761581427859</c:v>
                </c:pt>
                <c:pt idx="45">
                  <c:v>244.37861248513082</c:v>
                </c:pt>
                <c:pt idx="46">
                  <c:v>244.65065318184858</c:v>
                </c:pt>
                <c:pt idx="47">
                  <c:v>245.32376286616997</c:v>
                </c:pt>
                <c:pt idx="48">
                  <c:v>234.84491426076355</c:v>
                </c:pt>
                <c:pt idx="49">
                  <c:v>237.99184883315687</c:v>
                </c:pt>
                <c:pt idx="50">
                  <c:v>237.55498319259863</c:v>
                </c:pt>
                <c:pt idx="51">
                  <c:v>241.78758897691475</c:v>
                </c:pt>
                <c:pt idx="52">
                  <c:v>242.94580837910442</c:v>
                </c:pt>
                <c:pt idx="53">
                  <c:v>239.41896198943178</c:v>
                </c:pt>
                <c:pt idx="54">
                  <c:v>236.54243304990013</c:v>
                </c:pt>
                <c:pt idx="55">
                  <c:v>236.0779201147362</c:v>
                </c:pt>
                <c:pt idx="56">
                  <c:v>239.12489805398329</c:v>
                </c:pt>
                <c:pt idx="57">
                  <c:v>239.06887539181974</c:v>
                </c:pt>
                <c:pt idx="58">
                  <c:v>235.96225915058395</c:v>
                </c:pt>
                <c:pt idx="59">
                  <c:v>242.06861148944421</c:v>
                </c:pt>
                <c:pt idx="60">
                  <c:v>239.93256091788911</c:v>
                </c:pt>
                <c:pt idx="61">
                  <c:v>246.75848989412657</c:v>
                </c:pt>
                <c:pt idx="62">
                  <c:v>250.60986091175184</c:v>
                </c:pt>
                <c:pt idx="63">
                  <c:v>247.40866090048507</c:v>
                </c:pt>
                <c:pt idx="64">
                  <c:v>258.07348885661634</c:v>
                </c:pt>
                <c:pt idx="65">
                  <c:v>258.43795780754601</c:v>
                </c:pt>
                <c:pt idx="66">
                  <c:v>258.22736325217221</c:v>
                </c:pt>
                <c:pt idx="67">
                  <c:v>265.59995002055933</c:v>
                </c:pt>
                <c:pt idx="68">
                  <c:v>260.47504051810955</c:v>
                </c:pt>
                <c:pt idx="69">
                  <c:v>253.80857232185434</c:v>
                </c:pt>
                <c:pt idx="70">
                  <c:v>250.28613303903791</c:v>
                </c:pt>
                <c:pt idx="71">
                  <c:v>249.46303342123468</c:v>
                </c:pt>
                <c:pt idx="72">
                  <c:v>255.56175798445483</c:v>
                </c:pt>
                <c:pt idx="73">
                  <c:v>260.78575259809992</c:v>
                </c:pt>
                <c:pt idx="74">
                  <c:v>251.39073068706642</c:v>
                </c:pt>
                <c:pt idx="75">
                  <c:v>257.07893579581565</c:v>
                </c:pt>
                <c:pt idx="76">
                  <c:v>254.56679450301311</c:v>
                </c:pt>
                <c:pt idx="77">
                  <c:v>248.67535934088244</c:v>
                </c:pt>
                <c:pt idx="78">
                  <c:v>245.3130580161999</c:v>
                </c:pt>
                <c:pt idx="79">
                  <c:v>242.12347353993519</c:v>
                </c:pt>
                <c:pt idx="80">
                  <c:v>241.40320047962223</c:v>
                </c:pt>
                <c:pt idx="81">
                  <c:v>243.81165428530008</c:v>
                </c:pt>
                <c:pt idx="82">
                  <c:v>234.83207305770881</c:v>
                </c:pt>
                <c:pt idx="83">
                  <c:v>231.68515222098355</c:v>
                </c:pt>
                <c:pt idx="84">
                  <c:v>245.16170899864198</c:v>
                </c:pt>
                <c:pt idx="85">
                  <c:v>243.56798573868326</c:v>
                </c:pt>
                <c:pt idx="86">
                  <c:v>243.53492924012437</c:v>
                </c:pt>
                <c:pt idx="87">
                  <c:v>243.51815691942352</c:v>
                </c:pt>
                <c:pt idx="88">
                  <c:v>244.2627003552966</c:v>
                </c:pt>
                <c:pt idx="89">
                  <c:v>252.28014841376279</c:v>
                </c:pt>
                <c:pt idx="90">
                  <c:v>259.90520254703483</c:v>
                </c:pt>
                <c:pt idx="91">
                  <c:v>271.86215972569931</c:v>
                </c:pt>
                <c:pt idx="92">
                  <c:v>264.02346841317171</c:v>
                </c:pt>
                <c:pt idx="93">
                  <c:v>275.68047540586912</c:v>
                </c:pt>
                <c:pt idx="94">
                  <c:v>273.73819359665038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CD41-094C-BCDC-8807F586F36B}"/>
            </c:ext>
          </c:extLst>
        </c:ser>
        <c:ser>
          <c:idx val="36"/>
          <c:order val="36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frozen'!$E$38:$CU$38</c:f>
              <c:numCache>
                <c:formatCode>General</c:formatCode>
                <c:ptCount val="95"/>
                <c:pt idx="0">
                  <c:v>222.13</c:v>
                </c:pt>
                <c:pt idx="1">
                  <c:v>225.71440934676951</c:v>
                </c:pt>
                <c:pt idx="2">
                  <c:v>226.93769448667126</c:v>
                </c:pt>
                <c:pt idx="3">
                  <c:v>222.26274176319214</c:v>
                </c:pt>
                <c:pt idx="4">
                  <c:v>224.95990033982599</c:v>
                </c:pt>
                <c:pt idx="5">
                  <c:v>225.51711489275959</c:v>
                </c:pt>
                <c:pt idx="6">
                  <c:v>233.44576938705467</c:v>
                </c:pt>
                <c:pt idx="7">
                  <c:v>237.00277504066094</c:v>
                </c:pt>
                <c:pt idx="8">
                  <c:v>241.69882922966752</c:v>
                </c:pt>
                <c:pt idx="9">
                  <c:v>235.55637605994917</c:v>
                </c:pt>
                <c:pt idx="10">
                  <c:v>240.37490329718111</c:v>
                </c:pt>
                <c:pt idx="11">
                  <c:v>232.7813869302058</c:v>
                </c:pt>
                <c:pt idx="12">
                  <c:v>240.67258091839486</c:v>
                </c:pt>
                <c:pt idx="13">
                  <c:v>240.63796179856007</c:v>
                </c:pt>
                <c:pt idx="14">
                  <c:v>238.58979327310567</c:v>
                </c:pt>
                <c:pt idx="15">
                  <c:v>247.45982617590906</c:v>
                </c:pt>
                <c:pt idx="16">
                  <c:v>250.35989464406418</c:v>
                </c:pt>
                <c:pt idx="17">
                  <c:v>250.81052739568696</c:v>
                </c:pt>
                <c:pt idx="18">
                  <c:v>259.11480127606046</c:v>
                </c:pt>
                <c:pt idx="19">
                  <c:v>248.52960970949104</c:v>
                </c:pt>
                <c:pt idx="20">
                  <c:v>245.94656995526771</c:v>
                </c:pt>
                <c:pt idx="21">
                  <c:v>253.63338224231086</c:v>
                </c:pt>
                <c:pt idx="22">
                  <c:v>249.07235326064861</c:v>
                </c:pt>
                <c:pt idx="23">
                  <c:v>249.06268129546444</c:v>
                </c:pt>
                <c:pt idx="24">
                  <c:v>243.63996317305691</c:v>
                </c:pt>
                <c:pt idx="25">
                  <c:v>238.84220944792318</c:v>
                </c:pt>
                <c:pt idx="26">
                  <c:v>245.52954675883626</c:v>
                </c:pt>
                <c:pt idx="27">
                  <c:v>246.03546114919885</c:v>
                </c:pt>
                <c:pt idx="28">
                  <c:v>254.39690825913266</c:v>
                </c:pt>
                <c:pt idx="29">
                  <c:v>248.76061867735874</c:v>
                </c:pt>
                <c:pt idx="30">
                  <c:v>237.23990175142896</c:v>
                </c:pt>
                <c:pt idx="31">
                  <c:v>249.94967522510609</c:v>
                </c:pt>
                <c:pt idx="32">
                  <c:v>255.93199936024007</c:v>
                </c:pt>
                <c:pt idx="33">
                  <c:v>270.26333051374553</c:v>
                </c:pt>
                <c:pt idx="34">
                  <c:v>264.86511539228718</c:v>
                </c:pt>
                <c:pt idx="35">
                  <c:v>262.53107588978838</c:v>
                </c:pt>
                <c:pt idx="36">
                  <c:v>247.96228736103004</c:v>
                </c:pt>
                <c:pt idx="37">
                  <c:v>238.23577264181557</c:v>
                </c:pt>
                <c:pt idx="38">
                  <c:v>248.80168938468773</c:v>
                </c:pt>
                <c:pt idx="39">
                  <c:v>247.51265879464</c:v>
                </c:pt>
                <c:pt idx="40">
                  <c:v>248.42892791326102</c:v>
                </c:pt>
                <c:pt idx="41">
                  <c:v>247.04714751030815</c:v>
                </c:pt>
                <c:pt idx="42">
                  <c:v>239.84154792768814</c:v>
                </c:pt>
                <c:pt idx="43">
                  <c:v>232.80032925149629</c:v>
                </c:pt>
                <c:pt idx="44">
                  <c:v>238.76199120677344</c:v>
                </c:pt>
                <c:pt idx="45">
                  <c:v>234.02834657230423</c:v>
                </c:pt>
                <c:pt idx="46">
                  <c:v>236.61092507826982</c:v>
                </c:pt>
                <c:pt idx="47">
                  <c:v>236.30720772075244</c:v>
                </c:pt>
                <c:pt idx="48">
                  <c:v>241.79248092313532</c:v>
                </c:pt>
                <c:pt idx="49">
                  <c:v>245.46726020091501</c:v>
                </c:pt>
                <c:pt idx="50">
                  <c:v>255.30347576483658</c:v>
                </c:pt>
                <c:pt idx="51">
                  <c:v>263.64442301445837</c:v>
                </c:pt>
                <c:pt idx="52">
                  <c:v>258.35909799462894</c:v>
                </c:pt>
                <c:pt idx="53">
                  <c:v>260.04978418332388</c:v>
                </c:pt>
                <c:pt idx="54">
                  <c:v>266.56612053610598</c:v>
                </c:pt>
                <c:pt idx="55">
                  <c:v>258.82411651939162</c:v>
                </c:pt>
                <c:pt idx="56">
                  <c:v>258.62606493025402</c:v>
                </c:pt>
                <c:pt idx="57">
                  <c:v>255.81151080137857</c:v>
                </c:pt>
                <c:pt idx="58">
                  <c:v>262.01711582260054</c:v>
                </c:pt>
                <c:pt idx="59">
                  <c:v>258.62875682004091</c:v>
                </c:pt>
                <c:pt idx="60">
                  <c:v>260.31575686029953</c:v>
                </c:pt>
                <c:pt idx="61">
                  <c:v>256.89080878266492</c:v>
                </c:pt>
                <c:pt idx="62">
                  <c:v>250.38222980969766</c:v>
                </c:pt>
                <c:pt idx="63">
                  <c:v>247.49946054750046</c:v>
                </c:pt>
                <c:pt idx="64">
                  <c:v>244.55134617381105</c:v>
                </c:pt>
                <c:pt idx="65">
                  <c:v>238.92698368056733</c:v>
                </c:pt>
                <c:pt idx="66">
                  <c:v>238.79521711804261</c:v>
                </c:pt>
                <c:pt idx="67">
                  <c:v>238.38142953402715</c:v>
                </c:pt>
                <c:pt idx="68">
                  <c:v>237.09109958949321</c:v>
                </c:pt>
                <c:pt idx="69">
                  <c:v>235.13879510893986</c:v>
                </c:pt>
                <c:pt idx="70">
                  <c:v>235.53808409476119</c:v>
                </c:pt>
                <c:pt idx="71">
                  <c:v>234.22470350098132</c:v>
                </c:pt>
                <c:pt idx="72">
                  <c:v>235.72430138207895</c:v>
                </c:pt>
                <c:pt idx="73">
                  <c:v>227.81412792232243</c:v>
                </c:pt>
                <c:pt idx="74">
                  <c:v>232.16218570631935</c:v>
                </c:pt>
                <c:pt idx="75">
                  <c:v>236.97105695413629</c:v>
                </c:pt>
                <c:pt idx="76">
                  <c:v>233.46566016387263</c:v>
                </c:pt>
                <c:pt idx="77">
                  <c:v>230.01882264591248</c:v>
                </c:pt>
                <c:pt idx="78">
                  <c:v>234.59944081614219</c:v>
                </c:pt>
                <c:pt idx="79">
                  <c:v>231.86642624755433</c:v>
                </c:pt>
                <c:pt idx="80">
                  <c:v>226.50929691350512</c:v>
                </c:pt>
                <c:pt idx="81">
                  <c:v>226.11032741346335</c:v>
                </c:pt>
                <c:pt idx="82">
                  <c:v>220.67853988597173</c:v>
                </c:pt>
                <c:pt idx="83">
                  <c:v>224.85806706991164</c:v>
                </c:pt>
                <c:pt idx="84">
                  <c:v>233.7369614718412</c:v>
                </c:pt>
                <c:pt idx="85">
                  <c:v>236.6938710541649</c:v>
                </c:pt>
                <c:pt idx="86">
                  <c:v>238.37413046975803</c:v>
                </c:pt>
                <c:pt idx="87">
                  <c:v>236.02083521445985</c:v>
                </c:pt>
                <c:pt idx="88">
                  <c:v>242.12735719710633</c:v>
                </c:pt>
                <c:pt idx="89">
                  <c:v>234.3184925304534</c:v>
                </c:pt>
                <c:pt idx="90">
                  <c:v>237.36854611945853</c:v>
                </c:pt>
                <c:pt idx="91">
                  <c:v>229.7587762644888</c:v>
                </c:pt>
                <c:pt idx="92">
                  <c:v>224.91308801158723</c:v>
                </c:pt>
                <c:pt idx="93">
                  <c:v>225.86938202972166</c:v>
                </c:pt>
                <c:pt idx="94">
                  <c:v>225.3158218121728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CD41-094C-BCDC-8807F586F36B}"/>
            </c:ext>
          </c:extLst>
        </c:ser>
        <c:ser>
          <c:idx val="37"/>
          <c:order val="37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frozen'!$E$39:$CU$39</c:f>
              <c:numCache>
                <c:formatCode>General</c:formatCode>
                <c:ptCount val="95"/>
                <c:pt idx="0">
                  <c:v>222.13</c:v>
                </c:pt>
                <c:pt idx="1">
                  <c:v>222.27770414105422</c:v>
                </c:pt>
                <c:pt idx="2">
                  <c:v>221.19637377867966</c:v>
                </c:pt>
                <c:pt idx="3">
                  <c:v>220.77560229526756</c:v>
                </c:pt>
                <c:pt idx="4">
                  <c:v>217.27196260357999</c:v>
                </c:pt>
                <c:pt idx="5">
                  <c:v>211.81290604690381</c:v>
                </c:pt>
                <c:pt idx="6">
                  <c:v>208.40416029747047</c:v>
                </c:pt>
                <c:pt idx="7">
                  <c:v>204.42719318264676</c:v>
                </c:pt>
                <c:pt idx="8">
                  <c:v>197.58467758797181</c:v>
                </c:pt>
                <c:pt idx="9">
                  <c:v>200.4983594215779</c:v>
                </c:pt>
                <c:pt idx="10">
                  <c:v>197.1478049157713</c:v>
                </c:pt>
                <c:pt idx="11">
                  <c:v>193.03959975136243</c:v>
                </c:pt>
                <c:pt idx="12">
                  <c:v>189.57345081685207</c:v>
                </c:pt>
                <c:pt idx="13">
                  <c:v>199.99459305642569</c:v>
                </c:pt>
                <c:pt idx="14">
                  <c:v>195.48690006050523</c:v>
                </c:pt>
                <c:pt idx="15">
                  <c:v>194.40684442435551</c:v>
                </c:pt>
                <c:pt idx="16">
                  <c:v>194.77982911017853</c:v>
                </c:pt>
                <c:pt idx="17">
                  <c:v>191.96785672216961</c:v>
                </c:pt>
                <c:pt idx="18">
                  <c:v>191.52908602726524</c:v>
                </c:pt>
                <c:pt idx="19">
                  <c:v>190.41937820838754</c:v>
                </c:pt>
                <c:pt idx="20">
                  <c:v>190.71450748696162</c:v>
                </c:pt>
                <c:pt idx="21">
                  <c:v>185.6226099286628</c:v>
                </c:pt>
                <c:pt idx="22">
                  <c:v>188.53664940884812</c:v>
                </c:pt>
                <c:pt idx="23">
                  <c:v>195.21031090807486</c:v>
                </c:pt>
                <c:pt idx="24">
                  <c:v>194.86192422520116</c:v>
                </c:pt>
                <c:pt idx="25">
                  <c:v>191.58610844141802</c:v>
                </c:pt>
                <c:pt idx="26">
                  <c:v>194.35416765708305</c:v>
                </c:pt>
                <c:pt idx="27">
                  <c:v>195.69596665967026</c:v>
                </c:pt>
                <c:pt idx="28">
                  <c:v>196.82914438695602</c:v>
                </c:pt>
                <c:pt idx="29">
                  <c:v>201.99445264954423</c:v>
                </c:pt>
                <c:pt idx="30">
                  <c:v>206.98788917332541</c:v>
                </c:pt>
                <c:pt idx="31">
                  <c:v>204.74439602309519</c:v>
                </c:pt>
                <c:pt idx="32">
                  <c:v>208.68116536441067</c:v>
                </c:pt>
                <c:pt idx="33">
                  <c:v>210.07845002047074</c:v>
                </c:pt>
                <c:pt idx="34">
                  <c:v>214.35764275990502</c:v>
                </c:pt>
                <c:pt idx="35">
                  <c:v>214.55190049591022</c:v>
                </c:pt>
                <c:pt idx="36">
                  <c:v>214.49165849528552</c:v>
                </c:pt>
                <c:pt idx="37">
                  <c:v>222.19623050409481</c:v>
                </c:pt>
                <c:pt idx="38">
                  <c:v>225.90811090824295</c:v>
                </c:pt>
                <c:pt idx="39">
                  <c:v>226.50507644729177</c:v>
                </c:pt>
                <c:pt idx="40">
                  <c:v>226.18806535465924</c:v>
                </c:pt>
                <c:pt idx="41">
                  <c:v>230.35173370664344</c:v>
                </c:pt>
                <c:pt idx="42">
                  <c:v>231.96862229891275</c:v>
                </c:pt>
                <c:pt idx="43">
                  <c:v>225.61873007548033</c:v>
                </c:pt>
                <c:pt idx="44">
                  <c:v>231.46946144942152</c:v>
                </c:pt>
                <c:pt idx="45">
                  <c:v>235.88982248522876</c:v>
                </c:pt>
                <c:pt idx="46">
                  <c:v>231.02847973797137</c:v>
                </c:pt>
                <c:pt idx="47">
                  <c:v>229.38404829333615</c:v>
                </c:pt>
                <c:pt idx="48">
                  <c:v>233.94489075088853</c:v>
                </c:pt>
                <c:pt idx="49">
                  <c:v>221.23991310046821</c:v>
                </c:pt>
                <c:pt idx="50">
                  <c:v>227.83547742957938</c:v>
                </c:pt>
                <c:pt idx="51">
                  <c:v>229.87853550166668</c:v>
                </c:pt>
                <c:pt idx="52">
                  <c:v>234.26767218020902</c:v>
                </c:pt>
                <c:pt idx="53">
                  <c:v>243.06345328524026</c:v>
                </c:pt>
                <c:pt idx="54">
                  <c:v>237.34402820758024</c:v>
                </c:pt>
                <c:pt idx="55">
                  <c:v>242.71485187821744</c:v>
                </c:pt>
                <c:pt idx="56">
                  <c:v>248.5602444173569</c:v>
                </c:pt>
                <c:pt idx="57">
                  <c:v>241.0133027973817</c:v>
                </c:pt>
                <c:pt idx="58">
                  <c:v>236.36724900514244</c:v>
                </c:pt>
                <c:pt idx="59">
                  <c:v>226.52797869386359</c:v>
                </c:pt>
                <c:pt idx="60">
                  <c:v>219.74406376474201</c:v>
                </c:pt>
                <c:pt idx="61">
                  <c:v>212.96783345438061</c:v>
                </c:pt>
                <c:pt idx="62">
                  <c:v>211.08411359891917</c:v>
                </c:pt>
                <c:pt idx="63">
                  <c:v>212.7652241284373</c:v>
                </c:pt>
                <c:pt idx="64">
                  <c:v>205.58104060175771</c:v>
                </c:pt>
                <c:pt idx="65">
                  <c:v>199.73085483052276</c:v>
                </c:pt>
                <c:pt idx="66">
                  <c:v>205.99843077451109</c:v>
                </c:pt>
                <c:pt idx="67">
                  <c:v>201.52199246866229</c:v>
                </c:pt>
                <c:pt idx="68">
                  <c:v>203.60441014082028</c:v>
                </c:pt>
                <c:pt idx="69">
                  <c:v>202.22844555216301</c:v>
                </c:pt>
                <c:pt idx="70">
                  <c:v>205.26140156413877</c:v>
                </c:pt>
                <c:pt idx="71">
                  <c:v>198.47217512240266</c:v>
                </c:pt>
                <c:pt idx="72">
                  <c:v>189.27918898067256</c:v>
                </c:pt>
                <c:pt idx="73">
                  <c:v>189.88537307616596</c:v>
                </c:pt>
                <c:pt idx="74">
                  <c:v>194.74588311339514</c:v>
                </c:pt>
                <c:pt idx="75">
                  <c:v>198.15489803996769</c:v>
                </c:pt>
                <c:pt idx="76">
                  <c:v>195.15418832557305</c:v>
                </c:pt>
                <c:pt idx="77">
                  <c:v>190.57441200787628</c:v>
                </c:pt>
                <c:pt idx="78">
                  <c:v>189.34484033874264</c:v>
                </c:pt>
                <c:pt idx="79">
                  <c:v>189.0119124006707</c:v>
                </c:pt>
                <c:pt idx="80">
                  <c:v>186.30772702682839</c:v>
                </c:pt>
                <c:pt idx="81">
                  <c:v>186.90667159392876</c:v>
                </c:pt>
                <c:pt idx="82">
                  <c:v>191.74793028143341</c:v>
                </c:pt>
                <c:pt idx="83">
                  <c:v>200.036329454895</c:v>
                </c:pt>
                <c:pt idx="84">
                  <c:v>204.79337185220973</c:v>
                </c:pt>
                <c:pt idx="85">
                  <c:v>207.05782610504602</c:v>
                </c:pt>
                <c:pt idx="86">
                  <c:v>210.37866414567816</c:v>
                </c:pt>
                <c:pt idx="87">
                  <c:v>214.49198010991893</c:v>
                </c:pt>
                <c:pt idx="88">
                  <c:v>209.59321919211851</c:v>
                </c:pt>
                <c:pt idx="89">
                  <c:v>204.08775364964836</c:v>
                </c:pt>
                <c:pt idx="90">
                  <c:v>208.40964978664093</c:v>
                </c:pt>
                <c:pt idx="91">
                  <c:v>199.81158999463119</c:v>
                </c:pt>
                <c:pt idx="92">
                  <c:v>203.07530100310595</c:v>
                </c:pt>
                <c:pt idx="93">
                  <c:v>206.87931255654868</c:v>
                </c:pt>
                <c:pt idx="94">
                  <c:v>200.77641738498551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CD41-094C-BCDC-8807F586F36B}"/>
            </c:ext>
          </c:extLst>
        </c:ser>
        <c:ser>
          <c:idx val="38"/>
          <c:order val="38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frozen'!$E$40:$CU$40</c:f>
              <c:numCache>
                <c:formatCode>General</c:formatCode>
                <c:ptCount val="95"/>
                <c:pt idx="0">
                  <c:v>222.13</c:v>
                </c:pt>
                <c:pt idx="1">
                  <c:v>223.1646990999437</c:v>
                </c:pt>
                <c:pt idx="2">
                  <c:v>225.90058239162852</c:v>
                </c:pt>
                <c:pt idx="3">
                  <c:v>231.91802781371567</c:v>
                </c:pt>
                <c:pt idx="4">
                  <c:v>228.23632357996061</c:v>
                </c:pt>
                <c:pt idx="5">
                  <c:v>224.314749235796</c:v>
                </c:pt>
                <c:pt idx="6">
                  <c:v>221.51524180037683</c:v>
                </c:pt>
                <c:pt idx="7">
                  <c:v>215.77313720250223</c:v>
                </c:pt>
                <c:pt idx="8">
                  <c:v>218.67829459786083</c:v>
                </c:pt>
                <c:pt idx="9">
                  <c:v>219.94881367346431</c:v>
                </c:pt>
                <c:pt idx="10">
                  <c:v>224.42793289072063</c:v>
                </c:pt>
                <c:pt idx="11">
                  <c:v>230.79842672523156</c:v>
                </c:pt>
                <c:pt idx="12">
                  <c:v>236.92975766168294</c:v>
                </c:pt>
                <c:pt idx="13">
                  <c:v>240.83591212107066</c:v>
                </c:pt>
                <c:pt idx="14">
                  <c:v>245.31854665377068</c:v>
                </c:pt>
                <c:pt idx="15">
                  <c:v>237.6714205228935</c:v>
                </c:pt>
                <c:pt idx="16">
                  <c:v>243.13739151513857</c:v>
                </c:pt>
                <c:pt idx="17">
                  <c:v>236.60343534474197</c:v>
                </c:pt>
                <c:pt idx="18">
                  <c:v>231.72184325994141</c:v>
                </c:pt>
                <c:pt idx="19">
                  <c:v>229.51623554505846</c:v>
                </c:pt>
                <c:pt idx="20">
                  <c:v>228.58152652559963</c:v>
                </c:pt>
                <c:pt idx="21">
                  <c:v>227.60650314128921</c:v>
                </c:pt>
                <c:pt idx="22">
                  <c:v>228.44852360786646</c:v>
                </c:pt>
                <c:pt idx="23">
                  <c:v>222.50053607029133</c:v>
                </c:pt>
                <c:pt idx="24">
                  <c:v>221.40689156156654</c:v>
                </c:pt>
                <c:pt idx="25">
                  <c:v>227.61900671729441</c:v>
                </c:pt>
                <c:pt idx="26">
                  <c:v>227.63647737032809</c:v>
                </c:pt>
                <c:pt idx="27">
                  <c:v>217.26998989675849</c:v>
                </c:pt>
                <c:pt idx="28">
                  <c:v>220.60905291171144</c:v>
                </c:pt>
                <c:pt idx="29">
                  <c:v>215.67421987089551</c:v>
                </c:pt>
                <c:pt idx="30">
                  <c:v>210.08554918208833</c:v>
                </c:pt>
                <c:pt idx="31">
                  <c:v>211.47494673672682</c:v>
                </c:pt>
                <c:pt idx="32">
                  <c:v>212.90940560538786</c:v>
                </c:pt>
                <c:pt idx="33">
                  <c:v>212.69460905647827</c:v>
                </c:pt>
                <c:pt idx="34">
                  <c:v>214.33603559686878</c:v>
                </c:pt>
                <c:pt idx="35">
                  <c:v>214.94011658606837</c:v>
                </c:pt>
                <c:pt idx="36">
                  <c:v>207.92281324289519</c:v>
                </c:pt>
                <c:pt idx="37">
                  <c:v>208.23426110326457</c:v>
                </c:pt>
                <c:pt idx="38">
                  <c:v>219.18070242463253</c:v>
                </c:pt>
                <c:pt idx="39">
                  <c:v>219.53804491302074</c:v>
                </c:pt>
                <c:pt idx="40">
                  <c:v>223.22214730452916</c:v>
                </c:pt>
                <c:pt idx="41">
                  <c:v>228.03039204894478</c:v>
                </c:pt>
                <c:pt idx="42">
                  <c:v>222.31959211017764</c:v>
                </c:pt>
                <c:pt idx="43">
                  <c:v>222.35575540543786</c:v>
                </c:pt>
                <c:pt idx="44">
                  <c:v>226.07040593567746</c:v>
                </c:pt>
                <c:pt idx="45">
                  <c:v>229.20845310153933</c:v>
                </c:pt>
                <c:pt idx="46">
                  <c:v>223.76263253678181</c:v>
                </c:pt>
                <c:pt idx="47">
                  <c:v>220.69280331400176</c:v>
                </c:pt>
                <c:pt idx="48">
                  <c:v>222.33501677099059</c:v>
                </c:pt>
                <c:pt idx="49">
                  <c:v>219.51771982629006</c:v>
                </c:pt>
                <c:pt idx="50">
                  <c:v>219.15974654500195</c:v>
                </c:pt>
                <c:pt idx="51">
                  <c:v>225.39245355043977</c:v>
                </c:pt>
                <c:pt idx="52">
                  <c:v>222.5828137744011</c:v>
                </c:pt>
                <c:pt idx="53">
                  <c:v>215.47207367433907</c:v>
                </c:pt>
                <c:pt idx="54">
                  <c:v>218.23900594782631</c:v>
                </c:pt>
                <c:pt idx="55">
                  <c:v>213.78991622886852</c:v>
                </c:pt>
                <c:pt idx="56">
                  <c:v>215.91203079402499</c:v>
                </c:pt>
                <c:pt idx="57">
                  <c:v>226.00505517082979</c:v>
                </c:pt>
                <c:pt idx="58">
                  <c:v>216.94294932320199</c:v>
                </c:pt>
                <c:pt idx="59">
                  <c:v>214.5924452470388</c:v>
                </c:pt>
                <c:pt idx="60">
                  <c:v>217.16731472664242</c:v>
                </c:pt>
                <c:pt idx="61">
                  <c:v>222.35086266616159</c:v>
                </c:pt>
                <c:pt idx="62">
                  <c:v>216.52515918761515</c:v>
                </c:pt>
                <c:pt idx="63">
                  <c:v>215.85930452326727</c:v>
                </c:pt>
                <c:pt idx="64">
                  <c:v>200.76805737455783</c:v>
                </c:pt>
                <c:pt idx="65">
                  <c:v>203.4029572982453</c:v>
                </c:pt>
                <c:pt idx="66">
                  <c:v>197.12826445925035</c:v>
                </c:pt>
                <c:pt idx="67">
                  <c:v>202.58126138851804</c:v>
                </c:pt>
                <c:pt idx="68">
                  <c:v>202.17869701590411</c:v>
                </c:pt>
                <c:pt idx="69">
                  <c:v>207.04999496663689</c:v>
                </c:pt>
                <c:pt idx="70">
                  <c:v>205.16815220096157</c:v>
                </c:pt>
                <c:pt idx="71">
                  <c:v>201.42227935124586</c:v>
                </c:pt>
                <c:pt idx="72">
                  <c:v>206.09609039781742</c:v>
                </c:pt>
                <c:pt idx="73">
                  <c:v>206.24584928339527</c:v>
                </c:pt>
                <c:pt idx="74">
                  <c:v>204.76492160500791</c:v>
                </c:pt>
                <c:pt idx="75">
                  <c:v>207.2365327981812</c:v>
                </c:pt>
                <c:pt idx="76">
                  <c:v>206.76182901758614</c:v>
                </c:pt>
                <c:pt idx="77">
                  <c:v>201.87873034664764</c:v>
                </c:pt>
                <c:pt idx="78">
                  <c:v>201.72202661779201</c:v>
                </c:pt>
                <c:pt idx="79">
                  <c:v>202.51313901940784</c:v>
                </c:pt>
                <c:pt idx="80">
                  <c:v>202.54072175384633</c:v>
                </c:pt>
                <c:pt idx="81">
                  <c:v>192.80697860973424</c:v>
                </c:pt>
                <c:pt idx="82">
                  <c:v>182.26247121674339</c:v>
                </c:pt>
                <c:pt idx="83">
                  <c:v>177.91331971168415</c:v>
                </c:pt>
                <c:pt idx="84">
                  <c:v>186.20964053178139</c:v>
                </c:pt>
                <c:pt idx="85">
                  <c:v>186.21989244892382</c:v>
                </c:pt>
                <c:pt idx="86">
                  <c:v>187.7374575483779</c:v>
                </c:pt>
                <c:pt idx="87">
                  <c:v>189.57195194059622</c:v>
                </c:pt>
                <c:pt idx="88">
                  <c:v>190.19093102305789</c:v>
                </c:pt>
                <c:pt idx="89">
                  <c:v>187.3945637092049</c:v>
                </c:pt>
                <c:pt idx="90">
                  <c:v>187.95146450701688</c:v>
                </c:pt>
                <c:pt idx="91">
                  <c:v>197.04901183988355</c:v>
                </c:pt>
                <c:pt idx="92">
                  <c:v>195.42287557049016</c:v>
                </c:pt>
                <c:pt idx="93">
                  <c:v>193.72651958166222</c:v>
                </c:pt>
                <c:pt idx="94">
                  <c:v>195.61528265841056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CD41-094C-BCDC-8807F586F36B}"/>
            </c:ext>
          </c:extLst>
        </c:ser>
        <c:ser>
          <c:idx val="39"/>
          <c:order val="39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frozen'!$E$41:$CU$41</c:f>
              <c:numCache>
                <c:formatCode>General</c:formatCode>
                <c:ptCount val="95"/>
                <c:pt idx="0">
                  <c:v>222.13</c:v>
                </c:pt>
                <c:pt idx="1">
                  <c:v>223.38635404889044</c:v>
                </c:pt>
                <c:pt idx="2">
                  <c:v>216.29251322450475</c:v>
                </c:pt>
                <c:pt idx="3">
                  <c:v>221.02497960715257</c:v>
                </c:pt>
                <c:pt idx="4">
                  <c:v>223.95615890062086</c:v>
                </c:pt>
                <c:pt idx="5">
                  <c:v>221.99176668285423</c:v>
                </c:pt>
                <c:pt idx="6">
                  <c:v>215.47614252899422</c:v>
                </c:pt>
                <c:pt idx="7">
                  <c:v>213.03115743259059</c:v>
                </c:pt>
                <c:pt idx="8">
                  <c:v>218.79600518222188</c:v>
                </c:pt>
                <c:pt idx="9">
                  <c:v>218.45277630158671</c:v>
                </c:pt>
                <c:pt idx="10">
                  <c:v>222.38500431061641</c:v>
                </c:pt>
                <c:pt idx="11">
                  <c:v>230.95992667045684</c:v>
                </c:pt>
                <c:pt idx="12">
                  <c:v>230.56840036041908</c:v>
                </c:pt>
                <c:pt idx="13">
                  <c:v>232.46504065510965</c:v>
                </c:pt>
                <c:pt idx="14">
                  <c:v>224.54891550042649</c:v>
                </c:pt>
                <c:pt idx="15">
                  <c:v>227.16411510238075</c:v>
                </c:pt>
                <c:pt idx="16">
                  <c:v>221.96668950742276</c:v>
                </c:pt>
                <c:pt idx="17">
                  <c:v>219.64192926439924</c:v>
                </c:pt>
                <c:pt idx="18">
                  <c:v>213.91262806323877</c:v>
                </c:pt>
                <c:pt idx="19">
                  <c:v>212.69119201162684</c:v>
                </c:pt>
                <c:pt idx="20">
                  <c:v>219.57044168472956</c:v>
                </c:pt>
                <c:pt idx="21">
                  <c:v>222.12928257174786</c:v>
                </c:pt>
                <c:pt idx="22">
                  <c:v>219.00868934580041</c:v>
                </c:pt>
                <c:pt idx="23">
                  <c:v>218.32395311817803</c:v>
                </c:pt>
                <c:pt idx="24">
                  <c:v>210.24043912330833</c:v>
                </c:pt>
                <c:pt idx="25">
                  <c:v>216.57040493625396</c:v>
                </c:pt>
                <c:pt idx="26">
                  <c:v>221.36655872657875</c:v>
                </c:pt>
                <c:pt idx="27">
                  <c:v>221.95677262745212</c:v>
                </c:pt>
                <c:pt idx="28">
                  <c:v>221.96712526845832</c:v>
                </c:pt>
                <c:pt idx="29">
                  <c:v>224.63913158912013</c:v>
                </c:pt>
                <c:pt idx="30">
                  <c:v>229.44180489294658</c:v>
                </c:pt>
                <c:pt idx="31">
                  <c:v>219.27355981606436</c:v>
                </c:pt>
                <c:pt idx="32">
                  <c:v>222.99514436450974</c:v>
                </c:pt>
                <c:pt idx="33">
                  <c:v>228.8458510970286</c:v>
                </c:pt>
                <c:pt idx="34">
                  <c:v>224.84888596052727</c:v>
                </c:pt>
                <c:pt idx="35">
                  <c:v>217.47548975217188</c:v>
                </c:pt>
                <c:pt idx="36">
                  <c:v>211.4023428869765</c:v>
                </c:pt>
                <c:pt idx="37">
                  <c:v>215.02936801242126</c:v>
                </c:pt>
                <c:pt idx="38">
                  <c:v>222.09745435421877</c:v>
                </c:pt>
                <c:pt idx="39">
                  <c:v>231.60214085687102</c:v>
                </c:pt>
                <c:pt idx="40">
                  <c:v>233.5552702119725</c:v>
                </c:pt>
                <c:pt idx="41">
                  <c:v>232.81553475074338</c:v>
                </c:pt>
                <c:pt idx="42">
                  <c:v>228.82060418367118</c:v>
                </c:pt>
                <c:pt idx="43">
                  <c:v>225.93702789903438</c:v>
                </c:pt>
                <c:pt idx="44">
                  <c:v>231.23645437008673</c:v>
                </c:pt>
                <c:pt idx="45">
                  <c:v>223.85288617210335</c:v>
                </c:pt>
                <c:pt idx="46">
                  <c:v>223.69845736385227</c:v>
                </c:pt>
                <c:pt idx="47">
                  <c:v>228.11769299974344</c:v>
                </c:pt>
                <c:pt idx="48">
                  <c:v>231.58633169100364</c:v>
                </c:pt>
                <c:pt idx="49">
                  <c:v>240.95953254075374</c:v>
                </c:pt>
                <c:pt idx="50">
                  <c:v>241.90463958439159</c:v>
                </c:pt>
                <c:pt idx="51">
                  <c:v>235.21801705810452</c:v>
                </c:pt>
                <c:pt idx="52">
                  <c:v>236.51950630485757</c:v>
                </c:pt>
                <c:pt idx="53">
                  <c:v>236.78528886510264</c:v>
                </c:pt>
                <c:pt idx="54">
                  <c:v>235.30110062334447</c:v>
                </c:pt>
                <c:pt idx="55">
                  <c:v>234.15670139660881</c:v>
                </c:pt>
                <c:pt idx="56">
                  <c:v>226.58308752064545</c:v>
                </c:pt>
                <c:pt idx="57">
                  <c:v>232.53228618561505</c:v>
                </c:pt>
                <c:pt idx="58">
                  <c:v>233.88056679760814</c:v>
                </c:pt>
                <c:pt idx="59">
                  <c:v>248.66232722588637</c:v>
                </c:pt>
                <c:pt idx="60">
                  <c:v>255.17039577560806</c:v>
                </c:pt>
                <c:pt idx="61">
                  <c:v>258.22450391671254</c:v>
                </c:pt>
                <c:pt idx="62">
                  <c:v>251.53216830192721</c:v>
                </c:pt>
                <c:pt idx="63">
                  <c:v>258.07425003562832</c:v>
                </c:pt>
                <c:pt idx="64">
                  <c:v>246.20416188069893</c:v>
                </c:pt>
                <c:pt idx="65">
                  <c:v>249.82036901236549</c:v>
                </c:pt>
                <c:pt idx="66">
                  <c:v>258.7871724313257</c:v>
                </c:pt>
                <c:pt idx="67">
                  <c:v>256.32549860774714</c:v>
                </c:pt>
                <c:pt idx="68">
                  <c:v>250.79533829205599</c:v>
                </c:pt>
                <c:pt idx="69">
                  <c:v>250.3967461782662</c:v>
                </c:pt>
                <c:pt idx="70">
                  <c:v>258.9809668590122</c:v>
                </c:pt>
                <c:pt idx="71">
                  <c:v>265.84733214615585</c:v>
                </c:pt>
                <c:pt idx="72">
                  <c:v>265.74877807355949</c:v>
                </c:pt>
                <c:pt idx="73">
                  <c:v>276.05759733904341</c:v>
                </c:pt>
                <c:pt idx="74">
                  <c:v>274.14740543147582</c:v>
                </c:pt>
                <c:pt idx="75">
                  <c:v>263.27145925491959</c:v>
                </c:pt>
                <c:pt idx="76">
                  <c:v>273.99012820317847</c:v>
                </c:pt>
                <c:pt idx="77">
                  <c:v>277.28043015498258</c:v>
                </c:pt>
                <c:pt idx="78">
                  <c:v>271.08321475250926</c:v>
                </c:pt>
                <c:pt idx="79">
                  <c:v>280.07986019291167</c:v>
                </c:pt>
                <c:pt idx="80">
                  <c:v>284.55543240687291</c:v>
                </c:pt>
                <c:pt idx="81">
                  <c:v>296.18416768485861</c:v>
                </c:pt>
                <c:pt idx="82">
                  <c:v>284.54588234626993</c:v>
                </c:pt>
                <c:pt idx="83">
                  <c:v>285.69946314866513</c:v>
                </c:pt>
                <c:pt idx="84">
                  <c:v>292.54905555408811</c:v>
                </c:pt>
                <c:pt idx="85">
                  <c:v>294.33007815064957</c:v>
                </c:pt>
                <c:pt idx="86">
                  <c:v>294.34494163878492</c:v>
                </c:pt>
                <c:pt idx="87">
                  <c:v>301.24088926946683</c:v>
                </c:pt>
                <c:pt idx="88">
                  <c:v>299.0322567151934</c:v>
                </c:pt>
                <c:pt idx="89">
                  <c:v>296.13379574041335</c:v>
                </c:pt>
                <c:pt idx="90">
                  <c:v>290.84110129151617</c:v>
                </c:pt>
                <c:pt idx="91">
                  <c:v>294.93990148160202</c:v>
                </c:pt>
                <c:pt idx="92">
                  <c:v>293.79305876288225</c:v>
                </c:pt>
                <c:pt idx="93">
                  <c:v>292.30731270647914</c:v>
                </c:pt>
                <c:pt idx="94">
                  <c:v>301.52053415143814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CD41-094C-BCDC-8807F586F36B}"/>
            </c:ext>
          </c:extLst>
        </c:ser>
        <c:ser>
          <c:idx val="40"/>
          <c:order val="40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frozen'!$E$42:$CU$42</c:f>
              <c:numCache>
                <c:formatCode>General</c:formatCode>
                <c:ptCount val="95"/>
                <c:pt idx="0">
                  <c:v>222.13</c:v>
                </c:pt>
                <c:pt idx="1">
                  <c:v>219.49508631634185</c:v>
                </c:pt>
                <c:pt idx="2">
                  <c:v>216.31560191509453</c:v>
                </c:pt>
                <c:pt idx="3">
                  <c:v>210.06132277812421</c:v>
                </c:pt>
                <c:pt idx="4">
                  <c:v>211.66648672843732</c:v>
                </c:pt>
                <c:pt idx="5">
                  <c:v>208.35175665333472</c:v>
                </c:pt>
                <c:pt idx="6">
                  <c:v>207.95636445917717</c:v>
                </c:pt>
                <c:pt idx="7">
                  <c:v>210.15227042467293</c:v>
                </c:pt>
                <c:pt idx="8">
                  <c:v>203.81090150045151</c:v>
                </c:pt>
                <c:pt idx="9">
                  <c:v>201.11254037073411</c:v>
                </c:pt>
                <c:pt idx="10">
                  <c:v>203.93565931541153</c:v>
                </c:pt>
                <c:pt idx="11">
                  <c:v>202.68604942215384</c:v>
                </c:pt>
                <c:pt idx="12">
                  <c:v>204.43126562747941</c:v>
                </c:pt>
                <c:pt idx="13">
                  <c:v>196.76890863398634</c:v>
                </c:pt>
                <c:pt idx="14">
                  <c:v>201.04372720426085</c:v>
                </c:pt>
                <c:pt idx="15">
                  <c:v>195.29577692104579</c:v>
                </c:pt>
                <c:pt idx="16">
                  <c:v>194.75428320289421</c:v>
                </c:pt>
                <c:pt idx="17">
                  <c:v>197.11370582566326</c:v>
                </c:pt>
                <c:pt idx="18">
                  <c:v>200.16506063557441</c:v>
                </c:pt>
                <c:pt idx="19">
                  <c:v>197.83449101142619</c:v>
                </c:pt>
                <c:pt idx="20">
                  <c:v>196.54282584140472</c:v>
                </c:pt>
                <c:pt idx="21">
                  <c:v>188.22645677096691</c:v>
                </c:pt>
                <c:pt idx="22">
                  <c:v>194.72734072239106</c:v>
                </c:pt>
                <c:pt idx="23">
                  <c:v>187.63820904226307</c:v>
                </c:pt>
                <c:pt idx="24">
                  <c:v>182.86287045772571</c:v>
                </c:pt>
                <c:pt idx="25">
                  <c:v>174.31108624679845</c:v>
                </c:pt>
                <c:pt idx="26">
                  <c:v>178.73478754876658</c:v>
                </c:pt>
                <c:pt idx="27">
                  <c:v>174.84012389523866</c:v>
                </c:pt>
                <c:pt idx="28">
                  <c:v>175.98612139737048</c:v>
                </c:pt>
                <c:pt idx="29">
                  <c:v>176.39461800626819</c:v>
                </c:pt>
                <c:pt idx="30">
                  <c:v>184.83394823138005</c:v>
                </c:pt>
                <c:pt idx="31">
                  <c:v>180.56677506123805</c:v>
                </c:pt>
                <c:pt idx="32">
                  <c:v>184.31187535846783</c:v>
                </c:pt>
                <c:pt idx="33">
                  <c:v>188.26124138347106</c:v>
                </c:pt>
                <c:pt idx="34">
                  <c:v>192.02619945973291</c:v>
                </c:pt>
                <c:pt idx="35">
                  <c:v>199.84593239743035</c:v>
                </c:pt>
                <c:pt idx="36">
                  <c:v>195.53803789149416</c:v>
                </c:pt>
                <c:pt idx="37">
                  <c:v>188.91069027389656</c:v>
                </c:pt>
                <c:pt idx="38">
                  <c:v>185.36993638945569</c:v>
                </c:pt>
                <c:pt idx="39">
                  <c:v>185.00584040148033</c:v>
                </c:pt>
                <c:pt idx="40">
                  <c:v>181.52211720907735</c:v>
                </c:pt>
                <c:pt idx="41">
                  <c:v>183.64082453226428</c:v>
                </c:pt>
                <c:pt idx="42">
                  <c:v>194.10016034584956</c:v>
                </c:pt>
                <c:pt idx="43">
                  <c:v>194.46180685892878</c:v>
                </c:pt>
                <c:pt idx="44">
                  <c:v>194.2440024629575</c:v>
                </c:pt>
                <c:pt idx="45">
                  <c:v>186.69559609637204</c:v>
                </c:pt>
                <c:pt idx="46">
                  <c:v>189.09572448421437</c:v>
                </c:pt>
                <c:pt idx="47">
                  <c:v>190.38316906070946</c:v>
                </c:pt>
                <c:pt idx="48">
                  <c:v>186.60929644993982</c:v>
                </c:pt>
                <c:pt idx="49">
                  <c:v>187.0018198382509</c:v>
                </c:pt>
                <c:pt idx="50">
                  <c:v>185.62338343363336</c:v>
                </c:pt>
                <c:pt idx="51">
                  <c:v>189.07820501385552</c:v>
                </c:pt>
                <c:pt idx="52">
                  <c:v>197.23669367964922</c:v>
                </c:pt>
                <c:pt idx="53">
                  <c:v>203.32943790744423</c:v>
                </c:pt>
                <c:pt idx="54">
                  <c:v>196.4397744273052</c:v>
                </c:pt>
                <c:pt idx="55">
                  <c:v>196.25585968653502</c:v>
                </c:pt>
                <c:pt idx="56">
                  <c:v>193.31299035824088</c:v>
                </c:pt>
                <c:pt idx="57">
                  <c:v>200.35217045595053</c:v>
                </c:pt>
                <c:pt idx="58">
                  <c:v>209.04657684494987</c:v>
                </c:pt>
                <c:pt idx="59">
                  <c:v>219.14571127964834</c:v>
                </c:pt>
                <c:pt idx="60">
                  <c:v>224.63947053979643</c:v>
                </c:pt>
                <c:pt idx="61">
                  <c:v>223.85046726426387</c:v>
                </c:pt>
                <c:pt idx="62">
                  <c:v>224.17155011741855</c:v>
                </c:pt>
                <c:pt idx="63">
                  <c:v>224.9642243832252</c:v>
                </c:pt>
                <c:pt idx="64">
                  <c:v>224.91794637283115</c:v>
                </c:pt>
                <c:pt idx="65">
                  <c:v>219.61507776529456</c:v>
                </c:pt>
                <c:pt idx="66">
                  <c:v>218.19435866817918</c:v>
                </c:pt>
                <c:pt idx="67">
                  <c:v>219.54901137092094</c:v>
                </c:pt>
                <c:pt idx="68">
                  <c:v>216.1626094685935</c:v>
                </c:pt>
                <c:pt idx="69">
                  <c:v>219.10024081026222</c:v>
                </c:pt>
                <c:pt idx="70">
                  <c:v>214.71611986376999</c:v>
                </c:pt>
                <c:pt idx="71">
                  <c:v>213.0392989937736</c:v>
                </c:pt>
                <c:pt idx="72">
                  <c:v>207.58249194264755</c:v>
                </c:pt>
                <c:pt idx="73">
                  <c:v>208.55531718210028</c:v>
                </c:pt>
                <c:pt idx="74">
                  <c:v>205.55674390981324</c:v>
                </c:pt>
                <c:pt idx="75">
                  <c:v>213.58616313416471</c:v>
                </c:pt>
                <c:pt idx="76">
                  <c:v>213.33320567766447</c:v>
                </c:pt>
                <c:pt idx="77">
                  <c:v>222.2414859508923</c:v>
                </c:pt>
                <c:pt idx="78">
                  <c:v>215.80460229665007</c:v>
                </c:pt>
                <c:pt idx="79">
                  <c:v>213.32492702204866</c:v>
                </c:pt>
                <c:pt idx="80">
                  <c:v>213.67718288590407</c:v>
                </c:pt>
                <c:pt idx="81">
                  <c:v>205.99310900733263</c:v>
                </c:pt>
                <c:pt idx="82">
                  <c:v>207.54604528535455</c:v>
                </c:pt>
                <c:pt idx="83">
                  <c:v>209.36283113125404</c:v>
                </c:pt>
                <c:pt idx="84">
                  <c:v>211.40634981295474</c:v>
                </c:pt>
                <c:pt idx="85">
                  <c:v>214.35371289660873</c:v>
                </c:pt>
                <c:pt idx="86">
                  <c:v>208.79738367292856</c:v>
                </c:pt>
                <c:pt idx="87">
                  <c:v>210.18933897794665</c:v>
                </c:pt>
                <c:pt idx="88">
                  <c:v>200.18568514915356</c:v>
                </c:pt>
                <c:pt idx="89">
                  <c:v>208.79448360685066</c:v>
                </c:pt>
                <c:pt idx="90">
                  <c:v>207.58990084760961</c:v>
                </c:pt>
                <c:pt idx="91">
                  <c:v>201.51583173045472</c:v>
                </c:pt>
                <c:pt idx="92">
                  <c:v>202.41958776038854</c:v>
                </c:pt>
                <c:pt idx="93">
                  <c:v>197.74541786579954</c:v>
                </c:pt>
                <c:pt idx="94">
                  <c:v>199.16630084184675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CD41-094C-BCDC-8807F586F36B}"/>
            </c:ext>
          </c:extLst>
        </c:ser>
        <c:ser>
          <c:idx val="41"/>
          <c:order val="41"/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frozen'!$E$43:$CU$43</c:f>
              <c:numCache>
                <c:formatCode>General</c:formatCode>
                <c:ptCount val="95"/>
                <c:pt idx="0">
                  <c:v>222.13</c:v>
                </c:pt>
                <c:pt idx="1">
                  <c:v>215.22108512470797</c:v>
                </c:pt>
                <c:pt idx="2">
                  <c:v>216.38151763106075</c:v>
                </c:pt>
                <c:pt idx="3">
                  <c:v>215.80020689797388</c:v>
                </c:pt>
                <c:pt idx="4">
                  <c:v>211.67343550646871</c:v>
                </c:pt>
                <c:pt idx="5">
                  <c:v>208.30397530546327</c:v>
                </c:pt>
                <c:pt idx="6">
                  <c:v>209.14489060004038</c:v>
                </c:pt>
                <c:pt idx="7">
                  <c:v>207.88850036981293</c:v>
                </c:pt>
                <c:pt idx="8">
                  <c:v>211.15214949619678</c:v>
                </c:pt>
                <c:pt idx="9">
                  <c:v>215.46740069442106</c:v>
                </c:pt>
                <c:pt idx="10">
                  <c:v>215.82150365292614</c:v>
                </c:pt>
                <c:pt idx="11">
                  <c:v>217.82443737748559</c:v>
                </c:pt>
                <c:pt idx="12">
                  <c:v>218.69623676859493</c:v>
                </c:pt>
                <c:pt idx="13">
                  <c:v>219.04001225798592</c:v>
                </c:pt>
                <c:pt idx="14">
                  <c:v>223.1084981460138</c:v>
                </c:pt>
                <c:pt idx="15">
                  <c:v>227.81449869117998</c:v>
                </c:pt>
                <c:pt idx="16">
                  <c:v>223.99139158132579</c:v>
                </c:pt>
                <c:pt idx="17">
                  <c:v>227.27231412900019</c:v>
                </c:pt>
                <c:pt idx="18">
                  <c:v>223.18534709297825</c:v>
                </c:pt>
                <c:pt idx="19">
                  <c:v>220.55632331173535</c:v>
                </c:pt>
                <c:pt idx="20">
                  <c:v>220.9982578727618</c:v>
                </c:pt>
                <c:pt idx="21">
                  <c:v>222.7119653411159</c:v>
                </c:pt>
                <c:pt idx="22">
                  <c:v>227.55592935955161</c:v>
                </c:pt>
                <c:pt idx="23">
                  <c:v>221.84760826699278</c:v>
                </c:pt>
                <c:pt idx="24">
                  <c:v>219.52083384790149</c:v>
                </c:pt>
                <c:pt idx="25">
                  <c:v>215.31913035189459</c:v>
                </c:pt>
                <c:pt idx="26">
                  <c:v>212.71538689226935</c:v>
                </c:pt>
                <c:pt idx="27">
                  <c:v>222.00732336288235</c:v>
                </c:pt>
                <c:pt idx="28">
                  <c:v>207.62670290279755</c:v>
                </c:pt>
                <c:pt idx="29">
                  <c:v>204.39464893671172</c:v>
                </c:pt>
                <c:pt idx="30">
                  <c:v>204.91586309664424</c:v>
                </c:pt>
                <c:pt idx="31">
                  <c:v>194.49230997875449</c:v>
                </c:pt>
                <c:pt idx="32">
                  <c:v>198.23898658299311</c:v>
                </c:pt>
                <c:pt idx="33">
                  <c:v>202.53127070585958</c:v>
                </c:pt>
                <c:pt idx="34">
                  <c:v>203.73657243194467</c:v>
                </c:pt>
                <c:pt idx="35">
                  <c:v>203.17746548514268</c:v>
                </c:pt>
                <c:pt idx="36">
                  <c:v>194.26540533556687</c:v>
                </c:pt>
                <c:pt idx="37">
                  <c:v>188.61768019676012</c:v>
                </c:pt>
                <c:pt idx="38">
                  <c:v>179.36843984415609</c:v>
                </c:pt>
                <c:pt idx="39">
                  <c:v>189.19010853695565</c:v>
                </c:pt>
                <c:pt idx="40">
                  <c:v>184.57673656083833</c:v>
                </c:pt>
                <c:pt idx="41">
                  <c:v>185.84825910527559</c:v>
                </c:pt>
                <c:pt idx="42">
                  <c:v>184.16648490204366</c:v>
                </c:pt>
                <c:pt idx="43">
                  <c:v>180.23801768466814</c:v>
                </c:pt>
                <c:pt idx="44">
                  <c:v>177.9781100665962</c:v>
                </c:pt>
                <c:pt idx="45">
                  <c:v>178.32423169198231</c:v>
                </c:pt>
                <c:pt idx="46">
                  <c:v>185.16998956556444</c:v>
                </c:pt>
                <c:pt idx="47">
                  <c:v>185.15269189709213</c:v>
                </c:pt>
                <c:pt idx="48">
                  <c:v>184.24291293498459</c:v>
                </c:pt>
                <c:pt idx="49">
                  <c:v>185.27662072490372</c:v>
                </c:pt>
                <c:pt idx="50">
                  <c:v>185.19945073635776</c:v>
                </c:pt>
                <c:pt idx="51">
                  <c:v>184.80616196688354</c:v>
                </c:pt>
                <c:pt idx="52">
                  <c:v>182.73205657909492</c:v>
                </c:pt>
                <c:pt idx="53">
                  <c:v>181.5873693022815</c:v>
                </c:pt>
                <c:pt idx="54">
                  <c:v>181.91982345957953</c:v>
                </c:pt>
                <c:pt idx="55">
                  <c:v>184.29697567240947</c:v>
                </c:pt>
                <c:pt idx="56">
                  <c:v>191.33805255297293</c:v>
                </c:pt>
                <c:pt idx="57">
                  <c:v>187.01019251186023</c:v>
                </c:pt>
                <c:pt idx="58">
                  <c:v>197.35019121969705</c:v>
                </c:pt>
                <c:pt idx="59">
                  <c:v>194.14971505291612</c:v>
                </c:pt>
                <c:pt idx="60">
                  <c:v>201.56441781581117</c:v>
                </c:pt>
                <c:pt idx="61">
                  <c:v>203.59596887265349</c:v>
                </c:pt>
                <c:pt idx="62">
                  <c:v>203.651217724822</c:v>
                </c:pt>
                <c:pt idx="63">
                  <c:v>201.368080411779</c:v>
                </c:pt>
                <c:pt idx="64">
                  <c:v>200.70858634990171</c:v>
                </c:pt>
                <c:pt idx="65">
                  <c:v>205.16034360450107</c:v>
                </c:pt>
                <c:pt idx="66">
                  <c:v>206.01134269810876</c:v>
                </c:pt>
                <c:pt idx="67">
                  <c:v>209.01754136473747</c:v>
                </c:pt>
                <c:pt idx="68">
                  <c:v>199.18283233351326</c:v>
                </c:pt>
                <c:pt idx="69">
                  <c:v>194.99288714198369</c:v>
                </c:pt>
                <c:pt idx="70">
                  <c:v>199.43632115439149</c:v>
                </c:pt>
                <c:pt idx="71">
                  <c:v>201.08972371294124</c:v>
                </c:pt>
                <c:pt idx="72">
                  <c:v>197.84788249618731</c:v>
                </c:pt>
                <c:pt idx="73">
                  <c:v>193.1982068769959</c:v>
                </c:pt>
                <c:pt idx="74">
                  <c:v>196.92540731585947</c:v>
                </c:pt>
                <c:pt idx="75">
                  <c:v>202.01407413428731</c:v>
                </c:pt>
                <c:pt idx="76">
                  <c:v>190.98143313839702</c:v>
                </c:pt>
                <c:pt idx="77">
                  <c:v>193.3808029531468</c:v>
                </c:pt>
                <c:pt idx="78">
                  <c:v>190.64949487207844</c:v>
                </c:pt>
                <c:pt idx="79">
                  <c:v>188.51719042023279</c:v>
                </c:pt>
                <c:pt idx="80">
                  <c:v>192.53424709569336</c:v>
                </c:pt>
                <c:pt idx="81">
                  <c:v>198.20143012740633</c:v>
                </c:pt>
                <c:pt idx="82">
                  <c:v>204.50772050265741</c:v>
                </c:pt>
                <c:pt idx="83">
                  <c:v>194.99678695838756</c:v>
                </c:pt>
                <c:pt idx="84">
                  <c:v>184.92908668191316</c:v>
                </c:pt>
                <c:pt idx="85">
                  <c:v>187.21583802143047</c:v>
                </c:pt>
                <c:pt idx="86">
                  <c:v>183.26037782599965</c:v>
                </c:pt>
                <c:pt idx="87">
                  <c:v>181.45709456109083</c:v>
                </c:pt>
                <c:pt idx="88">
                  <c:v>180.26174733203169</c:v>
                </c:pt>
                <c:pt idx="89">
                  <c:v>190.47764785837251</c:v>
                </c:pt>
                <c:pt idx="90">
                  <c:v>194.64683344094703</c:v>
                </c:pt>
                <c:pt idx="91">
                  <c:v>186.55616513009829</c:v>
                </c:pt>
                <c:pt idx="92">
                  <c:v>186.3361258657354</c:v>
                </c:pt>
                <c:pt idx="93">
                  <c:v>181.12903790425443</c:v>
                </c:pt>
                <c:pt idx="94">
                  <c:v>175.42018760728351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CD41-094C-BCDC-8807F586F36B}"/>
            </c:ext>
          </c:extLst>
        </c:ser>
        <c:ser>
          <c:idx val="42"/>
          <c:order val="42"/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frozen'!$E$44:$CU$44</c:f>
              <c:numCache>
                <c:formatCode>General</c:formatCode>
                <c:ptCount val="95"/>
                <c:pt idx="0">
                  <c:v>222.13</c:v>
                </c:pt>
                <c:pt idx="1">
                  <c:v>224.57522772420995</c:v>
                </c:pt>
                <c:pt idx="2">
                  <c:v>223.98827248124098</c:v>
                </c:pt>
                <c:pt idx="3">
                  <c:v>227.08828300926945</c:v>
                </c:pt>
                <c:pt idx="4">
                  <c:v>224.79639529270881</c:v>
                </c:pt>
                <c:pt idx="5">
                  <c:v>220.65296645167115</c:v>
                </c:pt>
                <c:pt idx="6">
                  <c:v>214.44803710523959</c:v>
                </c:pt>
                <c:pt idx="7">
                  <c:v>208.3755622083406</c:v>
                </c:pt>
                <c:pt idx="8">
                  <c:v>208.18419332516419</c:v>
                </c:pt>
                <c:pt idx="9">
                  <c:v>208.45563551324304</c:v>
                </c:pt>
                <c:pt idx="10">
                  <c:v>205.18252079942724</c:v>
                </c:pt>
                <c:pt idx="11">
                  <c:v>204.29152475208954</c:v>
                </c:pt>
                <c:pt idx="12">
                  <c:v>196.68814304594835</c:v>
                </c:pt>
                <c:pt idx="13">
                  <c:v>202.72590550627353</c:v>
                </c:pt>
                <c:pt idx="14">
                  <c:v>201.16718258817986</c:v>
                </c:pt>
                <c:pt idx="15">
                  <c:v>201.38973575441395</c:v>
                </c:pt>
                <c:pt idx="16">
                  <c:v>211.41429842178241</c:v>
                </c:pt>
                <c:pt idx="17">
                  <c:v>204.71741593786865</c:v>
                </c:pt>
                <c:pt idx="18">
                  <c:v>205.78629877323471</c:v>
                </c:pt>
                <c:pt idx="19">
                  <c:v>207.00043104065668</c:v>
                </c:pt>
                <c:pt idx="20">
                  <c:v>207.84941705334003</c:v>
                </c:pt>
                <c:pt idx="21">
                  <c:v>212.69847877516244</c:v>
                </c:pt>
                <c:pt idx="22">
                  <c:v>219.48391456289013</c:v>
                </c:pt>
                <c:pt idx="23">
                  <c:v>208.84671831275895</c:v>
                </c:pt>
                <c:pt idx="24">
                  <c:v>209.61222628501594</c:v>
                </c:pt>
                <c:pt idx="25">
                  <c:v>204.41358546650446</c:v>
                </c:pt>
                <c:pt idx="26">
                  <c:v>208.07277036984289</c:v>
                </c:pt>
                <c:pt idx="27">
                  <c:v>217.08304917144415</c:v>
                </c:pt>
                <c:pt idx="28">
                  <c:v>208.86219740843742</c:v>
                </c:pt>
                <c:pt idx="29">
                  <c:v>209.72164311791914</c:v>
                </c:pt>
                <c:pt idx="30">
                  <c:v>207.13317530877364</c:v>
                </c:pt>
                <c:pt idx="31">
                  <c:v>212.21998560900815</c:v>
                </c:pt>
                <c:pt idx="32">
                  <c:v>210.83006949525759</c:v>
                </c:pt>
                <c:pt idx="33">
                  <c:v>199.96383943916541</c:v>
                </c:pt>
                <c:pt idx="34">
                  <c:v>201.72732497612915</c:v>
                </c:pt>
                <c:pt idx="35">
                  <c:v>197.91638077911807</c:v>
                </c:pt>
                <c:pt idx="36">
                  <c:v>204.93450085142393</c:v>
                </c:pt>
                <c:pt idx="37">
                  <c:v>206.95781410447128</c:v>
                </c:pt>
                <c:pt idx="38">
                  <c:v>202.55798335764811</c:v>
                </c:pt>
                <c:pt idx="39">
                  <c:v>208.8336114999772</c:v>
                </c:pt>
                <c:pt idx="40">
                  <c:v>203.990316530407</c:v>
                </c:pt>
                <c:pt idx="41">
                  <c:v>204.26696926292504</c:v>
                </c:pt>
                <c:pt idx="42">
                  <c:v>194.90228975338201</c:v>
                </c:pt>
                <c:pt idx="43">
                  <c:v>191.52871560513137</c:v>
                </c:pt>
                <c:pt idx="44">
                  <c:v>195.92867226770443</c:v>
                </c:pt>
                <c:pt idx="45">
                  <c:v>202.75167550551603</c:v>
                </c:pt>
                <c:pt idx="46">
                  <c:v>200.34960837985076</c:v>
                </c:pt>
                <c:pt idx="47">
                  <c:v>208.7087314459574</c:v>
                </c:pt>
                <c:pt idx="48">
                  <c:v>208.00521322976562</c:v>
                </c:pt>
                <c:pt idx="49">
                  <c:v>212.27379454795968</c:v>
                </c:pt>
                <c:pt idx="50">
                  <c:v>209.01720539559051</c:v>
                </c:pt>
                <c:pt idx="51">
                  <c:v>210.94361965265492</c:v>
                </c:pt>
                <c:pt idx="52">
                  <c:v>214.65858364547387</c:v>
                </c:pt>
                <c:pt idx="53">
                  <c:v>217.17333834435192</c:v>
                </c:pt>
                <c:pt idx="54">
                  <c:v>213.83893100741324</c:v>
                </c:pt>
                <c:pt idx="55">
                  <c:v>216.75233241321433</c:v>
                </c:pt>
                <c:pt idx="56">
                  <c:v>218.16339049183387</c:v>
                </c:pt>
                <c:pt idx="57">
                  <c:v>215.86943396492296</c:v>
                </c:pt>
                <c:pt idx="58">
                  <c:v>226.37010034675706</c:v>
                </c:pt>
                <c:pt idx="59">
                  <c:v>230.37136789997967</c:v>
                </c:pt>
                <c:pt idx="60">
                  <c:v>217.30221360786035</c:v>
                </c:pt>
                <c:pt idx="61">
                  <c:v>220.6144509321395</c:v>
                </c:pt>
                <c:pt idx="62">
                  <c:v>221.37997076872242</c:v>
                </c:pt>
                <c:pt idx="63">
                  <c:v>216.56708542295496</c:v>
                </c:pt>
                <c:pt idx="64">
                  <c:v>224.6653242717048</c:v>
                </c:pt>
                <c:pt idx="65">
                  <c:v>219.83846076506899</c:v>
                </c:pt>
                <c:pt idx="66">
                  <c:v>226.41040998412302</c:v>
                </c:pt>
                <c:pt idx="67">
                  <c:v>232.29654587556601</c:v>
                </c:pt>
                <c:pt idx="68">
                  <c:v>239.45575044806293</c:v>
                </c:pt>
                <c:pt idx="69">
                  <c:v>249.0848902338104</c:v>
                </c:pt>
                <c:pt idx="70">
                  <c:v>253.14455773265533</c:v>
                </c:pt>
                <c:pt idx="71">
                  <c:v>259.97313839944127</c:v>
                </c:pt>
                <c:pt idx="72">
                  <c:v>262.60592189937904</c:v>
                </c:pt>
                <c:pt idx="73">
                  <c:v>261.09714673908553</c:v>
                </c:pt>
                <c:pt idx="74">
                  <c:v>267.26488811957597</c:v>
                </c:pt>
                <c:pt idx="75">
                  <c:v>258.84346316444407</c:v>
                </c:pt>
                <c:pt idx="76">
                  <c:v>260.61850144950421</c:v>
                </c:pt>
                <c:pt idx="77">
                  <c:v>264.01931133376712</c:v>
                </c:pt>
                <c:pt idx="78">
                  <c:v>268.99913180988261</c:v>
                </c:pt>
                <c:pt idx="79">
                  <c:v>250.25361462458267</c:v>
                </c:pt>
                <c:pt idx="80">
                  <c:v>250.41553586693232</c:v>
                </c:pt>
                <c:pt idx="81">
                  <c:v>249.70206010928914</c:v>
                </c:pt>
                <c:pt idx="82">
                  <c:v>254.93815791303774</c:v>
                </c:pt>
                <c:pt idx="83">
                  <c:v>247.76120244048758</c:v>
                </c:pt>
                <c:pt idx="84">
                  <c:v>243.56590164056189</c:v>
                </c:pt>
                <c:pt idx="85">
                  <c:v>242.51552053664506</c:v>
                </c:pt>
                <c:pt idx="86">
                  <c:v>247.00152922386658</c:v>
                </c:pt>
                <c:pt idx="87">
                  <c:v>251.14136400906469</c:v>
                </c:pt>
                <c:pt idx="88">
                  <c:v>245.30479264852076</c:v>
                </c:pt>
                <c:pt idx="89">
                  <c:v>247.48251413109739</c:v>
                </c:pt>
                <c:pt idx="90">
                  <c:v>246.59399936614116</c:v>
                </c:pt>
                <c:pt idx="91">
                  <c:v>241.64423434396934</c:v>
                </c:pt>
                <c:pt idx="92">
                  <c:v>228.31622356074303</c:v>
                </c:pt>
                <c:pt idx="93">
                  <c:v>225.95077596850538</c:v>
                </c:pt>
                <c:pt idx="94">
                  <c:v>214.72872866417433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CD41-094C-BCDC-8807F586F36B}"/>
            </c:ext>
          </c:extLst>
        </c:ser>
        <c:ser>
          <c:idx val="43"/>
          <c:order val="43"/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frozen'!$E$45:$CU$45</c:f>
              <c:numCache>
                <c:formatCode>General</c:formatCode>
                <c:ptCount val="95"/>
                <c:pt idx="0">
                  <c:v>222.13</c:v>
                </c:pt>
                <c:pt idx="1">
                  <c:v>225.17038356484127</c:v>
                </c:pt>
                <c:pt idx="2">
                  <c:v>223.18804291910226</c:v>
                </c:pt>
                <c:pt idx="3">
                  <c:v>218.55722373430172</c:v>
                </c:pt>
                <c:pt idx="4">
                  <c:v>223.98440515053906</c:v>
                </c:pt>
                <c:pt idx="5">
                  <c:v>216.3944322181537</c:v>
                </c:pt>
                <c:pt idx="6">
                  <c:v>223.60737671757957</c:v>
                </c:pt>
                <c:pt idx="7">
                  <c:v>216.76365252147824</c:v>
                </c:pt>
                <c:pt idx="8">
                  <c:v>216.28832264763557</c:v>
                </c:pt>
                <c:pt idx="9">
                  <c:v>220.79806218490248</c:v>
                </c:pt>
                <c:pt idx="10">
                  <c:v>206.18964509373453</c:v>
                </c:pt>
                <c:pt idx="11">
                  <c:v>205.48971082848871</c:v>
                </c:pt>
                <c:pt idx="12">
                  <c:v>205.95548908973487</c:v>
                </c:pt>
                <c:pt idx="13">
                  <c:v>205.07831993502862</c:v>
                </c:pt>
                <c:pt idx="14">
                  <c:v>204.69951685305119</c:v>
                </c:pt>
                <c:pt idx="15">
                  <c:v>206.0222564480045</c:v>
                </c:pt>
                <c:pt idx="16">
                  <c:v>211.11619475267918</c:v>
                </c:pt>
                <c:pt idx="17">
                  <c:v>216.13801599429385</c:v>
                </c:pt>
                <c:pt idx="18">
                  <c:v>221.40500695873689</c:v>
                </c:pt>
                <c:pt idx="19">
                  <c:v>224.44315943867545</c:v>
                </c:pt>
                <c:pt idx="20">
                  <c:v>223.93773092607782</c:v>
                </c:pt>
                <c:pt idx="21">
                  <c:v>225.0747903109378</c:v>
                </c:pt>
                <c:pt idx="22">
                  <c:v>224.53256532105999</c:v>
                </c:pt>
                <c:pt idx="23">
                  <c:v>223.7542107088517</c:v>
                </c:pt>
                <c:pt idx="24">
                  <c:v>217.33830259923653</c:v>
                </c:pt>
                <c:pt idx="25">
                  <c:v>220.4971696773118</c:v>
                </c:pt>
                <c:pt idx="26">
                  <c:v>220.64489671949141</c:v>
                </c:pt>
                <c:pt idx="27">
                  <c:v>221.64900970430816</c:v>
                </c:pt>
                <c:pt idx="28">
                  <c:v>231.88932198407298</c:v>
                </c:pt>
                <c:pt idx="29">
                  <c:v>239.21957340933838</c:v>
                </c:pt>
                <c:pt idx="30">
                  <c:v>238.88836382724807</c:v>
                </c:pt>
                <c:pt idx="31">
                  <c:v>244.60088858169993</c:v>
                </c:pt>
                <c:pt idx="32">
                  <c:v>236.63055412163382</c:v>
                </c:pt>
                <c:pt idx="33">
                  <c:v>235.73114221422767</c:v>
                </c:pt>
                <c:pt idx="34">
                  <c:v>239.30757377455072</c:v>
                </c:pt>
                <c:pt idx="35">
                  <c:v>233.69135827809046</c:v>
                </c:pt>
                <c:pt idx="36">
                  <c:v>236.52248463400198</c:v>
                </c:pt>
                <c:pt idx="37">
                  <c:v>254.28706828548866</c:v>
                </c:pt>
                <c:pt idx="38">
                  <c:v>251.53939301470527</c:v>
                </c:pt>
                <c:pt idx="39">
                  <c:v>250.62297048835785</c:v>
                </c:pt>
                <c:pt idx="40">
                  <c:v>257.29693860363187</c:v>
                </c:pt>
                <c:pt idx="41">
                  <c:v>262.66871639953735</c:v>
                </c:pt>
                <c:pt idx="42">
                  <c:v>265.83903350008052</c:v>
                </c:pt>
                <c:pt idx="43">
                  <c:v>262.90167862478586</c:v>
                </c:pt>
                <c:pt idx="44">
                  <c:v>267.19424491263845</c:v>
                </c:pt>
                <c:pt idx="45">
                  <c:v>280.12015264024421</c:v>
                </c:pt>
                <c:pt idx="46">
                  <c:v>268.98465651334095</c:v>
                </c:pt>
                <c:pt idx="47">
                  <c:v>270.90494058149415</c:v>
                </c:pt>
                <c:pt idx="48">
                  <c:v>272.22481293990489</c:v>
                </c:pt>
                <c:pt idx="49">
                  <c:v>264.90937884661645</c:v>
                </c:pt>
                <c:pt idx="50">
                  <c:v>264.90382549113548</c:v>
                </c:pt>
                <c:pt idx="51">
                  <c:v>266.53177021219335</c:v>
                </c:pt>
                <c:pt idx="52">
                  <c:v>271.07703800021852</c:v>
                </c:pt>
                <c:pt idx="53">
                  <c:v>277.11674273320909</c:v>
                </c:pt>
                <c:pt idx="54">
                  <c:v>276.95980111194621</c:v>
                </c:pt>
                <c:pt idx="55">
                  <c:v>268.14469564642735</c:v>
                </c:pt>
                <c:pt idx="56">
                  <c:v>271.61971422619831</c:v>
                </c:pt>
                <c:pt idx="57">
                  <c:v>266.66217829693664</c:v>
                </c:pt>
                <c:pt idx="58">
                  <c:v>259.32943006917304</c:v>
                </c:pt>
                <c:pt idx="59">
                  <c:v>257.45406650727881</c:v>
                </c:pt>
                <c:pt idx="60">
                  <c:v>257.47622102121454</c:v>
                </c:pt>
                <c:pt idx="61">
                  <c:v>255.47261395264059</c:v>
                </c:pt>
                <c:pt idx="62">
                  <c:v>247.82687755583811</c:v>
                </c:pt>
                <c:pt idx="63">
                  <c:v>252.84233829704738</c:v>
                </c:pt>
                <c:pt idx="64">
                  <c:v>256.5306639602295</c:v>
                </c:pt>
                <c:pt idx="65">
                  <c:v>257.60439572343665</c:v>
                </c:pt>
                <c:pt idx="66">
                  <c:v>257.68687956447309</c:v>
                </c:pt>
                <c:pt idx="67">
                  <c:v>271.9125861141415</c:v>
                </c:pt>
                <c:pt idx="68">
                  <c:v>274.35529233168262</c:v>
                </c:pt>
                <c:pt idx="69">
                  <c:v>273.26496394385111</c:v>
                </c:pt>
                <c:pt idx="70">
                  <c:v>284.6579683090859</c:v>
                </c:pt>
                <c:pt idx="71">
                  <c:v>285.37954708633765</c:v>
                </c:pt>
                <c:pt idx="72">
                  <c:v>290.39536527041338</c:v>
                </c:pt>
                <c:pt idx="73">
                  <c:v>292.80833730969067</c:v>
                </c:pt>
                <c:pt idx="74">
                  <c:v>296.68870429982513</c:v>
                </c:pt>
                <c:pt idx="75">
                  <c:v>283.6401154560121</c:v>
                </c:pt>
                <c:pt idx="76">
                  <c:v>286.03043422796435</c:v>
                </c:pt>
                <c:pt idx="77">
                  <c:v>271.09110766811125</c:v>
                </c:pt>
                <c:pt idx="78">
                  <c:v>276.55472584346956</c:v>
                </c:pt>
                <c:pt idx="79">
                  <c:v>283.52793005918943</c:v>
                </c:pt>
                <c:pt idx="80">
                  <c:v>277.50590595284643</c:v>
                </c:pt>
                <c:pt idx="81">
                  <c:v>276.21303936555387</c:v>
                </c:pt>
                <c:pt idx="82">
                  <c:v>270.23545902399599</c:v>
                </c:pt>
                <c:pt idx="83">
                  <c:v>262.12169579973829</c:v>
                </c:pt>
                <c:pt idx="84">
                  <c:v>260.83687970439553</c:v>
                </c:pt>
                <c:pt idx="85">
                  <c:v>268.78374785464348</c:v>
                </c:pt>
                <c:pt idx="86">
                  <c:v>276.12064061599938</c:v>
                </c:pt>
                <c:pt idx="87">
                  <c:v>268.80359242628299</c:v>
                </c:pt>
                <c:pt idx="88">
                  <c:v>277.53682163421604</c:v>
                </c:pt>
                <c:pt idx="89">
                  <c:v>275.54547362255556</c:v>
                </c:pt>
                <c:pt idx="90">
                  <c:v>279.41152545631877</c:v>
                </c:pt>
                <c:pt idx="91">
                  <c:v>276.59605833386269</c:v>
                </c:pt>
                <c:pt idx="92">
                  <c:v>287.54398677938633</c:v>
                </c:pt>
                <c:pt idx="93">
                  <c:v>284.99846530471081</c:v>
                </c:pt>
                <c:pt idx="94">
                  <c:v>281.59582667085107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CD41-094C-BCDC-8807F586F36B}"/>
            </c:ext>
          </c:extLst>
        </c:ser>
        <c:ser>
          <c:idx val="44"/>
          <c:order val="44"/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frozen'!$E$46:$CU$46</c:f>
              <c:numCache>
                <c:formatCode>General</c:formatCode>
                <c:ptCount val="95"/>
                <c:pt idx="0">
                  <c:v>222.13</c:v>
                </c:pt>
                <c:pt idx="1">
                  <c:v>227.86114076688162</c:v>
                </c:pt>
                <c:pt idx="2">
                  <c:v>219.32374689965036</c:v>
                </c:pt>
                <c:pt idx="3">
                  <c:v>212.17947430293034</c:v>
                </c:pt>
                <c:pt idx="4">
                  <c:v>214.49994888517662</c:v>
                </c:pt>
                <c:pt idx="5">
                  <c:v>217.2749444885757</c:v>
                </c:pt>
                <c:pt idx="6">
                  <c:v>213.70885362601888</c:v>
                </c:pt>
                <c:pt idx="7">
                  <c:v>199.56762456383365</c:v>
                </c:pt>
                <c:pt idx="8">
                  <c:v>200.72700766470143</c:v>
                </c:pt>
                <c:pt idx="9">
                  <c:v>207.3939171419027</c:v>
                </c:pt>
                <c:pt idx="10">
                  <c:v>201.75050238536434</c:v>
                </c:pt>
                <c:pt idx="11">
                  <c:v>198.30355540627215</c:v>
                </c:pt>
                <c:pt idx="12">
                  <c:v>196.81687798767152</c:v>
                </c:pt>
                <c:pt idx="13">
                  <c:v>196.65785092206229</c:v>
                </c:pt>
                <c:pt idx="14">
                  <c:v>198.70950498717048</c:v>
                </c:pt>
                <c:pt idx="15">
                  <c:v>197.88931510305429</c:v>
                </c:pt>
                <c:pt idx="16">
                  <c:v>192.38143891346715</c:v>
                </c:pt>
                <c:pt idx="17">
                  <c:v>183.50700108760634</c:v>
                </c:pt>
                <c:pt idx="18">
                  <c:v>185.23296095587901</c:v>
                </c:pt>
                <c:pt idx="19">
                  <c:v>179.43524045886147</c:v>
                </c:pt>
                <c:pt idx="20">
                  <c:v>177.98476554583959</c:v>
                </c:pt>
                <c:pt idx="21">
                  <c:v>181.93809003846761</c:v>
                </c:pt>
                <c:pt idx="22">
                  <c:v>183.27220588409304</c:v>
                </c:pt>
                <c:pt idx="23">
                  <c:v>182.22537140855752</c:v>
                </c:pt>
                <c:pt idx="24">
                  <c:v>180.7109388707083</c:v>
                </c:pt>
                <c:pt idx="25">
                  <c:v>181.92793201653367</c:v>
                </c:pt>
                <c:pt idx="26">
                  <c:v>183.77021502142867</c:v>
                </c:pt>
                <c:pt idx="27">
                  <c:v>187.42027321840641</c:v>
                </c:pt>
                <c:pt idx="28">
                  <c:v>187.599630279058</c:v>
                </c:pt>
                <c:pt idx="29">
                  <c:v>187.38111867215278</c:v>
                </c:pt>
                <c:pt idx="30">
                  <c:v>180.31923326806111</c:v>
                </c:pt>
                <c:pt idx="31">
                  <c:v>175.83022006534392</c:v>
                </c:pt>
                <c:pt idx="32">
                  <c:v>179.9793787376455</c:v>
                </c:pt>
                <c:pt idx="33">
                  <c:v>183.00960737100209</c:v>
                </c:pt>
                <c:pt idx="34">
                  <c:v>186.22368539404994</c:v>
                </c:pt>
                <c:pt idx="35">
                  <c:v>188.14753399543997</c:v>
                </c:pt>
                <c:pt idx="36">
                  <c:v>184.95984586379339</c:v>
                </c:pt>
                <c:pt idx="37">
                  <c:v>183.28283541937853</c:v>
                </c:pt>
                <c:pt idx="38">
                  <c:v>184.28034512412904</c:v>
                </c:pt>
                <c:pt idx="39">
                  <c:v>179.67331862373638</c:v>
                </c:pt>
                <c:pt idx="40">
                  <c:v>186.03251375580587</c:v>
                </c:pt>
                <c:pt idx="41">
                  <c:v>181.48271943151218</c:v>
                </c:pt>
                <c:pt idx="42">
                  <c:v>183.17379448989163</c:v>
                </c:pt>
                <c:pt idx="43">
                  <c:v>182.61047299278576</c:v>
                </c:pt>
                <c:pt idx="44">
                  <c:v>180.14683724087769</c:v>
                </c:pt>
                <c:pt idx="45">
                  <c:v>184.33438052025056</c:v>
                </c:pt>
                <c:pt idx="46">
                  <c:v>185.31492834170419</c:v>
                </c:pt>
                <c:pt idx="47">
                  <c:v>187.10925793034929</c:v>
                </c:pt>
                <c:pt idx="48">
                  <c:v>191.47321229602352</c:v>
                </c:pt>
                <c:pt idx="49">
                  <c:v>189.1113269134263</c:v>
                </c:pt>
                <c:pt idx="50">
                  <c:v>185.78233368226142</c:v>
                </c:pt>
                <c:pt idx="51">
                  <c:v>183.57011431666504</c:v>
                </c:pt>
                <c:pt idx="52">
                  <c:v>174.95062741113927</c:v>
                </c:pt>
                <c:pt idx="53">
                  <c:v>172.41151718296319</c:v>
                </c:pt>
                <c:pt idx="54">
                  <c:v>181.39565922792457</c:v>
                </c:pt>
                <c:pt idx="55">
                  <c:v>179.66228038299337</c:v>
                </c:pt>
                <c:pt idx="56">
                  <c:v>172.00955523278361</c:v>
                </c:pt>
                <c:pt idx="57">
                  <c:v>177.07790418644061</c:v>
                </c:pt>
                <c:pt idx="58">
                  <c:v>177.54069349886677</c:v>
                </c:pt>
                <c:pt idx="59">
                  <c:v>177.17562177500943</c:v>
                </c:pt>
                <c:pt idx="60">
                  <c:v>176.4525877478346</c:v>
                </c:pt>
                <c:pt idx="61">
                  <c:v>182.17940471752476</c:v>
                </c:pt>
                <c:pt idx="62">
                  <c:v>189.3377976683052</c:v>
                </c:pt>
                <c:pt idx="63">
                  <c:v>191.47918795213243</c:v>
                </c:pt>
                <c:pt idx="64">
                  <c:v>197.54761630151904</c:v>
                </c:pt>
                <c:pt idx="65">
                  <c:v>201.79988813249582</c:v>
                </c:pt>
                <c:pt idx="66">
                  <c:v>198.61029760536834</c:v>
                </c:pt>
                <c:pt idx="67">
                  <c:v>196.15440581374722</c:v>
                </c:pt>
                <c:pt idx="68">
                  <c:v>200.1315454252491</c:v>
                </c:pt>
                <c:pt idx="69">
                  <c:v>204.60445871581314</c:v>
                </c:pt>
                <c:pt idx="70">
                  <c:v>209.51423311531715</c:v>
                </c:pt>
                <c:pt idx="71">
                  <c:v>214.18341538024498</c:v>
                </c:pt>
                <c:pt idx="72">
                  <c:v>200.9027626495955</c:v>
                </c:pt>
                <c:pt idx="73">
                  <c:v>203.4532598229267</c:v>
                </c:pt>
                <c:pt idx="74">
                  <c:v>201.17076953000901</c:v>
                </c:pt>
                <c:pt idx="75">
                  <c:v>203.8565512870025</c:v>
                </c:pt>
                <c:pt idx="76">
                  <c:v>208.29813873379979</c:v>
                </c:pt>
                <c:pt idx="77">
                  <c:v>204.60714401698721</c:v>
                </c:pt>
                <c:pt idx="78">
                  <c:v>197.91017424017517</c:v>
                </c:pt>
                <c:pt idx="79">
                  <c:v>201.07141770643133</c:v>
                </c:pt>
                <c:pt idx="80">
                  <c:v>200.13272790079202</c:v>
                </c:pt>
                <c:pt idx="81">
                  <c:v>204.29860072871853</c:v>
                </c:pt>
                <c:pt idx="82">
                  <c:v>215.65018040886579</c:v>
                </c:pt>
                <c:pt idx="83">
                  <c:v>210.68320398740522</c:v>
                </c:pt>
                <c:pt idx="84">
                  <c:v>210.3186056802663</c:v>
                </c:pt>
                <c:pt idx="85">
                  <c:v>202.26095782673588</c:v>
                </c:pt>
                <c:pt idx="86">
                  <c:v>205.81646431521702</c:v>
                </c:pt>
                <c:pt idx="87">
                  <c:v>198.78751110275684</c:v>
                </c:pt>
                <c:pt idx="88">
                  <c:v>194.56990197675492</c:v>
                </c:pt>
                <c:pt idx="89">
                  <c:v>198.35251796908813</c:v>
                </c:pt>
                <c:pt idx="90">
                  <c:v>192.49628023441821</c:v>
                </c:pt>
                <c:pt idx="91">
                  <c:v>194.4761022453298</c:v>
                </c:pt>
                <c:pt idx="92">
                  <c:v>191.86319148785353</c:v>
                </c:pt>
                <c:pt idx="93">
                  <c:v>195.41164475501361</c:v>
                </c:pt>
                <c:pt idx="94">
                  <c:v>194.21280700789083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CD41-094C-BCDC-8807F586F36B}"/>
            </c:ext>
          </c:extLst>
        </c:ser>
        <c:ser>
          <c:idx val="45"/>
          <c:order val="45"/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frozen'!$E$47:$CU$47</c:f>
              <c:numCache>
                <c:formatCode>General</c:formatCode>
                <c:ptCount val="95"/>
                <c:pt idx="0">
                  <c:v>222.13</c:v>
                </c:pt>
                <c:pt idx="1">
                  <c:v>215.62075845009366</c:v>
                </c:pt>
                <c:pt idx="2">
                  <c:v>219.30102263376776</c:v>
                </c:pt>
                <c:pt idx="3">
                  <c:v>216.37360426714469</c:v>
                </c:pt>
                <c:pt idx="4">
                  <c:v>215.89475698619918</c:v>
                </c:pt>
                <c:pt idx="5">
                  <c:v>212.48486129794338</c:v>
                </c:pt>
                <c:pt idx="6">
                  <c:v>223.17510941493683</c:v>
                </c:pt>
                <c:pt idx="7">
                  <c:v>214.62229289660118</c:v>
                </c:pt>
                <c:pt idx="8">
                  <c:v>217.60216261771902</c:v>
                </c:pt>
                <c:pt idx="9">
                  <c:v>222.77054954093572</c:v>
                </c:pt>
                <c:pt idx="10">
                  <c:v>216.27883551722172</c:v>
                </c:pt>
                <c:pt idx="11">
                  <c:v>222.6650981339798</c:v>
                </c:pt>
                <c:pt idx="12">
                  <c:v>219.2486631553636</c:v>
                </c:pt>
                <c:pt idx="13">
                  <c:v>214.39627258226884</c:v>
                </c:pt>
                <c:pt idx="14">
                  <c:v>221.330536794181</c:v>
                </c:pt>
                <c:pt idx="15">
                  <c:v>222.46572004312335</c:v>
                </c:pt>
                <c:pt idx="16">
                  <c:v>225.1784057010554</c:v>
                </c:pt>
                <c:pt idx="17">
                  <c:v>227.85323607439588</c:v>
                </c:pt>
                <c:pt idx="18">
                  <c:v>227.85877192335661</c:v>
                </c:pt>
                <c:pt idx="19">
                  <c:v>232.60376931835327</c:v>
                </c:pt>
                <c:pt idx="20">
                  <c:v>226.70896564823346</c:v>
                </c:pt>
                <c:pt idx="21">
                  <c:v>236.41408411852177</c:v>
                </c:pt>
                <c:pt idx="22">
                  <c:v>238.51259103364143</c:v>
                </c:pt>
                <c:pt idx="23">
                  <c:v>240.33078312983747</c:v>
                </c:pt>
                <c:pt idx="24">
                  <c:v>244.21148250617671</c:v>
                </c:pt>
                <c:pt idx="25">
                  <c:v>237.79975632112362</c:v>
                </c:pt>
                <c:pt idx="26">
                  <c:v>251.18349665623793</c:v>
                </c:pt>
                <c:pt idx="27">
                  <c:v>256.47339568763249</c:v>
                </c:pt>
                <c:pt idx="28">
                  <c:v>259.06404521068845</c:v>
                </c:pt>
                <c:pt idx="29">
                  <c:v>263.26434293237213</c:v>
                </c:pt>
                <c:pt idx="30">
                  <c:v>258.38610547194486</c:v>
                </c:pt>
                <c:pt idx="31">
                  <c:v>258.40157462993437</c:v>
                </c:pt>
                <c:pt idx="32">
                  <c:v>274.25540322518719</c:v>
                </c:pt>
                <c:pt idx="33">
                  <c:v>263.76077970223037</c:v>
                </c:pt>
                <c:pt idx="34">
                  <c:v>255.93849924201473</c:v>
                </c:pt>
                <c:pt idx="35">
                  <c:v>249.12010784091382</c:v>
                </c:pt>
                <c:pt idx="36">
                  <c:v>254.58433778920079</c:v>
                </c:pt>
                <c:pt idx="37">
                  <c:v>249.10294868533302</c:v>
                </c:pt>
                <c:pt idx="38">
                  <c:v>255.62607882137013</c:v>
                </c:pt>
                <c:pt idx="39">
                  <c:v>260.45830031648171</c:v>
                </c:pt>
                <c:pt idx="40">
                  <c:v>268.48345775397695</c:v>
                </c:pt>
                <c:pt idx="41">
                  <c:v>261.99169044919921</c:v>
                </c:pt>
                <c:pt idx="42">
                  <c:v>273.96767256796181</c:v>
                </c:pt>
                <c:pt idx="43">
                  <c:v>267.89276669338898</c:v>
                </c:pt>
                <c:pt idx="44">
                  <c:v>264.76015433028221</c:v>
                </c:pt>
                <c:pt idx="45">
                  <c:v>259.35850684146027</c:v>
                </c:pt>
                <c:pt idx="46">
                  <c:v>267.34380037417128</c:v>
                </c:pt>
                <c:pt idx="47">
                  <c:v>273.776576851556</c:v>
                </c:pt>
                <c:pt idx="48">
                  <c:v>266.89218173212618</c:v>
                </c:pt>
                <c:pt idx="49">
                  <c:v>264.1828049328098</c:v>
                </c:pt>
                <c:pt idx="50">
                  <c:v>256.98219221506514</c:v>
                </c:pt>
                <c:pt idx="51">
                  <c:v>250.97248142454808</c:v>
                </c:pt>
                <c:pt idx="52">
                  <c:v>248.95414195735538</c:v>
                </c:pt>
                <c:pt idx="53">
                  <c:v>250.37723225181153</c:v>
                </c:pt>
                <c:pt idx="54">
                  <c:v>247.99840735585806</c:v>
                </c:pt>
                <c:pt idx="55">
                  <c:v>245.04802521527756</c:v>
                </c:pt>
                <c:pt idx="56">
                  <c:v>246.37716919778066</c:v>
                </c:pt>
                <c:pt idx="57">
                  <c:v>244.52923875892392</c:v>
                </c:pt>
                <c:pt idx="58">
                  <c:v>233.57630993264769</c:v>
                </c:pt>
                <c:pt idx="59">
                  <c:v>232.6594254949751</c:v>
                </c:pt>
                <c:pt idx="60">
                  <c:v>236.28000363049583</c:v>
                </c:pt>
                <c:pt idx="61">
                  <c:v>231.64625415884032</c:v>
                </c:pt>
                <c:pt idx="62">
                  <c:v>235.51416133281475</c:v>
                </c:pt>
                <c:pt idx="63">
                  <c:v>235.81082961641894</c:v>
                </c:pt>
                <c:pt idx="64">
                  <c:v>239.00328558352828</c:v>
                </c:pt>
                <c:pt idx="65">
                  <c:v>229.5278554912864</c:v>
                </c:pt>
                <c:pt idx="66">
                  <c:v>236.53127839341542</c:v>
                </c:pt>
                <c:pt idx="67">
                  <c:v>232.26646267458881</c:v>
                </c:pt>
                <c:pt idx="68">
                  <c:v>224.3450688877422</c:v>
                </c:pt>
                <c:pt idx="69">
                  <c:v>220.57988531229896</c:v>
                </c:pt>
                <c:pt idx="70">
                  <c:v>229.68044482761579</c:v>
                </c:pt>
                <c:pt idx="71">
                  <c:v>238.5118563196126</c:v>
                </c:pt>
                <c:pt idx="72">
                  <c:v>233.47688153456875</c:v>
                </c:pt>
                <c:pt idx="73">
                  <c:v>229.29715731360758</c:v>
                </c:pt>
                <c:pt idx="74">
                  <c:v>230.66127764608839</c:v>
                </c:pt>
                <c:pt idx="75">
                  <c:v>234.77747918211784</c:v>
                </c:pt>
                <c:pt idx="76">
                  <c:v>233.61657497130645</c:v>
                </c:pt>
                <c:pt idx="77">
                  <c:v>231.78891751307469</c:v>
                </c:pt>
                <c:pt idx="78">
                  <c:v>236.02422781104167</c:v>
                </c:pt>
                <c:pt idx="79">
                  <c:v>229.23442489758546</c:v>
                </c:pt>
                <c:pt idx="80">
                  <c:v>235.99587597359945</c:v>
                </c:pt>
                <c:pt idx="81">
                  <c:v>233.50881798686513</c:v>
                </c:pt>
                <c:pt idx="82">
                  <c:v>230.1836333740637</c:v>
                </c:pt>
                <c:pt idx="83">
                  <c:v>232.13407677270652</c:v>
                </c:pt>
                <c:pt idx="84">
                  <c:v>222.07979425072938</c:v>
                </c:pt>
                <c:pt idx="85">
                  <c:v>213.33390458606939</c:v>
                </c:pt>
                <c:pt idx="86">
                  <c:v>223.06380805402827</c:v>
                </c:pt>
                <c:pt idx="87">
                  <c:v>223.57888386813778</c:v>
                </c:pt>
                <c:pt idx="88">
                  <c:v>223.41672093695539</c:v>
                </c:pt>
                <c:pt idx="89">
                  <c:v>222.42531139172766</c:v>
                </c:pt>
                <c:pt idx="90">
                  <c:v>227.61131148105636</c:v>
                </c:pt>
                <c:pt idx="91">
                  <c:v>231.53477558677056</c:v>
                </c:pt>
                <c:pt idx="92">
                  <c:v>235.28265417166136</c:v>
                </c:pt>
                <c:pt idx="93">
                  <c:v>228.80197250925318</c:v>
                </c:pt>
                <c:pt idx="94">
                  <c:v>228.17877025782408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CD41-094C-BCDC-8807F586F36B}"/>
            </c:ext>
          </c:extLst>
        </c:ser>
        <c:ser>
          <c:idx val="46"/>
          <c:order val="46"/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frozen'!$E$48:$CU$48</c:f>
              <c:numCache>
                <c:formatCode>General</c:formatCode>
                <c:ptCount val="95"/>
                <c:pt idx="0">
                  <c:v>222.13</c:v>
                </c:pt>
                <c:pt idx="1">
                  <c:v>218.05350118490219</c:v>
                </c:pt>
                <c:pt idx="2">
                  <c:v>227.75861277762169</c:v>
                </c:pt>
                <c:pt idx="3">
                  <c:v>223.92774461971425</c:v>
                </c:pt>
                <c:pt idx="4">
                  <c:v>226.51608454254682</c:v>
                </c:pt>
                <c:pt idx="5">
                  <c:v>230.52433055966765</c:v>
                </c:pt>
                <c:pt idx="6">
                  <c:v>233.29874500332431</c:v>
                </c:pt>
                <c:pt idx="7">
                  <c:v>235.31333012129926</c:v>
                </c:pt>
                <c:pt idx="8">
                  <c:v>239.32954396863008</c:v>
                </c:pt>
                <c:pt idx="9">
                  <c:v>250.77420271373677</c:v>
                </c:pt>
                <c:pt idx="10">
                  <c:v>252.47488226758307</c:v>
                </c:pt>
                <c:pt idx="11">
                  <c:v>248.57757562823227</c:v>
                </c:pt>
                <c:pt idx="12">
                  <c:v>252.94492214043564</c:v>
                </c:pt>
                <c:pt idx="13">
                  <c:v>263.1390943153433</c:v>
                </c:pt>
                <c:pt idx="14">
                  <c:v>258.26517069244744</c:v>
                </c:pt>
                <c:pt idx="15">
                  <c:v>258.95801728071638</c:v>
                </c:pt>
                <c:pt idx="16">
                  <c:v>254.81537854206209</c:v>
                </c:pt>
                <c:pt idx="17">
                  <c:v>258.93138139523631</c:v>
                </c:pt>
                <c:pt idx="18">
                  <c:v>257.07438099469886</c:v>
                </c:pt>
                <c:pt idx="19">
                  <c:v>265.63761407988198</c:v>
                </c:pt>
                <c:pt idx="20">
                  <c:v>253.14944075281514</c:v>
                </c:pt>
                <c:pt idx="21">
                  <c:v>260.03006573117443</c:v>
                </c:pt>
                <c:pt idx="22">
                  <c:v>265.88911096542063</c:v>
                </c:pt>
                <c:pt idx="23">
                  <c:v>270.5109563956218</c:v>
                </c:pt>
                <c:pt idx="24">
                  <c:v>275.39329842965225</c:v>
                </c:pt>
                <c:pt idx="25">
                  <c:v>269.91263878260469</c:v>
                </c:pt>
                <c:pt idx="26">
                  <c:v>256.98255941351943</c:v>
                </c:pt>
                <c:pt idx="27">
                  <c:v>257.31233158178884</c:v>
                </c:pt>
                <c:pt idx="28">
                  <c:v>261.17260309228868</c:v>
                </c:pt>
                <c:pt idx="29">
                  <c:v>261.70153344465848</c:v>
                </c:pt>
                <c:pt idx="30">
                  <c:v>261.33991005904556</c:v>
                </c:pt>
                <c:pt idx="31">
                  <c:v>263.69081921218105</c:v>
                </c:pt>
                <c:pt idx="32">
                  <c:v>270.17860529955044</c:v>
                </c:pt>
                <c:pt idx="33">
                  <c:v>282.10330149525117</c:v>
                </c:pt>
                <c:pt idx="34">
                  <c:v>293.57768352855231</c:v>
                </c:pt>
                <c:pt idx="35">
                  <c:v>296.42333291669075</c:v>
                </c:pt>
                <c:pt idx="36">
                  <c:v>300.8424079886056</c:v>
                </c:pt>
                <c:pt idx="37">
                  <c:v>292.59726731439724</c:v>
                </c:pt>
                <c:pt idx="38">
                  <c:v>289.44951942794415</c:v>
                </c:pt>
                <c:pt idx="39">
                  <c:v>289.40032727846409</c:v>
                </c:pt>
                <c:pt idx="40">
                  <c:v>292.13406591071833</c:v>
                </c:pt>
                <c:pt idx="41">
                  <c:v>287.26629613223832</c:v>
                </c:pt>
                <c:pt idx="42">
                  <c:v>295.34734345717902</c:v>
                </c:pt>
                <c:pt idx="43">
                  <c:v>301.65856162594059</c:v>
                </c:pt>
                <c:pt idx="44">
                  <c:v>302.47039492488881</c:v>
                </c:pt>
                <c:pt idx="45">
                  <c:v>306.49603916306251</c:v>
                </c:pt>
                <c:pt idx="46">
                  <c:v>298.36863279671564</c:v>
                </c:pt>
                <c:pt idx="47">
                  <c:v>299.32220570228225</c:v>
                </c:pt>
                <c:pt idx="48">
                  <c:v>288.93752415260423</c:v>
                </c:pt>
                <c:pt idx="49">
                  <c:v>283.02677391117271</c:v>
                </c:pt>
                <c:pt idx="50">
                  <c:v>279.14122982783567</c:v>
                </c:pt>
                <c:pt idx="51">
                  <c:v>280.57840010001354</c:v>
                </c:pt>
                <c:pt idx="52">
                  <c:v>294.14822805878327</c:v>
                </c:pt>
                <c:pt idx="53">
                  <c:v>294.20959048142589</c:v>
                </c:pt>
                <c:pt idx="54">
                  <c:v>294.07223608817213</c:v>
                </c:pt>
                <c:pt idx="55">
                  <c:v>287.99452202593272</c:v>
                </c:pt>
                <c:pt idx="56">
                  <c:v>293.38795813470398</c:v>
                </c:pt>
                <c:pt idx="57">
                  <c:v>295.42069205750795</c:v>
                </c:pt>
                <c:pt idx="58">
                  <c:v>283.24293345458779</c:v>
                </c:pt>
                <c:pt idx="59">
                  <c:v>285.17316804115899</c:v>
                </c:pt>
                <c:pt idx="60">
                  <c:v>277.98027159096256</c:v>
                </c:pt>
                <c:pt idx="61">
                  <c:v>279.06911115849891</c:v>
                </c:pt>
                <c:pt idx="62">
                  <c:v>282.46735554832981</c:v>
                </c:pt>
                <c:pt idx="63">
                  <c:v>282.68140875668416</c:v>
                </c:pt>
                <c:pt idx="64">
                  <c:v>276.00139679004053</c:v>
                </c:pt>
                <c:pt idx="65">
                  <c:v>274.40474490495581</c:v>
                </c:pt>
                <c:pt idx="66">
                  <c:v>268.36394691566215</c:v>
                </c:pt>
                <c:pt idx="67">
                  <c:v>274.29172116821263</c:v>
                </c:pt>
                <c:pt idx="68">
                  <c:v>269.64364254685108</c:v>
                </c:pt>
                <c:pt idx="69">
                  <c:v>280.80685635264052</c:v>
                </c:pt>
                <c:pt idx="70">
                  <c:v>264.8650955085613</c:v>
                </c:pt>
                <c:pt idx="71">
                  <c:v>267.0668483364023</c:v>
                </c:pt>
                <c:pt idx="72">
                  <c:v>263.75259073131258</c:v>
                </c:pt>
                <c:pt idx="73">
                  <c:v>264.38894865024679</c:v>
                </c:pt>
                <c:pt idx="74">
                  <c:v>267.11147831485442</c:v>
                </c:pt>
                <c:pt idx="75">
                  <c:v>270.78987007278749</c:v>
                </c:pt>
                <c:pt idx="76">
                  <c:v>272.58996137278831</c:v>
                </c:pt>
                <c:pt idx="77">
                  <c:v>262.89944497380435</c:v>
                </c:pt>
                <c:pt idx="78">
                  <c:v>267.69865290059982</c:v>
                </c:pt>
                <c:pt idx="79">
                  <c:v>270.36404219392642</c:v>
                </c:pt>
                <c:pt idx="80">
                  <c:v>270.72360032908711</c:v>
                </c:pt>
                <c:pt idx="81">
                  <c:v>268.56773761673048</c:v>
                </c:pt>
                <c:pt idx="82">
                  <c:v>266.92486242270405</c:v>
                </c:pt>
                <c:pt idx="83">
                  <c:v>265.26260289339473</c:v>
                </c:pt>
                <c:pt idx="84">
                  <c:v>263.11558303144949</c:v>
                </c:pt>
                <c:pt idx="85">
                  <c:v>261.95030279377761</c:v>
                </c:pt>
                <c:pt idx="86">
                  <c:v>260.10026336379474</c:v>
                </c:pt>
                <c:pt idx="87">
                  <c:v>273.32230095699617</c:v>
                </c:pt>
                <c:pt idx="88">
                  <c:v>281.85889487641077</c:v>
                </c:pt>
                <c:pt idx="89">
                  <c:v>284.868027785702</c:v>
                </c:pt>
                <c:pt idx="90">
                  <c:v>284.60405797372795</c:v>
                </c:pt>
                <c:pt idx="91">
                  <c:v>285.1996975891816</c:v>
                </c:pt>
                <c:pt idx="92">
                  <c:v>276.11340970716873</c:v>
                </c:pt>
                <c:pt idx="93">
                  <c:v>282.39425320906577</c:v>
                </c:pt>
                <c:pt idx="94">
                  <c:v>282.33759049376681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CD41-094C-BCDC-8807F586F36B}"/>
            </c:ext>
          </c:extLst>
        </c:ser>
        <c:ser>
          <c:idx val="47"/>
          <c:order val="47"/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frozen'!$E$49:$CU$49</c:f>
              <c:numCache>
                <c:formatCode>General</c:formatCode>
                <c:ptCount val="95"/>
                <c:pt idx="0">
                  <c:v>222.13</c:v>
                </c:pt>
                <c:pt idx="1">
                  <c:v>222.80078293182052</c:v>
                </c:pt>
                <c:pt idx="2">
                  <c:v>225.52825875169984</c:v>
                </c:pt>
                <c:pt idx="3">
                  <c:v>224.0848295653976</c:v>
                </c:pt>
                <c:pt idx="4">
                  <c:v>225.42486052881867</c:v>
                </c:pt>
                <c:pt idx="5">
                  <c:v>230.31275848002178</c:v>
                </c:pt>
                <c:pt idx="6">
                  <c:v>229.63032783461352</c:v>
                </c:pt>
                <c:pt idx="7">
                  <c:v>235.35267860131944</c:v>
                </c:pt>
                <c:pt idx="8">
                  <c:v>240.82806307323202</c:v>
                </c:pt>
                <c:pt idx="9">
                  <c:v>237.63365559379386</c:v>
                </c:pt>
                <c:pt idx="10">
                  <c:v>240.48820927460019</c:v>
                </c:pt>
                <c:pt idx="11">
                  <c:v>249.06077456778047</c:v>
                </c:pt>
                <c:pt idx="12">
                  <c:v>267.06782884987967</c:v>
                </c:pt>
                <c:pt idx="13">
                  <c:v>266.91454805233121</c:v>
                </c:pt>
                <c:pt idx="14">
                  <c:v>267.61583939280831</c:v>
                </c:pt>
                <c:pt idx="15">
                  <c:v>256.31015135079434</c:v>
                </c:pt>
                <c:pt idx="16">
                  <c:v>263.58185570897626</c:v>
                </c:pt>
                <c:pt idx="17">
                  <c:v>265.49399498555766</c:v>
                </c:pt>
                <c:pt idx="18">
                  <c:v>266.44786951765371</c:v>
                </c:pt>
                <c:pt idx="19">
                  <c:v>254.97411441525389</c:v>
                </c:pt>
                <c:pt idx="20">
                  <c:v>250.03668445699932</c:v>
                </c:pt>
                <c:pt idx="21">
                  <c:v>262.42078921346319</c:v>
                </c:pt>
                <c:pt idx="22">
                  <c:v>268.50431358038713</c:v>
                </c:pt>
                <c:pt idx="23">
                  <c:v>263.19846304565272</c:v>
                </c:pt>
                <c:pt idx="24">
                  <c:v>259.61110451958177</c:v>
                </c:pt>
                <c:pt idx="25">
                  <c:v>259.28968167663044</c:v>
                </c:pt>
                <c:pt idx="26">
                  <c:v>259.33806030215612</c:v>
                </c:pt>
                <c:pt idx="27">
                  <c:v>267.80727174789655</c:v>
                </c:pt>
                <c:pt idx="28">
                  <c:v>262.19922469766141</c:v>
                </c:pt>
                <c:pt idx="29">
                  <c:v>264.28890903128041</c:v>
                </c:pt>
                <c:pt idx="30">
                  <c:v>274.79535032579673</c:v>
                </c:pt>
                <c:pt idx="31">
                  <c:v>269.72506869735105</c:v>
                </c:pt>
                <c:pt idx="32">
                  <c:v>264.49762479025225</c:v>
                </c:pt>
                <c:pt idx="33">
                  <c:v>269.32427448497782</c:v>
                </c:pt>
                <c:pt idx="34">
                  <c:v>267.64450136137242</c:v>
                </c:pt>
                <c:pt idx="35">
                  <c:v>266.65186633723192</c:v>
                </c:pt>
                <c:pt idx="36">
                  <c:v>266.59740415982736</c:v>
                </c:pt>
                <c:pt idx="37">
                  <c:v>266.30860873184565</c:v>
                </c:pt>
                <c:pt idx="38">
                  <c:v>263.23312711150788</c:v>
                </c:pt>
                <c:pt idx="39">
                  <c:v>256.28414285060745</c:v>
                </c:pt>
                <c:pt idx="40">
                  <c:v>254.96809731334926</c:v>
                </c:pt>
                <c:pt idx="41">
                  <c:v>249.79663162931007</c:v>
                </c:pt>
                <c:pt idx="42">
                  <c:v>248.44737579899805</c:v>
                </c:pt>
                <c:pt idx="43">
                  <c:v>254.71153229428361</c:v>
                </c:pt>
                <c:pt idx="44">
                  <c:v>249.69062782068286</c:v>
                </c:pt>
                <c:pt idx="45">
                  <c:v>252.87219742323418</c:v>
                </c:pt>
                <c:pt idx="46">
                  <c:v>250.08729541567527</c:v>
                </c:pt>
                <c:pt idx="47">
                  <c:v>243.74600138185184</c:v>
                </c:pt>
                <c:pt idx="48">
                  <c:v>233.64802043975041</c:v>
                </c:pt>
                <c:pt idx="49">
                  <c:v>230.31731035949275</c:v>
                </c:pt>
                <c:pt idx="50">
                  <c:v>231.34262969800309</c:v>
                </c:pt>
                <c:pt idx="51">
                  <c:v>239.23589018078252</c:v>
                </c:pt>
                <c:pt idx="52">
                  <c:v>228.41281128499281</c:v>
                </c:pt>
                <c:pt idx="53">
                  <c:v>229.90669779674593</c:v>
                </c:pt>
                <c:pt idx="54">
                  <c:v>221.23136979445169</c:v>
                </c:pt>
                <c:pt idx="55">
                  <c:v>222.22257055649726</c:v>
                </c:pt>
                <c:pt idx="56">
                  <c:v>217.48382406053727</c:v>
                </c:pt>
                <c:pt idx="57">
                  <c:v>219.139333167015</c:v>
                </c:pt>
                <c:pt idx="58">
                  <c:v>218.27226608980553</c:v>
                </c:pt>
                <c:pt idx="59">
                  <c:v>225.23127430020631</c:v>
                </c:pt>
                <c:pt idx="60">
                  <c:v>212.77259028856088</c:v>
                </c:pt>
                <c:pt idx="61">
                  <c:v>209.76842986164488</c:v>
                </c:pt>
                <c:pt idx="62">
                  <c:v>209.88063596872757</c:v>
                </c:pt>
                <c:pt idx="63">
                  <c:v>208.66918070363761</c:v>
                </c:pt>
                <c:pt idx="64">
                  <c:v>214.21135925658456</c:v>
                </c:pt>
                <c:pt idx="65">
                  <c:v>213.17326713270262</c:v>
                </c:pt>
                <c:pt idx="66">
                  <c:v>218.16122191156779</c:v>
                </c:pt>
                <c:pt idx="67">
                  <c:v>221.87801119588255</c:v>
                </c:pt>
                <c:pt idx="68">
                  <c:v>222.56895427294819</c:v>
                </c:pt>
                <c:pt idx="69">
                  <c:v>223.70087638338248</c:v>
                </c:pt>
                <c:pt idx="70">
                  <c:v>224.07481952210154</c:v>
                </c:pt>
                <c:pt idx="71">
                  <c:v>224.42620989950413</c:v>
                </c:pt>
                <c:pt idx="72">
                  <c:v>227.39081852317892</c:v>
                </c:pt>
                <c:pt idx="73">
                  <c:v>217.90038188036718</c:v>
                </c:pt>
                <c:pt idx="74">
                  <c:v>234.73999719931783</c:v>
                </c:pt>
                <c:pt idx="75">
                  <c:v>235.53286052669267</c:v>
                </c:pt>
                <c:pt idx="76">
                  <c:v>233.60274567714936</c:v>
                </c:pt>
                <c:pt idx="77">
                  <c:v>232.29336059881302</c:v>
                </c:pt>
                <c:pt idx="78">
                  <c:v>239.04721917140003</c:v>
                </c:pt>
                <c:pt idx="79">
                  <c:v>229.79810873458328</c:v>
                </c:pt>
                <c:pt idx="80">
                  <c:v>231.60062827079193</c:v>
                </c:pt>
                <c:pt idx="81">
                  <c:v>224.40220194757342</c:v>
                </c:pt>
                <c:pt idx="82">
                  <c:v>215.61432896751728</c:v>
                </c:pt>
                <c:pt idx="83">
                  <c:v>213.32795435156666</c:v>
                </c:pt>
                <c:pt idx="84">
                  <c:v>220.16008413738135</c:v>
                </c:pt>
                <c:pt idx="85">
                  <c:v>224.72847208644063</c:v>
                </c:pt>
                <c:pt idx="86">
                  <c:v>226.40618816800256</c:v>
                </c:pt>
                <c:pt idx="87">
                  <c:v>220.68127898046833</c:v>
                </c:pt>
                <c:pt idx="88">
                  <c:v>220.12669232383092</c:v>
                </c:pt>
                <c:pt idx="89">
                  <c:v>226.38280367800002</c:v>
                </c:pt>
                <c:pt idx="90">
                  <c:v>225.98617941060303</c:v>
                </c:pt>
                <c:pt idx="91">
                  <c:v>223.62623243990782</c:v>
                </c:pt>
                <c:pt idx="92">
                  <c:v>227.56362951129037</c:v>
                </c:pt>
                <c:pt idx="93">
                  <c:v>234.76003155028238</c:v>
                </c:pt>
                <c:pt idx="94">
                  <c:v>239.76661201978669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CD41-094C-BCDC-8807F586F36B}"/>
            </c:ext>
          </c:extLst>
        </c:ser>
        <c:ser>
          <c:idx val="48"/>
          <c:order val="48"/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frozen'!$E$50:$CU$50</c:f>
              <c:numCache>
                <c:formatCode>General</c:formatCode>
                <c:ptCount val="95"/>
                <c:pt idx="0">
                  <c:v>222.13</c:v>
                </c:pt>
                <c:pt idx="1">
                  <c:v>227.82118951684413</c:v>
                </c:pt>
                <c:pt idx="2">
                  <c:v>225.88860964394172</c:v>
                </c:pt>
                <c:pt idx="3">
                  <c:v>222.23870768331355</c:v>
                </c:pt>
                <c:pt idx="4">
                  <c:v>222.34712855062656</c:v>
                </c:pt>
                <c:pt idx="5">
                  <c:v>226.29276036637461</c:v>
                </c:pt>
                <c:pt idx="6">
                  <c:v>221.43604818818261</c:v>
                </c:pt>
                <c:pt idx="7">
                  <c:v>222.55103428690123</c:v>
                </c:pt>
                <c:pt idx="8">
                  <c:v>222.53966440410071</c:v>
                </c:pt>
                <c:pt idx="9">
                  <c:v>216.73935417611841</c:v>
                </c:pt>
                <c:pt idx="10">
                  <c:v>215.29821222254037</c:v>
                </c:pt>
                <c:pt idx="11">
                  <c:v>215.75599982521101</c:v>
                </c:pt>
                <c:pt idx="12">
                  <c:v>208.24439333981744</c:v>
                </c:pt>
                <c:pt idx="13">
                  <c:v>204.06606586519436</c:v>
                </c:pt>
                <c:pt idx="14">
                  <c:v>204.9231835000061</c:v>
                </c:pt>
                <c:pt idx="15">
                  <c:v>195.24506530874831</c:v>
                </c:pt>
                <c:pt idx="16">
                  <c:v>193.14133142248994</c:v>
                </c:pt>
                <c:pt idx="17">
                  <c:v>191.903867881542</c:v>
                </c:pt>
                <c:pt idx="18">
                  <c:v>194.82899863721258</c:v>
                </c:pt>
                <c:pt idx="19">
                  <c:v>192.18255191664332</c:v>
                </c:pt>
                <c:pt idx="20">
                  <c:v>194.90042087542545</c:v>
                </c:pt>
                <c:pt idx="21">
                  <c:v>190.00084099524642</c:v>
                </c:pt>
                <c:pt idx="22">
                  <c:v>185.62826968092543</c:v>
                </c:pt>
                <c:pt idx="23">
                  <c:v>191.17207580747504</c:v>
                </c:pt>
                <c:pt idx="24">
                  <c:v>189.56923107701289</c:v>
                </c:pt>
                <c:pt idx="25">
                  <c:v>192.24642392859226</c:v>
                </c:pt>
                <c:pt idx="26">
                  <c:v>191.90453251705088</c:v>
                </c:pt>
                <c:pt idx="27">
                  <c:v>186.35367987177597</c:v>
                </c:pt>
                <c:pt idx="28">
                  <c:v>188.08067440742522</c:v>
                </c:pt>
                <c:pt idx="29">
                  <c:v>183.88486033912491</c:v>
                </c:pt>
                <c:pt idx="30">
                  <c:v>190.18932564418884</c:v>
                </c:pt>
                <c:pt idx="31">
                  <c:v>186.90187751607925</c:v>
                </c:pt>
                <c:pt idx="32">
                  <c:v>186.48781842100868</c:v>
                </c:pt>
                <c:pt idx="33">
                  <c:v>194.24108616884948</c:v>
                </c:pt>
                <c:pt idx="34">
                  <c:v>192.22700265625573</c:v>
                </c:pt>
                <c:pt idx="35">
                  <c:v>189.11427539554111</c:v>
                </c:pt>
                <c:pt idx="36">
                  <c:v>187.7281495635095</c:v>
                </c:pt>
                <c:pt idx="37">
                  <c:v>190.69953050750067</c:v>
                </c:pt>
                <c:pt idx="38">
                  <c:v>184.20832195660967</c:v>
                </c:pt>
                <c:pt idx="39">
                  <c:v>184.56394773800582</c:v>
                </c:pt>
                <c:pt idx="40">
                  <c:v>190.32038565376706</c:v>
                </c:pt>
                <c:pt idx="41">
                  <c:v>182.10991010917223</c:v>
                </c:pt>
                <c:pt idx="42">
                  <c:v>179.21251434328914</c:v>
                </c:pt>
                <c:pt idx="43">
                  <c:v>181.14779881341093</c:v>
                </c:pt>
                <c:pt idx="44">
                  <c:v>180.03540448295684</c:v>
                </c:pt>
                <c:pt idx="45">
                  <c:v>185.33914790678438</c:v>
                </c:pt>
                <c:pt idx="46">
                  <c:v>178.44551708436396</c:v>
                </c:pt>
                <c:pt idx="47">
                  <c:v>177.61141017130689</c:v>
                </c:pt>
                <c:pt idx="48">
                  <c:v>172.04044864092495</c:v>
                </c:pt>
                <c:pt idx="49">
                  <c:v>172.77287993738477</c:v>
                </c:pt>
                <c:pt idx="50">
                  <c:v>172.84765681195861</c:v>
                </c:pt>
                <c:pt idx="51">
                  <c:v>166.39420886967972</c:v>
                </c:pt>
                <c:pt idx="52">
                  <c:v>170.14451910343706</c:v>
                </c:pt>
                <c:pt idx="53">
                  <c:v>174.21597334053905</c:v>
                </c:pt>
                <c:pt idx="54">
                  <c:v>176.04535704804906</c:v>
                </c:pt>
                <c:pt idx="55">
                  <c:v>177.28688023284971</c:v>
                </c:pt>
                <c:pt idx="56">
                  <c:v>173.56524829865108</c:v>
                </c:pt>
                <c:pt idx="57">
                  <c:v>166.96119195127596</c:v>
                </c:pt>
                <c:pt idx="58">
                  <c:v>162.20205501570976</c:v>
                </c:pt>
                <c:pt idx="59">
                  <c:v>165.3026935079852</c:v>
                </c:pt>
                <c:pt idx="60">
                  <c:v>171.06757197889252</c:v>
                </c:pt>
                <c:pt idx="61">
                  <c:v>173.58989151029456</c:v>
                </c:pt>
                <c:pt idx="62">
                  <c:v>175.30802907528846</c:v>
                </c:pt>
                <c:pt idx="63">
                  <c:v>175.81927355176555</c:v>
                </c:pt>
                <c:pt idx="64">
                  <c:v>177.60898884848802</c:v>
                </c:pt>
                <c:pt idx="65">
                  <c:v>176.58316292924826</c:v>
                </c:pt>
                <c:pt idx="66">
                  <c:v>183.96504114066585</c:v>
                </c:pt>
                <c:pt idx="67">
                  <c:v>185.19407421663053</c:v>
                </c:pt>
                <c:pt idx="68">
                  <c:v>187.9118472338462</c:v>
                </c:pt>
                <c:pt idx="69">
                  <c:v>193.4855974682481</c:v>
                </c:pt>
                <c:pt idx="70">
                  <c:v>200.32536708024594</c:v>
                </c:pt>
                <c:pt idx="71">
                  <c:v>198.45237217149182</c:v>
                </c:pt>
                <c:pt idx="72">
                  <c:v>198.97565296270204</c:v>
                </c:pt>
                <c:pt idx="73">
                  <c:v>201.33564462881387</c:v>
                </c:pt>
                <c:pt idx="74">
                  <c:v>205.42206506264782</c:v>
                </c:pt>
                <c:pt idx="75">
                  <c:v>203.91707518127581</c:v>
                </c:pt>
                <c:pt idx="76">
                  <c:v>205.10328896210922</c:v>
                </c:pt>
                <c:pt idx="77">
                  <c:v>195.5417412465786</c:v>
                </c:pt>
                <c:pt idx="78">
                  <c:v>200.76320665591263</c:v>
                </c:pt>
                <c:pt idx="79">
                  <c:v>205.09633664563228</c:v>
                </c:pt>
                <c:pt idx="80">
                  <c:v>200.30784640890403</c:v>
                </c:pt>
                <c:pt idx="81">
                  <c:v>206.08874365444561</c:v>
                </c:pt>
                <c:pt idx="82">
                  <c:v>205.79416337357429</c:v>
                </c:pt>
                <c:pt idx="83">
                  <c:v>202.02505244103125</c:v>
                </c:pt>
                <c:pt idx="84">
                  <c:v>198.74135693789796</c:v>
                </c:pt>
                <c:pt idx="85">
                  <c:v>196.50977421763164</c:v>
                </c:pt>
                <c:pt idx="86">
                  <c:v>196.41606705780191</c:v>
                </c:pt>
                <c:pt idx="87">
                  <c:v>187.49888285851347</c:v>
                </c:pt>
                <c:pt idx="88">
                  <c:v>184.74188869201961</c:v>
                </c:pt>
                <c:pt idx="89">
                  <c:v>191.85105636808345</c:v>
                </c:pt>
                <c:pt idx="90">
                  <c:v>183.59362678441727</c:v>
                </c:pt>
                <c:pt idx="91">
                  <c:v>184.97562676107577</c:v>
                </c:pt>
                <c:pt idx="92">
                  <c:v>180.8834943268044</c:v>
                </c:pt>
                <c:pt idx="93">
                  <c:v>178.40860115312276</c:v>
                </c:pt>
                <c:pt idx="94">
                  <c:v>168.62837611799409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CD41-094C-BCDC-8807F586F36B}"/>
            </c:ext>
          </c:extLst>
        </c:ser>
        <c:ser>
          <c:idx val="49"/>
          <c:order val="49"/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frozen'!$E$51:$CU$51</c:f>
              <c:numCache>
                <c:formatCode>General</c:formatCode>
                <c:ptCount val="95"/>
                <c:pt idx="0">
                  <c:v>222.13</c:v>
                </c:pt>
                <c:pt idx="1">
                  <c:v>223.80255821841499</c:v>
                </c:pt>
                <c:pt idx="2">
                  <c:v>224.73341294203908</c:v>
                </c:pt>
                <c:pt idx="3">
                  <c:v>230.98299807387107</c:v>
                </c:pt>
                <c:pt idx="4">
                  <c:v>235.65879194841338</c:v>
                </c:pt>
                <c:pt idx="5">
                  <c:v>229.92855862965166</c:v>
                </c:pt>
                <c:pt idx="6">
                  <c:v>226.82787128581819</c:v>
                </c:pt>
                <c:pt idx="7">
                  <c:v>222.34459074899104</c:v>
                </c:pt>
                <c:pt idx="8">
                  <c:v>223.16058926731213</c:v>
                </c:pt>
                <c:pt idx="9">
                  <c:v>218.09473502365742</c:v>
                </c:pt>
                <c:pt idx="10">
                  <c:v>218.19139732372085</c:v>
                </c:pt>
                <c:pt idx="11">
                  <c:v>228.47994316412871</c:v>
                </c:pt>
                <c:pt idx="12">
                  <c:v>228.23911335379228</c:v>
                </c:pt>
                <c:pt idx="13">
                  <c:v>225.21038536192731</c:v>
                </c:pt>
                <c:pt idx="14">
                  <c:v>216.44777977791247</c:v>
                </c:pt>
                <c:pt idx="15">
                  <c:v>215.49511682777498</c:v>
                </c:pt>
                <c:pt idx="16">
                  <c:v>213.55945705455701</c:v>
                </c:pt>
                <c:pt idx="17">
                  <c:v>205.70428156446735</c:v>
                </c:pt>
                <c:pt idx="18">
                  <c:v>200.86697144711104</c:v>
                </c:pt>
                <c:pt idx="19">
                  <c:v>195.7014194521887</c:v>
                </c:pt>
                <c:pt idx="20">
                  <c:v>191.94570863231002</c:v>
                </c:pt>
                <c:pt idx="21">
                  <c:v>193.84142212293565</c:v>
                </c:pt>
                <c:pt idx="22">
                  <c:v>198.38147252469994</c:v>
                </c:pt>
                <c:pt idx="23">
                  <c:v>197.2942296075982</c:v>
                </c:pt>
                <c:pt idx="24">
                  <c:v>194.00591363481249</c:v>
                </c:pt>
                <c:pt idx="25">
                  <c:v>190.39292628899037</c:v>
                </c:pt>
                <c:pt idx="26">
                  <c:v>190.18233191160331</c:v>
                </c:pt>
                <c:pt idx="27">
                  <c:v>189.35675679313837</c:v>
                </c:pt>
                <c:pt idx="28">
                  <c:v>190.35106198247152</c:v>
                </c:pt>
                <c:pt idx="29">
                  <c:v>185.02571547424265</c:v>
                </c:pt>
                <c:pt idx="30">
                  <c:v>189.92746460915907</c:v>
                </c:pt>
                <c:pt idx="31">
                  <c:v>194.48776854100217</c:v>
                </c:pt>
                <c:pt idx="32">
                  <c:v>190.65042536727771</c:v>
                </c:pt>
                <c:pt idx="33">
                  <c:v>189.29807045572682</c:v>
                </c:pt>
                <c:pt idx="34">
                  <c:v>194.75410133130839</c:v>
                </c:pt>
                <c:pt idx="35">
                  <c:v>189.06050195663832</c:v>
                </c:pt>
                <c:pt idx="36">
                  <c:v>198.14828276244705</c:v>
                </c:pt>
                <c:pt idx="37">
                  <c:v>196.60679153780151</c:v>
                </c:pt>
                <c:pt idx="38">
                  <c:v>205.19724055301739</c:v>
                </c:pt>
                <c:pt idx="39">
                  <c:v>209.82202589129088</c:v>
                </c:pt>
                <c:pt idx="40">
                  <c:v>206.21162396227834</c:v>
                </c:pt>
                <c:pt idx="41">
                  <c:v>205.73123937672153</c:v>
                </c:pt>
                <c:pt idx="42">
                  <c:v>205.98904296575523</c:v>
                </c:pt>
                <c:pt idx="43">
                  <c:v>204.48748102921166</c:v>
                </c:pt>
                <c:pt idx="44">
                  <c:v>205.90401561490944</c:v>
                </c:pt>
                <c:pt idx="45">
                  <c:v>202.66229068478304</c:v>
                </c:pt>
                <c:pt idx="46">
                  <c:v>193.58969331032219</c:v>
                </c:pt>
                <c:pt idx="47">
                  <c:v>192.99968231943862</c:v>
                </c:pt>
                <c:pt idx="48">
                  <c:v>199.03672893126432</c:v>
                </c:pt>
                <c:pt idx="49">
                  <c:v>196.50930691048683</c:v>
                </c:pt>
                <c:pt idx="50">
                  <c:v>196.82351382996646</c:v>
                </c:pt>
                <c:pt idx="51">
                  <c:v>199.75590535380351</c:v>
                </c:pt>
                <c:pt idx="52">
                  <c:v>207.65310919201218</c:v>
                </c:pt>
                <c:pt idx="53">
                  <c:v>210.53286850859436</c:v>
                </c:pt>
                <c:pt idx="54">
                  <c:v>213.95664880155763</c:v>
                </c:pt>
                <c:pt idx="55">
                  <c:v>209.81729439083875</c:v>
                </c:pt>
                <c:pt idx="56">
                  <c:v>216.12231724695889</c:v>
                </c:pt>
                <c:pt idx="57">
                  <c:v>220.54821867159052</c:v>
                </c:pt>
                <c:pt idx="58">
                  <c:v>223.15263084370534</c:v>
                </c:pt>
                <c:pt idx="59">
                  <c:v>222.54815208357164</c:v>
                </c:pt>
                <c:pt idx="60">
                  <c:v>231.81505439267431</c:v>
                </c:pt>
                <c:pt idx="61">
                  <c:v>232.44490545716042</c:v>
                </c:pt>
                <c:pt idx="62">
                  <c:v>236.13477146466809</c:v>
                </c:pt>
                <c:pt idx="63">
                  <c:v>238.85611785368536</c:v>
                </c:pt>
                <c:pt idx="64">
                  <c:v>233.43526220975872</c:v>
                </c:pt>
                <c:pt idx="65">
                  <c:v>233.71357338211479</c:v>
                </c:pt>
                <c:pt idx="66">
                  <c:v>232.19136059966357</c:v>
                </c:pt>
                <c:pt idx="67">
                  <c:v>228.05841914768297</c:v>
                </c:pt>
                <c:pt idx="68">
                  <c:v>220.34625986747847</c:v>
                </c:pt>
                <c:pt idx="69">
                  <c:v>216.72771251071777</c:v>
                </c:pt>
                <c:pt idx="70">
                  <c:v>220.68930402470531</c:v>
                </c:pt>
                <c:pt idx="71">
                  <c:v>225.01380515985383</c:v>
                </c:pt>
                <c:pt idx="72">
                  <c:v>228.74544950489863</c:v>
                </c:pt>
                <c:pt idx="73">
                  <c:v>236.99581129779227</c:v>
                </c:pt>
                <c:pt idx="74">
                  <c:v>248.17781964302043</c:v>
                </c:pt>
                <c:pt idx="75">
                  <c:v>253.9011689267181</c:v>
                </c:pt>
                <c:pt idx="76">
                  <c:v>251.21680571452538</c:v>
                </c:pt>
                <c:pt idx="77">
                  <c:v>257.50069576241236</c:v>
                </c:pt>
                <c:pt idx="78">
                  <c:v>263.34197455476055</c:v>
                </c:pt>
                <c:pt idx="79">
                  <c:v>267.58005366743737</c:v>
                </c:pt>
                <c:pt idx="80">
                  <c:v>272.62633719808616</c:v>
                </c:pt>
                <c:pt idx="81">
                  <c:v>274.02993187564402</c:v>
                </c:pt>
                <c:pt idx="82">
                  <c:v>277.48890495758258</c:v>
                </c:pt>
                <c:pt idx="83">
                  <c:v>274.00891874563672</c:v>
                </c:pt>
                <c:pt idx="84">
                  <c:v>278.36945044184358</c:v>
                </c:pt>
                <c:pt idx="85">
                  <c:v>283.22795727274251</c:v>
                </c:pt>
                <c:pt idx="86">
                  <c:v>289.65462383440115</c:v>
                </c:pt>
                <c:pt idx="87">
                  <c:v>279.70529153022051</c:v>
                </c:pt>
                <c:pt idx="88">
                  <c:v>286.23544717150099</c:v>
                </c:pt>
                <c:pt idx="89">
                  <c:v>282.35735915968422</c:v>
                </c:pt>
                <c:pt idx="90">
                  <c:v>283.53429019765582</c:v>
                </c:pt>
                <c:pt idx="91">
                  <c:v>282.07581720165996</c:v>
                </c:pt>
                <c:pt idx="92">
                  <c:v>282.60860469622804</c:v>
                </c:pt>
                <c:pt idx="93">
                  <c:v>285.21829636663676</c:v>
                </c:pt>
                <c:pt idx="94">
                  <c:v>283.16468749251351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CD41-094C-BCDC-8807F586F36B}"/>
            </c:ext>
          </c:extLst>
        </c:ser>
        <c:ser>
          <c:idx val="50"/>
          <c:order val="50"/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frozen'!$E$52:$CU$52</c:f>
              <c:numCache>
                <c:formatCode>General</c:formatCode>
                <c:ptCount val="95"/>
                <c:pt idx="0">
                  <c:v>222.13</c:v>
                </c:pt>
                <c:pt idx="1">
                  <c:v>220.58623643807266</c:v>
                </c:pt>
                <c:pt idx="2">
                  <c:v>224.41299318379643</c:v>
                </c:pt>
                <c:pt idx="3">
                  <c:v>225.24241946685422</c:v>
                </c:pt>
                <c:pt idx="4">
                  <c:v>226.69816776304651</c:v>
                </c:pt>
                <c:pt idx="5">
                  <c:v>224.63368222645553</c:v>
                </c:pt>
                <c:pt idx="6">
                  <c:v>228.64737475559556</c:v>
                </c:pt>
                <c:pt idx="7">
                  <c:v>228.33353080852604</c:v>
                </c:pt>
                <c:pt idx="8">
                  <c:v>223.31880780987328</c:v>
                </c:pt>
                <c:pt idx="9">
                  <c:v>219.68433498089769</c:v>
                </c:pt>
                <c:pt idx="10">
                  <c:v>216.51617556945766</c:v>
                </c:pt>
                <c:pt idx="11">
                  <c:v>217.15308385662772</c:v>
                </c:pt>
                <c:pt idx="12">
                  <c:v>222.55115680305499</c:v>
                </c:pt>
                <c:pt idx="13">
                  <c:v>221.7831254911693</c:v>
                </c:pt>
                <c:pt idx="14">
                  <c:v>227.43790222149141</c:v>
                </c:pt>
                <c:pt idx="15">
                  <c:v>229.35980539969157</c:v>
                </c:pt>
                <c:pt idx="16">
                  <c:v>227.23474028829364</c:v>
                </c:pt>
                <c:pt idx="17">
                  <c:v>223.81217351910939</c:v>
                </c:pt>
                <c:pt idx="18">
                  <c:v>213.3685322244109</c:v>
                </c:pt>
                <c:pt idx="19">
                  <c:v>219.09845664452098</c:v>
                </c:pt>
                <c:pt idx="20">
                  <c:v>210.51076552830111</c:v>
                </c:pt>
                <c:pt idx="21">
                  <c:v>211.72063330468899</c:v>
                </c:pt>
                <c:pt idx="22">
                  <c:v>210.42998571809161</c:v>
                </c:pt>
                <c:pt idx="23">
                  <c:v>212.17115553506994</c:v>
                </c:pt>
                <c:pt idx="24">
                  <c:v>214.80254107971672</c:v>
                </c:pt>
                <c:pt idx="25">
                  <c:v>214.11371291151414</c:v>
                </c:pt>
                <c:pt idx="26">
                  <c:v>220.09810242238339</c:v>
                </c:pt>
                <c:pt idx="27">
                  <c:v>217.54844351152909</c:v>
                </c:pt>
                <c:pt idx="28">
                  <c:v>212.63238912387354</c:v>
                </c:pt>
                <c:pt idx="29">
                  <c:v>222.62274909202017</c:v>
                </c:pt>
                <c:pt idx="30">
                  <c:v>221.83354867779428</c:v>
                </c:pt>
                <c:pt idx="31">
                  <c:v>223.46348897532093</c:v>
                </c:pt>
                <c:pt idx="32">
                  <c:v>215.10317854047327</c:v>
                </c:pt>
                <c:pt idx="33">
                  <c:v>214.80592940708721</c:v>
                </c:pt>
                <c:pt idx="34">
                  <c:v>212.76224287057298</c:v>
                </c:pt>
                <c:pt idx="35">
                  <c:v>211.49016966412714</c:v>
                </c:pt>
                <c:pt idx="36">
                  <c:v>198.13781566235721</c:v>
                </c:pt>
                <c:pt idx="37">
                  <c:v>191.52124660864391</c:v>
                </c:pt>
                <c:pt idx="38">
                  <c:v>189.2250005866203</c:v>
                </c:pt>
                <c:pt idx="39">
                  <c:v>184.05967722119399</c:v>
                </c:pt>
                <c:pt idx="40">
                  <c:v>191.21947739296115</c:v>
                </c:pt>
                <c:pt idx="41">
                  <c:v>196.56579244347029</c:v>
                </c:pt>
                <c:pt idx="42">
                  <c:v>195.79588721504845</c:v>
                </c:pt>
                <c:pt idx="43">
                  <c:v>193.63836076886511</c:v>
                </c:pt>
                <c:pt idx="44">
                  <c:v>195.0377486766167</c:v>
                </c:pt>
                <c:pt idx="45">
                  <c:v>188.19715867462125</c:v>
                </c:pt>
                <c:pt idx="46">
                  <c:v>196.94272534734597</c:v>
                </c:pt>
                <c:pt idx="47">
                  <c:v>195.18522321490352</c:v>
                </c:pt>
                <c:pt idx="48">
                  <c:v>193.69238662329573</c:v>
                </c:pt>
                <c:pt idx="49">
                  <c:v>193.27207581836171</c:v>
                </c:pt>
                <c:pt idx="50">
                  <c:v>187.56639734882754</c:v>
                </c:pt>
                <c:pt idx="51">
                  <c:v>187.57312421342758</c:v>
                </c:pt>
                <c:pt idx="52">
                  <c:v>188.61583303186691</c:v>
                </c:pt>
                <c:pt idx="53">
                  <c:v>189.16784458575111</c:v>
                </c:pt>
                <c:pt idx="54">
                  <c:v>195.29132725954597</c:v>
                </c:pt>
                <c:pt idx="55">
                  <c:v>189.489127354891</c:v>
                </c:pt>
                <c:pt idx="56">
                  <c:v>190.88113911086998</c:v>
                </c:pt>
                <c:pt idx="57">
                  <c:v>193.83549506054777</c:v>
                </c:pt>
                <c:pt idx="58">
                  <c:v>188.20821686874305</c:v>
                </c:pt>
                <c:pt idx="59">
                  <c:v>193.08177371187003</c:v>
                </c:pt>
                <c:pt idx="60">
                  <c:v>194.53599052946123</c:v>
                </c:pt>
                <c:pt idx="61">
                  <c:v>196.27331789164188</c:v>
                </c:pt>
                <c:pt idx="62">
                  <c:v>195.06607120420441</c:v>
                </c:pt>
                <c:pt idx="63">
                  <c:v>188.68874761881989</c:v>
                </c:pt>
                <c:pt idx="64">
                  <c:v>190.27088797879472</c:v>
                </c:pt>
                <c:pt idx="65">
                  <c:v>183.1401606102423</c:v>
                </c:pt>
                <c:pt idx="66">
                  <c:v>183.85307718995543</c:v>
                </c:pt>
                <c:pt idx="67">
                  <c:v>181.23398550864164</c:v>
                </c:pt>
                <c:pt idx="68">
                  <c:v>179.44327330416866</c:v>
                </c:pt>
                <c:pt idx="69">
                  <c:v>181.25542960078573</c:v>
                </c:pt>
                <c:pt idx="70">
                  <c:v>173.16482725391847</c:v>
                </c:pt>
                <c:pt idx="71">
                  <c:v>162.8351686064203</c:v>
                </c:pt>
                <c:pt idx="72">
                  <c:v>161.67772716022284</c:v>
                </c:pt>
                <c:pt idx="73">
                  <c:v>158.75295361939121</c:v>
                </c:pt>
                <c:pt idx="74">
                  <c:v>160.27174297183109</c:v>
                </c:pt>
                <c:pt idx="75">
                  <c:v>154.75569686390349</c:v>
                </c:pt>
                <c:pt idx="76">
                  <c:v>156.38284518511026</c:v>
                </c:pt>
                <c:pt idx="77">
                  <c:v>158.56976890391132</c:v>
                </c:pt>
                <c:pt idx="78">
                  <c:v>161.2915108898095</c:v>
                </c:pt>
                <c:pt idx="79">
                  <c:v>159.41710605624877</c:v>
                </c:pt>
                <c:pt idx="80">
                  <c:v>157.88492784346849</c:v>
                </c:pt>
                <c:pt idx="81">
                  <c:v>160.01916765241654</c:v>
                </c:pt>
                <c:pt idx="82">
                  <c:v>156.65954352678182</c:v>
                </c:pt>
                <c:pt idx="83">
                  <c:v>162.96033929298881</c:v>
                </c:pt>
                <c:pt idx="84">
                  <c:v>159.3219696447122</c:v>
                </c:pt>
                <c:pt idx="85">
                  <c:v>159.8592766951478</c:v>
                </c:pt>
                <c:pt idx="86">
                  <c:v>160.44288175634853</c:v>
                </c:pt>
                <c:pt idx="87">
                  <c:v>158.71946658582698</c:v>
                </c:pt>
                <c:pt idx="88">
                  <c:v>151.98722120916304</c:v>
                </c:pt>
                <c:pt idx="89">
                  <c:v>150.09461206841476</c:v>
                </c:pt>
                <c:pt idx="90">
                  <c:v>146.90091618314565</c:v>
                </c:pt>
                <c:pt idx="91">
                  <c:v>151.16721248231056</c:v>
                </c:pt>
                <c:pt idx="92">
                  <c:v>154.80557741800754</c:v>
                </c:pt>
                <c:pt idx="93">
                  <c:v>153.8693135532337</c:v>
                </c:pt>
                <c:pt idx="94">
                  <c:v>147.56389399638425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CD41-094C-BCDC-8807F586F36B}"/>
            </c:ext>
          </c:extLst>
        </c:ser>
        <c:ser>
          <c:idx val="51"/>
          <c:order val="51"/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frozen'!$E$53:$CU$53</c:f>
              <c:numCache>
                <c:formatCode>General</c:formatCode>
                <c:ptCount val="95"/>
                <c:pt idx="0">
                  <c:v>222.13</c:v>
                </c:pt>
                <c:pt idx="1">
                  <c:v>218.00695087830795</c:v>
                </c:pt>
                <c:pt idx="2">
                  <c:v>208.62779821753446</c:v>
                </c:pt>
                <c:pt idx="3">
                  <c:v>210.32595728736894</c:v>
                </c:pt>
                <c:pt idx="4">
                  <c:v>206.93599330416623</c:v>
                </c:pt>
                <c:pt idx="5">
                  <c:v>210.13956211105483</c:v>
                </c:pt>
                <c:pt idx="6">
                  <c:v>211.66144142133101</c:v>
                </c:pt>
                <c:pt idx="7">
                  <c:v>218.78026921305516</c:v>
                </c:pt>
                <c:pt idx="8">
                  <c:v>216.94973044547893</c:v>
                </c:pt>
                <c:pt idx="9">
                  <c:v>211.59042338185859</c:v>
                </c:pt>
                <c:pt idx="10">
                  <c:v>209.39238573825844</c:v>
                </c:pt>
                <c:pt idx="11">
                  <c:v>208.21228155412999</c:v>
                </c:pt>
                <c:pt idx="12">
                  <c:v>215.17084282517931</c:v>
                </c:pt>
                <c:pt idx="13">
                  <c:v>214.79589862679785</c:v>
                </c:pt>
                <c:pt idx="14">
                  <c:v>219.93395386202997</c:v>
                </c:pt>
                <c:pt idx="15">
                  <c:v>217.17764204753996</c:v>
                </c:pt>
                <c:pt idx="16">
                  <c:v>217.30080825742718</c:v>
                </c:pt>
                <c:pt idx="17">
                  <c:v>213.11200667817482</c:v>
                </c:pt>
                <c:pt idx="18">
                  <c:v>208.49668460200877</c:v>
                </c:pt>
                <c:pt idx="19">
                  <c:v>215.73134128430885</c:v>
                </c:pt>
                <c:pt idx="20">
                  <c:v>215.42657847648741</c:v>
                </c:pt>
                <c:pt idx="21">
                  <c:v>224.57768052084441</c:v>
                </c:pt>
                <c:pt idx="22">
                  <c:v>225.35928829751077</c:v>
                </c:pt>
                <c:pt idx="23">
                  <c:v>227.76711957352617</c:v>
                </c:pt>
                <c:pt idx="24">
                  <c:v>228.77954077132202</c:v>
                </c:pt>
                <c:pt idx="25">
                  <c:v>224.76875243936945</c:v>
                </c:pt>
                <c:pt idx="26">
                  <c:v>228.85077473397814</c:v>
                </c:pt>
                <c:pt idx="27">
                  <c:v>228.42039895213833</c:v>
                </c:pt>
                <c:pt idx="28">
                  <c:v>220.97240550080147</c:v>
                </c:pt>
                <c:pt idx="29">
                  <c:v>226.62490091608109</c:v>
                </c:pt>
                <c:pt idx="30">
                  <c:v>224.0852687719433</c:v>
                </c:pt>
                <c:pt idx="31">
                  <c:v>221.28979504823539</c:v>
                </c:pt>
                <c:pt idx="32">
                  <c:v>220.66355705658745</c:v>
                </c:pt>
                <c:pt idx="33">
                  <c:v>213.59498734540438</c:v>
                </c:pt>
                <c:pt idx="34">
                  <c:v>214.51920691120958</c:v>
                </c:pt>
                <c:pt idx="35">
                  <c:v>214.42578959439999</c:v>
                </c:pt>
                <c:pt idx="36">
                  <c:v>211.48822825436977</c:v>
                </c:pt>
                <c:pt idx="37">
                  <c:v>206.89093443808201</c:v>
                </c:pt>
                <c:pt idx="38">
                  <c:v>207.39531127746724</c:v>
                </c:pt>
                <c:pt idx="39">
                  <c:v>198.22684839369759</c:v>
                </c:pt>
                <c:pt idx="40">
                  <c:v>204.88172065079698</c:v>
                </c:pt>
                <c:pt idx="41">
                  <c:v>199.95256029677475</c:v>
                </c:pt>
                <c:pt idx="42">
                  <c:v>198.13758669543819</c:v>
                </c:pt>
                <c:pt idx="43">
                  <c:v>197.39218404770119</c:v>
                </c:pt>
                <c:pt idx="44">
                  <c:v>199.31999510848195</c:v>
                </c:pt>
                <c:pt idx="45">
                  <c:v>201.8757055007265</c:v>
                </c:pt>
                <c:pt idx="46">
                  <c:v>202.54330446083617</c:v>
                </c:pt>
                <c:pt idx="47">
                  <c:v>205.43679081666014</c:v>
                </c:pt>
                <c:pt idx="48">
                  <c:v>217.92811939229472</c:v>
                </c:pt>
                <c:pt idx="49">
                  <c:v>220.04795990189518</c:v>
                </c:pt>
                <c:pt idx="50">
                  <c:v>224.17196805451044</c:v>
                </c:pt>
                <c:pt idx="51">
                  <c:v>222.61032017161281</c:v>
                </c:pt>
                <c:pt idx="52">
                  <c:v>210.38340122577725</c:v>
                </c:pt>
                <c:pt idx="53">
                  <c:v>208.87365832425013</c:v>
                </c:pt>
                <c:pt idx="54">
                  <c:v>208.17173286369652</c:v>
                </c:pt>
                <c:pt idx="55">
                  <c:v>212.06735167859813</c:v>
                </c:pt>
                <c:pt idx="56">
                  <c:v>214.27278651816113</c:v>
                </c:pt>
                <c:pt idx="57">
                  <c:v>210.03000038381944</c:v>
                </c:pt>
                <c:pt idx="58">
                  <c:v>208.08996593972091</c:v>
                </c:pt>
                <c:pt idx="59">
                  <c:v>205.1408777861466</c:v>
                </c:pt>
                <c:pt idx="60">
                  <c:v>214.58670518655626</c:v>
                </c:pt>
                <c:pt idx="61">
                  <c:v>213.83620339285801</c:v>
                </c:pt>
                <c:pt idx="62">
                  <c:v>215.6340806247434</c:v>
                </c:pt>
                <c:pt idx="63">
                  <c:v>217.13013525334148</c:v>
                </c:pt>
                <c:pt idx="64">
                  <c:v>219.9902277367357</c:v>
                </c:pt>
                <c:pt idx="65">
                  <c:v>216.11139417982051</c:v>
                </c:pt>
                <c:pt idx="66">
                  <c:v>221.34778475998016</c:v>
                </c:pt>
                <c:pt idx="67">
                  <c:v>217.00067398698914</c:v>
                </c:pt>
                <c:pt idx="68">
                  <c:v>215.96642270238701</c:v>
                </c:pt>
                <c:pt idx="69">
                  <c:v>217.50876620622338</c:v>
                </c:pt>
                <c:pt idx="70">
                  <c:v>213.95413815331437</c:v>
                </c:pt>
                <c:pt idx="71">
                  <c:v>214.50023653935398</c:v>
                </c:pt>
                <c:pt idx="72">
                  <c:v>209.05561420149306</c:v>
                </c:pt>
                <c:pt idx="73">
                  <c:v>202.19449438159145</c:v>
                </c:pt>
                <c:pt idx="74">
                  <c:v>196.81619105670319</c:v>
                </c:pt>
                <c:pt idx="75">
                  <c:v>194.59952336293625</c:v>
                </c:pt>
                <c:pt idx="76">
                  <c:v>191.07182859427658</c:v>
                </c:pt>
                <c:pt idx="77">
                  <c:v>188.81791722386279</c:v>
                </c:pt>
                <c:pt idx="78">
                  <c:v>183.27202837799294</c:v>
                </c:pt>
                <c:pt idx="79">
                  <c:v>183.36946722482028</c:v>
                </c:pt>
                <c:pt idx="80">
                  <c:v>181.448697164451</c:v>
                </c:pt>
                <c:pt idx="81">
                  <c:v>187.40245167789442</c:v>
                </c:pt>
                <c:pt idx="82">
                  <c:v>190.68704612253512</c:v>
                </c:pt>
                <c:pt idx="83">
                  <c:v>187.51872568977137</c:v>
                </c:pt>
                <c:pt idx="84">
                  <c:v>184.84230197462512</c:v>
                </c:pt>
                <c:pt idx="85">
                  <c:v>181.57808598423398</c:v>
                </c:pt>
                <c:pt idx="86">
                  <c:v>173.45198858331523</c:v>
                </c:pt>
                <c:pt idx="87">
                  <c:v>173.25048358007646</c:v>
                </c:pt>
                <c:pt idx="88">
                  <c:v>168.63312455747291</c:v>
                </c:pt>
                <c:pt idx="89">
                  <c:v>168.71645288794733</c:v>
                </c:pt>
                <c:pt idx="90">
                  <c:v>163.80659692841917</c:v>
                </c:pt>
                <c:pt idx="91">
                  <c:v>163.79030121837769</c:v>
                </c:pt>
                <c:pt idx="92">
                  <c:v>164.70876476836958</c:v>
                </c:pt>
                <c:pt idx="93">
                  <c:v>165.83865156663083</c:v>
                </c:pt>
                <c:pt idx="94">
                  <c:v>166.96293617728406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CD41-094C-BCDC-8807F586F36B}"/>
            </c:ext>
          </c:extLst>
        </c:ser>
        <c:ser>
          <c:idx val="52"/>
          <c:order val="52"/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frozen'!$E$54:$CU$54</c:f>
              <c:numCache>
                <c:formatCode>General</c:formatCode>
                <c:ptCount val="95"/>
                <c:pt idx="0">
                  <c:v>222.13</c:v>
                </c:pt>
                <c:pt idx="1">
                  <c:v>230.48543173576397</c:v>
                </c:pt>
                <c:pt idx="2">
                  <c:v>232.02175596497409</c:v>
                </c:pt>
                <c:pt idx="3">
                  <c:v>218.65172199534365</c:v>
                </c:pt>
                <c:pt idx="4">
                  <c:v>214.06664993335943</c:v>
                </c:pt>
                <c:pt idx="5">
                  <c:v>208.39454927794509</c:v>
                </c:pt>
                <c:pt idx="6">
                  <c:v>214.23903131092243</c:v>
                </c:pt>
                <c:pt idx="7">
                  <c:v>215.6689977023436</c:v>
                </c:pt>
                <c:pt idx="8">
                  <c:v>217.87928896706907</c:v>
                </c:pt>
                <c:pt idx="9">
                  <c:v>223.91725880817259</c:v>
                </c:pt>
                <c:pt idx="10">
                  <c:v>228.67135971477867</c:v>
                </c:pt>
                <c:pt idx="11">
                  <c:v>236.80153157207641</c:v>
                </c:pt>
                <c:pt idx="12">
                  <c:v>235.44767182153129</c:v>
                </c:pt>
                <c:pt idx="13">
                  <c:v>239.88243995095624</c:v>
                </c:pt>
                <c:pt idx="14">
                  <c:v>246.19655986833655</c:v>
                </c:pt>
                <c:pt idx="15">
                  <c:v>248.93924371706404</c:v>
                </c:pt>
                <c:pt idx="16">
                  <c:v>238.19570483258249</c:v>
                </c:pt>
                <c:pt idx="17">
                  <c:v>245.48949472614655</c:v>
                </c:pt>
                <c:pt idx="18">
                  <c:v>253.53597785742707</c:v>
                </c:pt>
                <c:pt idx="19">
                  <c:v>242.37720671620605</c:v>
                </c:pt>
                <c:pt idx="20">
                  <c:v>238.34700917437161</c:v>
                </c:pt>
                <c:pt idx="21">
                  <c:v>237.5207035907334</c:v>
                </c:pt>
                <c:pt idx="22">
                  <c:v>235.84384932352484</c:v>
                </c:pt>
                <c:pt idx="23">
                  <c:v>226.99734025570717</c:v>
                </c:pt>
                <c:pt idx="24">
                  <c:v>220.38664176173236</c:v>
                </c:pt>
                <c:pt idx="25">
                  <c:v>218.12989029311714</c:v>
                </c:pt>
                <c:pt idx="26">
                  <c:v>207.64356761560205</c:v>
                </c:pt>
                <c:pt idx="27">
                  <c:v>208.09361604391245</c:v>
                </c:pt>
                <c:pt idx="28">
                  <c:v>202.90532467502777</c:v>
                </c:pt>
                <c:pt idx="29">
                  <c:v>196.71968667166669</c:v>
                </c:pt>
                <c:pt idx="30">
                  <c:v>197.43562052661127</c:v>
                </c:pt>
                <c:pt idx="31">
                  <c:v>202.93658491703698</c:v>
                </c:pt>
                <c:pt idx="32">
                  <c:v>199.05469914989126</c:v>
                </c:pt>
                <c:pt idx="33">
                  <c:v>197.68325638727907</c:v>
                </c:pt>
                <c:pt idx="34">
                  <c:v>198.03561784556592</c:v>
                </c:pt>
                <c:pt idx="35">
                  <c:v>190.44802771262201</c:v>
                </c:pt>
                <c:pt idx="36">
                  <c:v>194.05719331120633</c:v>
                </c:pt>
                <c:pt idx="37">
                  <c:v>191.42723522844776</c:v>
                </c:pt>
                <c:pt idx="38">
                  <c:v>193.87224484694349</c:v>
                </c:pt>
                <c:pt idx="39">
                  <c:v>193.54903080885643</c:v>
                </c:pt>
                <c:pt idx="40">
                  <c:v>195.33070486697196</c:v>
                </c:pt>
                <c:pt idx="41">
                  <c:v>190.94356630129587</c:v>
                </c:pt>
                <c:pt idx="42">
                  <c:v>189.41822238931061</c:v>
                </c:pt>
                <c:pt idx="43">
                  <c:v>185.81832957879098</c:v>
                </c:pt>
                <c:pt idx="44">
                  <c:v>185.20070165439324</c:v>
                </c:pt>
                <c:pt idx="45">
                  <c:v>186.47306190472924</c:v>
                </c:pt>
                <c:pt idx="46">
                  <c:v>180.4075527270063</c:v>
                </c:pt>
                <c:pt idx="47">
                  <c:v>191.24633155810716</c:v>
                </c:pt>
                <c:pt idx="48">
                  <c:v>193.72500423517423</c:v>
                </c:pt>
                <c:pt idx="49">
                  <c:v>193.15330344583603</c:v>
                </c:pt>
                <c:pt idx="50">
                  <c:v>186.247656011944</c:v>
                </c:pt>
                <c:pt idx="51">
                  <c:v>183.13374331075414</c:v>
                </c:pt>
                <c:pt idx="52">
                  <c:v>189.02879738267652</c:v>
                </c:pt>
                <c:pt idx="53">
                  <c:v>187.71131356122817</c:v>
                </c:pt>
                <c:pt idx="54">
                  <c:v>188.99692989834423</c:v>
                </c:pt>
                <c:pt idx="55">
                  <c:v>199.03985450129289</c:v>
                </c:pt>
                <c:pt idx="56">
                  <c:v>206.39240518988524</c:v>
                </c:pt>
                <c:pt idx="57">
                  <c:v>208.87586656760377</c:v>
                </c:pt>
                <c:pt idx="58">
                  <c:v>208.84637613106608</c:v>
                </c:pt>
                <c:pt idx="59">
                  <c:v>208.91559234592958</c:v>
                </c:pt>
                <c:pt idx="60">
                  <c:v>215.59469545652667</c:v>
                </c:pt>
                <c:pt idx="61">
                  <c:v>213.29775675442428</c:v>
                </c:pt>
                <c:pt idx="62">
                  <c:v>217.27062000809207</c:v>
                </c:pt>
                <c:pt idx="63">
                  <c:v>220.51472168504489</c:v>
                </c:pt>
                <c:pt idx="64">
                  <c:v>218.68379513990195</c:v>
                </c:pt>
                <c:pt idx="65">
                  <c:v>212.64686249923872</c:v>
                </c:pt>
                <c:pt idx="66">
                  <c:v>209.87154368205267</c:v>
                </c:pt>
                <c:pt idx="67">
                  <c:v>209.07915830828333</c:v>
                </c:pt>
                <c:pt idx="68">
                  <c:v>199.02509120718537</c:v>
                </c:pt>
                <c:pt idx="69">
                  <c:v>196.63150470885995</c:v>
                </c:pt>
                <c:pt idx="70">
                  <c:v>203.05837064917631</c:v>
                </c:pt>
                <c:pt idx="71">
                  <c:v>199.43980549619596</c:v>
                </c:pt>
                <c:pt idx="72">
                  <c:v>192.4915981408287</c:v>
                </c:pt>
                <c:pt idx="73">
                  <c:v>196.34453061666301</c:v>
                </c:pt>
                <c:pt idx="74">
                  <c:v>203.83251299505218</c:v>
                </c:pt>
                <c:pt idx="75">
                  <c:v>201.34583749416987</c:v>
                </c:pt>
                <c:pt idx="76">
                  <c:v>202.73033288422295</c:v>
                </c:pt>
                <c:pt idx="77">
                  <c:v>205.68553974198093</c:v>
                </c:pt>
                <c:pt idx="78">
                  <c:v>197.8143255899154</c:v>
                </c:pt>
                <c:pt idx="79">
                  <c:v>204.15504291855572</c:v>
                </c:pt>
                <c:pt idx="80">
                  <c:v>200.62581558955051</c:v>
                </c:pt>
                <c:pt idx="81">
                  <c:v>194.37237962468726</c:v>
                </c:pt>
                <c:pt idx="82">
                  <c:v>191.32423796673984</c:v>
                </c:pt>
                <c:pt idx="83">
                  <c:v>187.75190415740153</c:v>
                </c:pt>
                <c:pt idx="84">
                  <c:v>188.66380177615162</c:v>
                </c:pt>
                <c:pt idx="85">
                  <c:v>182.30211248774739</c:v>
                </c:pt>
                <c:pt idx="86">
                  <c:v>179.39507444655072</c:v>
                </c:pt>
                <c:pt idx="87">
                  <c:v>186.72629803405007</c:v>
                </c:pt>
                <c:pt idx="88">
                  <c:v>182.62685346718965</c:v>
                </c:pt>
                <c:pt idx="89">
                  <c:v>180.97527915446412</c:v>
                </c:pt>
                <c:pt idx="90">
                  <c:v>186.08140929214017</c:v>
                </c:pt>
                <c:pt idx="91">
                  <c:v>186.84570304230888</c:v>
                </c:pt>
                <c:pt idx="92">
                  <c:v>180.54663551791643</c:v>
                </c:pt>
                <c:pt idx="93">
                  <c:v>179.75982945676651</c:v>
                </c:pt>
                <c:pt idx="94">
                  <c:v>174.13243101709128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CD41-094C-BCDC-8807F586F36B}"/>
            </c:ext>
          </c:extLst>
        </c:ser>
        <c:ser>
          <c:idx val="53"/>
          <c:order val="53"/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frozen'!$E$55:$CU$55</c:f>
              <c:numCache>
                <c:formatCode>General</c:formatCode>
                <c:ptCount val="95"/>
                <c:pt idx="0">
                  <c:v>222.13</c:v>
                </c:pt>
                <c:pt idx="1">
                  <c:v>217.37209817680809</c:v>
                </c:pt>
                <c:pt idx="2">
                  <c:v>222.95282583678303</c:v>
                </c:pt>
                <c:pt idx="3">
                  <c:v>224.90675061893651</c:v>
                </c:pt>
                <c:pt idx="4">
                  <c:v>223.86154652479246</c:v>
                </c:pt>
                <c:pt idx="5">
                  <c:v>221.51269479336071</c:v>
                </c:pt>
                <c:pt idx="6">
                  <c:v>226.7807002245402</c:v>
                </c:pt>
                <c:pt idx="7">
                  <c:v>218.48289918048502</c:v>
                </c:pt>
                <c:pt idx="8">
                  <c:v>222.52354358769622</c:v>
                </c:pt>
                <c:pt idx="9">
                  <c:v>222.68495621377733</c:v>
                </c:pt>
                <c:pt idx="10">
                  <c:v>221.69964748477832</c:v>
                </c:pt>
                <c:pt idx="11">
                  <c:v>223.01077605479381</c:v>
                </c:pt>
                <c:pt idx="12">
                  <c:v>220.8608138252566</c:v>
                </c:pt>
                <c:pt idx="13">
                  <c:v>222.16706868560982</c:v>
                </c:pt>
                <c:pt idx="14">
                  <c:v>224.08569750653373</c:v>
                </c:pt>
                <c:pt idx="15">
                  <c:v>223.52543990691757</c:v>
                </c:pt>
                <c:pt idx="16">
                  <c:v>230.26149302816856</c:v>
                </c:pt>
                <c:pt idx="17">
                  <c:v>226.04189959188733</c:v>
                </c:pt>
                <c:pt idx="18">
                  <c:v>222.19304659109758</c:v>
                </c:pt>
                <c:pt idx="19">
                  <c:v>220.82500512564886</c:v>
                </c:pt>
                <c:pt idx="20">
                  <c:v>227.9889632000756</c:v>
                </c:pt>
                <c:pt idx="21">
                  <c:v>231.76553498041784</c:v>
                </c:pt>
                <c:pt idx="22">
                  <c:v>227.87062115603763</c:v>
                </c:pt>
                <c:pt idx="23">
                  <c:v>226.6556363458223</c:v>
                </c:pt>
                <c:pt idx="24">
                  <c:v>223.77810063506374</c:v>
                </c:pt>
                <c:pt idx="25">
                  <c:v>213.44643395352131</c:v>
                </c:pt>
                <c:pt idx="26">
                  <c:v>219.20247211671966</c:v>
                </c:pt>
                <c:pt idx="27">
                  <c:v>217.42482616070222</c:v>
                </c:pt>
                <c:pt idx="28">
                  <c:v>219.3607572183561</c:v>
                </c:pt>
                <c:pt idx="29">
                  <c:v>224.52165226058196</c:v>
                </c:pt>
                <c:pt idx="30">
                  <c:v>225.25485700301508</c:v>
                </c:pt>
                <c:pt idx="31">
                  <c:v>224.8693213016814</c:v>
                </c:pt>
                <c:pt idx="32">
                  <c:v>222.62369652163915</c:v>
                </c:pt>
                <c:pt idx="33">
                  <c:v>217.41339554628524</c:v>
                </c:pt>
                <c:pt idx="34">
                  <c:v>215.91144867382184</c:v>
                </c:pt>
                <c:pt idx="35">
                  <c:v>221.80255396748967</c:v>
                </c:pt>
                <c:pt idx="36">
                  <c:v>226.39878664035365</c:v>
                </c:pt>
                <c:pt idx="37">
                  <c:v>222.41500356807805</c:v>
                </c:pt>
                <c:pt idx="38">
                  <c:v>219.3379540353308</c:v>
                </c:pt>
                <c:pt idx="39">
                  <c:v>220.78813318621192</c:v>
                </c:pt>
                <c:pt idx="40">
                  <c:v>221.88209919418262</c:v>
                </c:pt>
                <c:pt idx="41">
                  <c:v>219.07854317176484</c:v>
                </c:pt>
                <c:pt idx="42">
                  <c:v>220.374132468688</c:v>
                </c:pt>
                <c:pt idx="43">
                  <c:v>221.50211806666061</c:v>
                </c:pt>
                <c:pt idx="44">
                  <c:v>220.45175337863307</c:v>
                </c:pt>
                <c:pt idx="45">
                  <c:v>222.24427675905858</c:v>
                </c:pt>
                <c:pt idx="46">
                  <c:v>221.01802211014814</c:v>
                </c:pt>
                <c:pt idx="47">
                  <c:v>219.95931827807058</c:v>
                </c:pt>
                <c:pt idx="48">
                  <c:v>221.96656528075255</c:v>
                </c:pt>
                <c:pt idx="49">
                  <c:v>220.6559720691414</c:v>
                </c:pt>
                <c:pt idx="50">
                  <c:v>219.85294554510287</c:v>
                </c:pt>
                <c:pt idx="51">
                  <c:v>219.27933696897901</c:v>
                </c:pt>
                <c:pt idx="52">
                  <c:v>220.25850504322418</c:v>
                </c:pt>
                <c:pt idx="53">
                  <c:v>213.88670347750821</c:v>
                </c:pt>
                <c:pt idx="54">
                  <c:v>220.24308802377962</c:v>
                </c:pt>
                <c:pt idx="55">
                  <c:v>225.8667339916266</c:v>
                </c:pt>
                <c:pt idx="56">
                  <c:v>231.19186398605126</c:v>
                </c:pt>
                <c:pt idx="57">
                  <c:v>227.943872860151</c:v>
                </c:pt>
                <c:pt idx="58">
                  <c:v>236.3504988296049</c:v>
                </c:pt>
                <c:pt idx="59">
                  <c:v>235.04340104392298</c:v>
                </c:pt>
                <c:pt idx="60">
                  <c:v>242.74122889019503</c:v>
                </c:pt>
                <c:pt idx="61">
                  <c:v>246.84342095825139</c:v>
                </c:pt>
                <c:pt idx="62">
                  <c:v>241.83179069325146</c:v>
                </c:pt>
                <c:pt idx="63">
                  <c:v>237.49717505751798</c:v>
                </c:pt>
                <c:pt idx="64">
                  <c:v>239.06021558761768</c:v>
                </c:pt>
                <c:pt idx="65">
                  <c:v>234.31677408113686</c:v>
                </c:pt>
                <c:pt idx="66">
                  <c:v>240.50713060817625</c:v>
                </c:pt>
                <c:pt idx="67">
                  <c:v>241.67634236042497</c:v>
                </c:pt>
                <c:pt idx="68">
                  <c:v>230.15054858177126</c:v>
                </c:pt>
                <c:pt idx="69">
                  <c:v>237.46843314830326</c:v>
                </c:pt>
                <c:pt idx="70">
                  <c:v>237.75675450657261</c:v>
                </c:pt>
                <c:pt idx="71">
                  <c:v>239.68461249029059</c:v>
                </c:pt>
                <c:pt idx="72">
                  <c:v>240.07562673923752</c:v>
                </c:pt>
                <c:pt idx="73">
                  <c:v>251.94929078552093</c:v>
                </c:pt>
                <c:pt idx="74">
                  <c:v>245.16947786066257</c:v>
                </c:pt>
                <c:pt idx="75">
                  <c:v>250.52002381009223</c:v>
                </c:pt>
                <c:pt idx="76">
                  <c:v>252.10111350440502</c:v>
                </c:pt>
                <c:pt idx="77">
                  <c:v>247.21923143633305</c:v>
                </c:pt>
                <c:pt idx="78">
                  <c:v>243.12417969951935</c:v>
                </c:pt>
                <c:pt idx="79">
                  <c:v>240.85308840127308</c:v>
                </c:pt>
                <c:pt idx="80">
                  <c:v>231.62048098330283</c:v>
                </c:pt>
                <c:pt idx="81">
                  <c:v>233.43968543083716</c:v>
                </c:pt>
                <c:pt idx="82">
                  <c:v>233.72012612361769</c:v>
                </c:pt>
                <c:pt idx="83">
                  <c:v>236.28448293782839</c:v>
                </c:pt>
                <c:pt idx="84">
                  <c:v>236.87572504831076</c:v>
                </c:pt>
                <c:pt idx="85">
                  <c:v>236.11610600448753</c:v>
                </c:pt>
                <c:pt idx="86">
                  <c:v>235.71578415645646</c:v>
                </c:pt>
                <c:pt idx="87">
                  <c:v>235.96131861172361</c:v>
                </c:pt>
                <c:pt idx="88">
                  <c:v>236.50207922337091</c:v>
                </c:pt>
                <c:pt idx="89">
                  <c:v>247.85968493196842</c:v>
                </c:pt>
                <c:pt idx="90">
                  <c:v>249.35928217753502</c:v>
                </c:pt>
                <c:pt idx="91">
                  <c:v>249.96479923266341</c:v>
                </c:pt>
                <c:pt idx="92">
                  <c:v>254.63193137050538</c:v>
                </c:pt>
                <c:pt idx="93">
                  <c:v>248.19599690191581</c:v>
                </c:pt>
                <c:pt idx="94">
                  <c:v>259.48801823906081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CD41-094C-BCDC-8807F586F36B}"/>
            </c:ext>
          </c:extLst>
        </c:ser>
        <c:ser>
          <c:idx val="54"/>
          <c:order val="54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frozen'!$E$56:$CU$56</c:f>
              <c:numCache>
                <c:formatCode>General</c:formatCode>
                <c:ptCount val="95"/>
                <c:pt idx="0">
                  <c:v>222.13</c:v>
                </c:pt>
                <c:pt idx="1">
                  <c:v>220.33079433586036</c:v>
                </c:pt>
                <c:pt idx="2">
                  <c:v>225.64308930124929</c:v>
                </c:pt>
                <c:pt idx="3">
                  <c:v>228.34588929967103</c:v>
                </c:pt>
                <c:pt idx="4">
                  <c:v>227.47279791245776</c:v>
                </c:pt>
                <c:pt idx="5">
                  <c:v>233.59077010372229</c:v>
                </c:pt>
                <c:pt idx="6">
                  <c:v>244.19504967766366</c:v>
                </c:pt>
                <c:pt idx="7">
                  <c:v>251.02469178947669</c:v>
                </c:pt>
                <c:pt idx="8">
                  <c:v>245.58967196008669</c:v>
                </c:pt>
                <c:pt idx="9">
                  <c:v>238.01695347375548</c:v>
                </c:pt>
                <c:pt idx="10">
                  <c:v>236.10740511914241</c:v>
                </c:pt>
                <c:pt idx="11">
                  <c:v>236.95911809511173</c:v>
                </c:pt>
                <c:pt idx="12">
                  <c:v>237.71975884867834</c:v>
                </c:pt>
                <c:pt idx="13">
                  <c:v>230.92109514693135</c:v>
                </c:pt>
                <c:pt idx="14">
                  <c:v>238.27307232992055</c:v>
                </c:pt>
                <c:pt idx="15">
                  <c:v>236.61654947254465</c:v>
                </c:pt>
                <c:pt idx="16">
                  <c:v>245.25251226862568</c:v>
                </c:pt>
                <c:pt idx="17">
                  <c:v>247.24445790765986</c:v>
                </c:pt>
                <c:pt idx="18">
                  <c:v>253.07313089362003</c:v>
                </c:pt>
                <c:pt idx="19">
                  <c:v>245.17828317181997</c:v>
                </c:pt>
                <c:pt idx="20">
                  <c:v>246.44834910342954</c:v>
                </c:pt>
                <c:pt idx="21">
                  <c:v>250.37898933628924</c:v>
                </c:pt>
                <c:pt idx="22">
                  <c:v>246.55753929657234</c:v>
                </c:pt>
                <c:pt idx="23">
                  <c:v>245.14595256106276</c:v>
                </c:pt>
                <c:pt idx="24">
                  <c:v>246.79681018913482</c:v>
                </c:pt>
                <c:pt idx="25">
                  <c:v>248.98287170300344</c:v>
                </c:pt>
                <c:pt idx="26">
                  <c:v>244.85274102788046</c:v>
                </c:pt>
                <c:pt idx="27">
                  <c:v>239.30374336396974</c:v>
                </c:pt>
                <c:pt idx="28">
                  <c:v>244.97416303456399</c:v>
                </c:pt>
                <c:pt idx="29">
                  <c:v>251.64450845276326</c:v>
                </c:pt>
                <c:pt idx="30">
                  <c:v>259.36564752337063</c:v>
                </c:pt>
                <c:pt idx="31">
                  <c:v>264.22745439284125</c:v>
                </c:pt>
                <c:pt idx="32">
                  <c:v>253.87927100058536</c:v>
                </c:pt>
                <c:pt idx="33">
                  <c:v>248.51018749859873</c:v>
                </c:pt>
                <c:pt idx="34">
                  <c:v>266.0927637755517</c:v>
                </c:pt>
                <c:pt idx="35">
                  <c:v>265.81658480453751</c:v>
                </c:pt>
                <c:pt idx="36">
                  <c:v>260.93425765007709</c:v>
                </c:pt>
                <c:pt idx="37">
                  <c:v>262.91527700107497</c:v>
                </c:pt>
                <c:pt idx="38">
                  <c:v>275.14850318067352</c:v>
                </c:pt>
                <c:pt idx="39">
                  <c:v>288.75554667144752</c:v>
                </c:pt>
                <c:pt idx="40">
                  <c:v>296.02321976774374</c:v>
                </c:pt>
                <c:pt idx="41">
                  <c:v>297.58110081778739</c:v>
                </c:pt>
                <c:pt idx="42">
                  <c:v>297.21804383172508</c:v>
                </c:pt>
                <c:pt idx="43">
                  <c:v>303.24992503249536</c:v>
                </c:pt>
                <c:pt idx="44">
                  <c:v>307.10694915065653</c:v>
                </c:pt>
                <c:pt idx="45">
                  <c:v>295.02274855568857</c:v>
                </c:pt>
                <c:pt idx="46">
                  <c:v>298.86203708884108</c:v>
                </c:pt>
                <c:pt idx="47">
                  <c:v>301.68894921120943</c:v>
                </c:pt>
                <c:pt idx="48">
                  <c:v>290.00189917704853</c:v>
                </c:pt>
                <c:pt idx="49">
                  <c:v>289.11027801268403</c:v>
                </c:pt>
                <c:pt idx="50">
                  <c:v>286.1191430921919</c:v>
                </c:pt>
                <c:pt idx="51">
                  <c:v>281.46096386780999</c:v>
                </c:pt>
                <c:pt idx="52">
                  <c:v>301.46971597459117</c:v>
                </c:pt>
                <c:pt idx="53">
                  <c:v>298.83294113856266</c:v>
                </c:pt>
                <c:pt idx="54">
                  <c:v>315.71430029973084</c:v>
                </c:pt>
                <c:pt idx="55">
                  <c:v>315.60161663227609</c:v>
                </c:pt>
                <c:pt idx="56">
                  <c:v>313.07301789182009</c:v>
                </c:pt>
                <c:pt idx="57">
                  <c:v>316.74613730948721</c:v>
                </c:pt>
                <c:pt idx="58">
                  <c:v>311.78266853527589</c:v>
                </c:pt>
                <c:pt idx="59">
                  <c:v>311.13621346470967</c:v>
                </c:pt>
                <c:pt idx="60">
                  <c:v>315.3091885861167</c:v>
                </c:pt>
                <c:pt idx="61">
                  <c:v>328.13513179233678</c:v>
                </c:pt>
                <c:pt idx="62">
                  <c:v>331.43602380543507</c:v>
                </c:pt>
                <c:pt idx="63">
                  <c:v>327.00295609831994</c:v>
                </c:pt>
                <c:pt idx="64">
                  <c:v>337.95533293323541</c:v>
                </c:pt>
                <c:pt idx="65">
                  <c:v>335.65094661376975</c:v>
                </c:pt>
                <c:pt idx="66">
                  <c:v>337.15999235351131</c:v>
                </c:pt>
                <c:pt idx="67">
                  <c:v>331.48090848466245</c:v>
                </c:pt>
                <c:pt idx="68">
                  <c:v>335.64950088601182</c:v>
                </c:pt>
                <c:pt idx="69">
                  <c:v>329.28409903317936</c:v>
                </c:pt>
                <c:pt idx="70">
                  <c:v>321.75567631098789</c:v>
                </c:pt>
                <c:pt idx="71">
                  <c:v>320.5696570795468</c:v>
                </c:pt>
                <c:pt idx="72">
                  <c:v>317.59505302363533</c:v>
                </c:pt>
                <c:pt idx="73">
                  <c:v>315.4589592104445</c:v>
                </c:pt>
                <c:pt idx="74">
                  <c:v>316.86470009960959</c:v>
                </c:pt>
                <c:pt idx="75">
                  <c:v>330.18128978417712</c:v>
                </c:pt>
                <c:pt idx="76">
                  <c:v>316.64035976348453</c:v>
                </c:pt>
                <c:pt idx="77">
                  <c:v>299.83431763223268</c:v>
                </c:pt>
                <c:pt idx="78">
                  <c:v>307.6691281621612</c:v>
                </c:pt>
                <c:pt idx="79">
                  <c:v>310.26380937353571</c:v>
                </c:pt>
                <c:pt idx="80">
                  <c:v>300.82444642849731</c:v>
                </c:pt>
                <c:pt idx="81">
                  <c:v>298.30135549173696</c:v>
                </c:pt>
                <c:pt idx="82">
                  <c:v>306.46126725738094</c:v>
                </c:pt>
                <c:pt idx="83">
                  <c:v>314.61172669910707</c:v>
                </c:pt>
                <c:pt idx="84">
                  <c:v>317.78634134888864</c:v>
                </c:pt>
                <c:pt idx="85">
                  <c:v>326.33575415548097</c:v>
                </c:pt>
                <c:pt idx="86">
                  <c:v>327.50665115391735</c:v>
                </c:pt>
                <c:pt idx="87">
                  <c:v>322.76155647568618</c:v>
                </c:pt>
                <c:pt idx="88">
                  <c:v>328.91792950382995</c:v>
                </c:pt>
                <c:pt idx="89">
                  <c:v>332.0744447616832</c:v>
                </c:pt>
                <c:pt idx="90">
                  <c:v>331.8261082327453</c:v>
                </c:pt>
                <c:pt idx="91">
                  <c:v>317.80314540954936</c:v>
                </c:pt>
                <c:pt idx="92">
                  <c:v>319.21390697124093</c:v>
                </c:pt>
                <c:pt idx="93">
                  <c:v>323.29727596779657</c:v>
                </c:pt>
                <c:pt idx="94">
                  <c:v>327.83015439672744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CD41-094C-BCDC-8807F586F36B}"/>
            </c:ext>
          </c:extLst>
        </c:ser>
        <c:ser>
          <c:idx val="55"/>
          <c:order val="55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frozen'!$E$57:$CU$57</c:f>
              <c:numCache>
                <c:formatCode>General</c:formatCode>
                <c:ptCount val="95"/>
                <c:pt idx="0">
                  <c:v>222.13</c:v>
                </c:pt>
                <c:pt idx="1">
                  <c:v>224.27452771199987</c:v>
                </c:pt>
                <c:pt idx="2">
                  <c:v>211.27771769697341</c:v>
                </c:pt>
                <c:pt idx="3">
                  <c:v>213.49043115324704</c:v>
                </c:pt>
                <c:pt idx="4">
                  <c:v>217.768116951747</c:v>
                </c:pt>
                <c:pt idx="5">
                  <c:v>218.27498809696934</c:v>
                </c:pt>
                <c:pt idx="6">
                  <c:v>223.15401606866465</c:v>
                </c:pt>
                <c:pt idx="7">
                  <c:v>223.28555899359179</c:v>
                </c:pt>
                <c:pt idx="8">
                  <c:v>215.96575571385384</c:v>
                </c:pt>
                <c:pt idx="9">
                  <c:v>199.68547824379337</c:v>
                </c:pt>
                <c:pt idx="10">
                  <c:v>202.0296223715427</c:v>
                </c:pt>
                <c:pt idx="11">
                  <c:v>202.15754453725745</c:v>
                </c:pt>
                <c:pt idx="12">
                  <c:v>198.18087223367388</c:v>
                </c:pt>
                <c:pt idx="13">
                  <c:v>200.74543755558582</c:v>
                </c:pt>
                <c:pt idx="14">
                  <c:v>209.32876943037206</c:v>
                </c:pt>
                <c:pt idx="15">
                  <c:v>204.60116713148972</c:v>
                </c:pt>
                <c:pt idx="16">
                  <c:v>211.91124965702221</c:v>
                </c:pt>
                <c:pt idx="17">
                  <c:v>213.62651047297146</c:v>
                </c:pt>
                <c:pt idx="18">
                  <c:v>210.82325828427207</c:v>
                </c:pt>
                <c:pt idx="19">
                  <c:v>208.94468150353774</c:v>
                </c:pt>
                <c:pt idx="20">
                  <c:v>212.44435236920651</c:v>
                </c:pt>
                <c:pt idx="21">
                  <c:v>207.68060766696925</c:v>
                </c:pt>
                <c:pt idx="22">
                  <c:v>199.88990329822357</c:v>
                </c:pt>
                <c:pt idx="23">
                  <c:v>194.91241020899616</c:v>
                </c:pt>
                <c:pt idx="24">
                  <c:v>185.39063356949495</c:v>
                </c:pt>
                <c:pt idx="25">
                  <c:v>178.88656423717603</c:v>
                </c:pt>
                <c:pt idx="26">
                  <c:v>176.50896428765063</c:v>
                </c:pt>
                <c:pt idx="27">
                  <c:v>174.94344797942836</c:v>
                </c:pt>
                <c:pt idx="28">
                  <c:v>170.39901551347353</c:v>
                </c:pt>
                <c:pt idx="29">
                  <c:v>169.43918664942271</c:v>
                </c:pt>
                <c:pt idx="30">
                  <c:v>163.49020982052485</c:v>
                </c:pt>
                <c:pt idx="31">
                  <c:v>163.28993388626961</c:v>
                </c:pt>
                <c:pt idx="32">
                  <c:v>164.54829556490043</c:v>
                </c:pt>
                <c:pt idx="33">
                  <c:v>164.21459703850269</c:v>
                </c:pt>
                <c:pt idx="34">
                  <c:v>166.71434341552481</c:v>
                </c:pt>
                <c:pt idx="35">
                  <c:v>169.34535095587933</c:v>
                </c:pt>
                <c:pt idx="36">
                  <c:v>172.05775353140814</c:v>
                </c:pt>
                <c:pt idx="37">
                  <c:v>169.90300332738312</c:v>
                </c:pt>
                <c:pt idx="38">
                  <c:v>167.05324035682526</c:v>
                </c:pt>
                <c:pt idx="39">
                  <c:v>165.87019360101584</c:v>
                </c:pt>
                <c:pt idx="40">
                  <c:v>169.93006758708981</c:v>
                </c:pt>
                <c:pt idx="41">
                  <c:v>172.5659120533854</c:v>
                </c:pt>
                <c:pt idx="42">
                  <c:v>172.56219351450167</c:v>
                </c:pt>
                <c:pt idx="43">
                  <c:v>166.6419783887518</c:v>
                </c:pt>
                <c:pt idx="44">
                  <c:v>168.95640500574382</c:v>
                </c:pt>
                <c:pt idx="45">
                  <c:v>164.17085638048761</c:v>
                </c:pt>
                <c:pt idx="46">
                  <c:v>159.86644076857397</c:v>
                </c:pt>
                <c:pt idx="47">
                  <c:v>154.54249769461151</c:v>
                </c:pt>
                <c:pt idx="48">
                  <c:v>159.06025925035803</c:v>
                </c:pt>
                <c:pt idx="49">
                  <c:v>158.43142582567162</c:v>
                </c:pt>
                <c:pt idx="50">
                  <c:v>163.1967948159963</c:v>
                </c:pt>
                <c:pt idx="51">
                  <c:v>164.94425688608862</c:v>
                </c:pt>
                <c:pt idx="52">
                  <c:v>166.21562623254087</c:v>
                </c:pt>
                <c:pt idx="53">
                  <c:v>161.52194795540959</c:v>
                </c:pt>
                <c:pt idx="54">
                  <c:v>162.27792220477912</c:v>
                </c:pt>
                <c:pt idx="55">
                  <c:v>166.80229622103138</c:v>
                </c:pt>
                <c:pt idx="56">
                  <c:v>166.39305609558406</c:v>
                </c:pt>
                <c:pt idx="57">
                  <c:v>168.19825982386038</c:v>
                </c:pt>
                <c:pt idx="58">
                  <c:v>172.97236023859605</c:v>
                </c:pt>
                <c:pt idx="59">
                  <c:v>171.34733637326187</c:v>
                </c:pt>
                <c:pt idx="60">
                  <c:v>174.40170291545488</c:v>
                </c:pt>
                <c:pt idx="61">
                  <c:v>179.83561448073192</c:v>
                </c:pt>
                <c:pt idx="62">
                  <c:v>175.3934801351208</c:v>
                </c:pt>
                <c:pt idx="63">
                  <c:v>169.91376384747596</c:v>
                </c:pt>
                <c:pt idx="64">
                  <c:v>173.02768548665074</c:v>
                </c:pt>
                <c:pt idx="65">
                  <c:v>175.47954911195822</c:v>
                </c:pt>
                <c:pt idx="66">
                  <c:v>173.52597849624857</c:v>
                </c:pt>
                <c:pt idx="67">
                  <c:v>177.52253908716841</c:v>
                </c:pt>
                <c:pt idx="68">
                  <c:v>174.70248795100119</c:v>
                </c:pt>
                <c:pt idx="69">
                  <c:v>178.10165254078834</c:v>
                </c:pt>
                <c:pt idx="70">
                  <c:v>184.01279122824587</c:v>
                </c:pt>
                <c:pt idx="71">
                  <c:v>188.88924509912829</c:v>
                </c:pt>
                <c:pt idx="72">
                  <c:v>187.850665162079</c:v>
                </c:pt>
                <c:pt idx="73">
                  <c:v>193.83371121150697</c:v>
                </c:pt>
                <c:pt idx="74">
                  <c:v>195.06275388195129</c:v>
                </c:pt>
                <c:pt idx="75">
                  <c:v>188.06816768613348</c:v>
                </c:pt>
                <c:pt idx="76">
                  <c:v>189.38069127207442</c:v>
                </c:pt>
                <c:pt idx="77">
                  <c:v>192.86944016678069</c:v>
                </c:pt>
                <c:pt idx="78">
                  <c:v>199.77338820826606</c:v>
                </c:pt>
                <c:pt idx="79">
                  <c:v>200.74325090189456</c:v>
                </c:pt>
                <c:pt idx="80">
                  <c:v>194.06118036063154</c:v>
                </c:pt>
                <c:pt idx="81">
                  <c:v>194.34546010245975</c:v>
                </c:pt>
                <c:pt idx="82">
                  <c:v>199.47492468861307</c:v>
                </c:pt>
                <c:pt idx="83">
                  <c:v>198.16163667405704</c:v>
                </c:pt>
                <c:pt idx="84">
                  <c:v>200.2271733887687</c:v>
                </c:pt>
                <c:pt idx="85">
                  <c:v>196.03565516366675</c:v>
                </c:pt>
                <c:pt idx="86">
                  <c:v>203.68675318746145</c:v>
                </c:pt>
                <c:pt idx="87">
                  <c:v>199.351190945567</c:v>
                </c:pt>
                <c:pt idx="88">
                  <c:v>195.05894727579266</c:v>
                </c:pt>
                <c:pt idx="89">
                  <c:v>190.96098202899719</c:v>
                </c:pt>
                <c:pt idx="90">
                  <c:v>184.50578633527149</c:v>
                </c:pt>
                <c:pt idx="91">
                  <c:v>184.72672064949322</c:v>
                </c:pt>
                <c:pt idx="92">
                  <c:v>190.25512368256128</c:v>
                </c:pt>
                <c:pt idx="93">
                  <c:v>191.22965125049643</c:v>
                </c:pt>
                <c:pt idx="94">
                  <c:v>199.93263069959977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CD41-094C-BCDC-8807F586F36B}"/>
            </c:ext>
          </c:extLst>
        </c:ser>
        <c:ser>
          <c:idx val="56"/>
          <c:order val="56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frozen'!$E$58:$CU$58</c:f>
              <c:numCache>
                <c:formatCode>General</c:formatCode>
                <c:ptCount val="95"/>
                <c:pt idx="0">
                  <c:v>222.13</c:v>
                </c:pt>
                <c:pt idx="1">
                  <c:v>221.64992392786209</c:v>
                </c:pt>
                <c:pt idx="2">
                  <c:v>228.24705913253536</c:v>
                </c:pt>
                <c:pt idx="3">
                  <c:v>226.66730506695779</c:v>
                </c:pt>
                <c:pt idx="4">
                  <c:v>221.35611726402857</c:v>
                </c:pt>
                <c:pt idx="5">
                  <c:v>225.3339791728265</c:v>
                </c:pt>
                <c:pt idx="6">
                  <c:v>222.08569204351377</c:v>
                </c:pt>
                <c:pt idx="7">
                  <c:v>219.63920895692706</c:v>
                </c:pt>
                <c:pt idx="8">
                  <c:v>218.63253665809114</c:v>
                </c:pt>
                <c:pt idx="9">
                  <c:v>217.22329885866142</c:v>
                </c:pt>
                <c:pt idx="10">
                  <c:v>209.54078328863224</c:v>
                </c:pt>
                <c:pt idx="11">
                  <c:v>211.62528368789447</c:v>
                </c:pt>
                <c:pt idx="12">
                  <c:v>208.75937259599604</c:v>
                </c:pt>
                <c:pt idx="13">
                  <c:v>209.69887218390457</c:v>
                </c:pt>
                <c:pt idx="14">
                  <c:v>217.62292109563614</c:v>
                </c:pt>
                <c:pt idx="15">
                  <c:v>220.08963398737868</c:v>
                </c:pt>
                <c:pt idx="16">
                  <c:v>217.59491769958549</c:v>
                </c:pt>
                <c:pt idx="17">
                  <c:v>214.65809166746948</c:v>
                </c:pt>
                <c:pt idx="18">
                  <c:v>215.43593544794217</c:v>
                </c:pt>
                <c:pt idx="19">
                  <c:v>215.38652042747611</c:v>
                </c:pt>
                <c:pt idx="20">
                  <c:v>220.5722663498174</c:v>
                </c:pt>
                <c:pt idx="21">
                  <c:v>214.28801230975984</c:v>
                </c:pt>
                <c:pt idx="22">
                  <c:v>213.05080591101998</c:v>
                </c:pt>
                <c:pt idx="23">
                  <c:v>211.34343187872531</c:v>
                </c:pt>
                <c:pt idx="24">
                  <c:v>212.29578356143236</c:v>
                </c:pt>
                <c:pt idx="25">
                  <c:v>216.09688819487249</c:v>
                </c:pt>
                <c:pt idx="26">
                  <c:v>215.67904369278858</c:v>
                </c:pt>
                <c:pt idx="27">
                  <c:v>208.1631817165254</c:v>
                </c:pt>
                <c:pt idx="28">
                  <c:v>209.00511636426145</c:v>
                </c:pt>
                <c:pt idx="29">
                  <c:v>204.41825678941206</c:v>
                </c:pt>
                <c:pt idx="30">
                  <c:v>210.75582186422085</c:v>
                </c:pt>
                <c:pt idx="31">
                  <c:v>223.32799637650027</c:v>
                </c:pt>
                <c:pt idx="32">
                  <c:v>221.4303437658983</c:v>
                </c:pt>
                <c:pt idx="33">
                  <c:v>226.35727832207755</c:v>
                </c:pt>
                <c:pt idx="34">
                  <c:v>229.02260819732732</c:v>
                </c:pt>
                <c:pt idx="35">
                  <c:v>234.91731352134852</c:v>
                </c:pt>
                <c:pt idx="36">
                  <c:v>234.84047331855604</c:v>
                </c:pt>
                <c:pt idx="37">
                  <c:v>232.99631688040148</c:v>
                </c:pt>
                <c:pt idx="38">
                  <c:v>239.79959803145971</c:v>
                </c:pt>
                <c:pt idx="39">
                  <c:v>240.4018396073152</c:v>
                </c:pt>
                <c:pt idx="40">
                  <c:v>245.32347930852498</c:v>
                </c:pt>
                <c:pt idx="41">
                  <c:v>237.32773338387651</c:v>
                </c:pt>
                <c:pt idx="42">
                  <c:v>241.30205732910915</c:v>
                </c:pt>
                <c:pt idx="43">
                  <c:v>248.88287170774552</c:v>
                </c:pt>
                <c:pt idx="44">
                  <c:v>244.38659666519567</c:v>
                </c:pt>
                <c:pt idx="45">
                  <c:v>236.70612562593371</c:v>
                </c:pt>
                <c:pt idx="46">
                  <c:v>241.77538278508547</c:v>
                </c:pt>
                <c:pt idx="47">
                  <c:v>235.20836043787423</c:v>
                </c:pt>
                <c:pt idx="48">
                  <c:v>232.46926815080411</c:v>
                </c:pt>
                <c:pt idx="49">
                  <c:v>232.92622352160797</c:v>
                </c:pt>
                <c:pt idx="50">
                  <c:v>237.33598931237705</c:v>
                </c:pt>
                <c:pt idx="51">
                  <c:v>237.12080838717549</c:v>
                </c:pt>
                <c:pt idx="52">
                  <c:v>240.38083168172878</c:v>
                </c:pt>
                <c:pt idx="53">
                  <c:v>252.26456202151823</c:v>
                </c:pt>
                <c:pt idx="54">
                  <c:v>246.53554598958647</c:v>
                </c:pt>
                <c:pt idx="55">
                  <c:v>248.536401893099</c:v>
                </c:pt>
                <c:pt idx="56">
                  <c:v>254.89281745053523</c:v>
                </c:pt>
                <c:pt idx="57">
                  <c:v>257.25207764923903</c:v>
                </c:pt>
                <c:pt idx="58">
                  <c:v>253.02103678873794</c:v>
                </c:pt>
                <c:pt idx="59">
                  <c:v>255.82910244521241</c:v>
                </c:pt>
                <c:pt idx="60">
                  <c:v>257.9733263914618</c:v>
                </c:pt>
                <c:pt idx="61">
                  <c:v>247.71088321391463</c:v>
                </c:pt>
                <c:pt idx="62">
                  <c:v>243.27149039176646</c:v>
                </c:pt>
                <c:pt idx="63">
                  <c:v>244.44652056380073</c:v>
                </c:pt>
                <c:pt idx="64">
                  <c:v>254.59357223518523</c:v>
                </c:pt>
                <c:pt idx="65">
                  <c:v>258.15235568944212</c:v>
                </c:pt>
                <c:pt idx="66">
                  <c:v>263.55193360620268</c:v>
                </c:pt>
                <c:pt idx="67">
                  <c:v>254.55466212807102</c:v>
                </c:pt>
                <c:pt idx="68">
                  <c:v>239.96013846221572</c:v>
                </c:pt>
                <c:pt idx="69">
                  <c:v>247.74208744624036</c:v>
                </c:pt>
                <c:pt idx="70">
                  <c:v>249.80691567492772</c:v>
                </c:pt>
                <c:pt idx="71">
                  <c:v>250.61205537071226</c:v>
                </c:pt>
                <c:pt idx="72">
                  <c:v>255.67032653371245</c:v>
                </c:pt>
                <c:pt idx="73">
                  <c:v>252.35082526949608</c:v>
                </c:pt>
                <c:pt idx="74">
                  <c:v>251.04891742990694</c:v>
                </c:pt>
                <c:pt idx="75">
                  <c:v>258.20214924556973</c:v>
                </c:pt>
                <c:pt idx="76">
                  <c:v>257.92935340226359</c:v>
                </c:pt>
                <c:pt idx="77">
                  <c:v>250.67258822741735</c:v>
                </c:pt>
                <c:pt idx="78">
                  <c:v>248.16990422668047</c:v>
                </c:pt>
                <c:pt idx="79">
                  <c:v>236.94644534971738</c:v>
                </c:pt>
                <c:pt idx="80">
                  <c:v>234.00928814756179</c:v>
                </c:pt>
                <c:pt idx="81">
                  <c:v>227.09772151129761</c:v>
                </c:pt>
                <c:pt idx="82">
                  <c:v>232.92015701409179</c:v>
                </c:pt>
                <c:pt idx="83">
                  <c:v>239.06464791327923</c:v>
                </c:pt>
                <c:pt idx="84">
                  <c:v>237.74725093185552</c:v>
                </c:pt>
                <c:pt idx="85">
                  <c:v>237.49025616313136</c:v>
                </c:pt>
                <c:pt idx="86">
                  <c:v>243.84792602782238</c:v>
                </c:pt>
                <c:pt idx="87">
                  <c:v>250.86252071836637</c:v>
                </c:pt>
                <c:pt idx="88">
                  <c:v>259.59847494487053</c:v>
                </c:pt>
                <c:pt idx="89">
                  <c:v>256.85482929129034</c:v>
                </c:pt>
                <c:pt idx="90">
                  <c:v>268.21337349971532</c:v>
                </c:pt>
                <c:pt idx="91">
                  <c:v>266.29379303317717</c:v>
                </c:pt>
                <c:pt idx="92">
                  <c:v>254.40488726866784</c:v>
                </c:pt>
                <c:pt idx="93">
                  <c:v>265.72076178985685</c:v>
                </c:pt>
                <c:pt idx="94">
                  <c:v>270.78264630591815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CD41-094C-BCDC-8807F586F36B}"/>
            </c:ext>
          </c:extLst>
        </c:ser>
        <c:ser>
          <c:idx val="57"/>
          <c:order val="57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frozen'!$E$59:$CU$59</c:f>
              <c:numCache>
                <c:formatCode>General</c:formatCode>
                <c:ptCount val="95"/>
                <c:pt idx="0">
                  <c:v>222.13</c:v>
                </c:pt>
                <c:pt idx="1">
                  <c:v>223.35904205904396</c:v>
                </c:pt>
                <c:pt idx="2">
                  <c:v>221.34074891371887</c:v>
                </c:pt>
                <c:pt idx="3">
                  <c:v>221.77564394948925</c:v>
                </c:pt>
                <c:pt idx="4">
                  <c:v>214.34365840134603</c:v>
                </c:pt>
                <c:pt idx="5">
                  <c:v>217.95967387025712</c:v>
                </c:pt>
                <c:pt idx="6">
                  <c:v>218.67362888856567</c:v>
                </c:pt>
                <c:pt idx="7">
                  <c:v>218.44410319937319</c:v>
                </c:pt>
                <c:pt idx="8">
                  <c:v>217.23551280709677</c:v>
                </c:pt>
                <c:pt idx="9">
                  <c:v>218.65867087790684</c:v>
                </c:pt>
                <c:pt idx="10">
                  <c:v>221.71169432357448</c:v>
                </c:pt>
                <c:pt idx="11">
                  <c:v>225.07879056760919</c:v>
                </c:pt>
                <c:pt idx="12">
                  <c:v>218.79658607611665</c:v>
                </c:pt>
                <c:pt idx="13">
                  <c:v>214.57089499136555</c:v>
                </c:pt>
                <c:pt idx="14">
                  <c:v>217.28735370468263</c:v>
                </c:pt>
                <c:pt idx="15">
                  <c:v>227.84509299838308</c:v>
                </c:pt>
                <c:pt idx="16">
                  <c:v>215.50736561426055</c:v>
                </c:pt>
                <c:pt idx="17">
                  <c:v>212.97782919703857</c:v>
                </c:pt>
                <c:pt idx="18">
                  <c:v>224.25641235476698</c:v>
                </c:pt>
                <c:pt idx="19">
                  <c:v>212.7844807561226</c:v>
                </c:pt>
                <c:pt idx="20">
                  <c:v>209.15401436991485</c:v>
                </c:pt>
                <c:pt idx="21">
                  <c:v>206.24246207520454</c:v>
                </c:pt>
                <c:pt idx="22">
                  <c:v>208.73636634354042</c:v>
                </c:pt>
                <c:pt idx="23">
                  <c:v>207.03422532198738</c:v>
                </c:pt>
                <c:pt idx="24">
                  <c:v>199.28298218171977</c:v>
                </c:pt>
                <c:pt idx="25">
                  <c:v>187.38657634502636</c:v>
                </c:pt>
                <c:pt idx="26">
                  <c:v>182.76139692646515</c:v>
                </c:pt>
                <c:pt idx="27">
                  <c:v>183.67883817280838</c:v>
                </c:pt>
                <c:pt idx="28">
                  <c:v>191.1986730714049</c:v>
                </c:pt>
                <c:pt idx="29">
                  <c:v>198.65863095234585</c:v>
                </c:pt>
                <c:pt idx="30">
                  <c:v>200.47158278262481</c:v>
                </c:pt>
                <c:pt idx="31">
                  <c:v>203.84681047663582</c:v>
                </c:pt>
                <c:pt idx="32">
                  <c:v>199.04948451991731</c:v>
                </c:pt>
                <c:pt idx="33">
                  <c:v>197.70377790601449</c:v>
                </c:pt>
                <c:pt idx="34">
                  <c:v>198.3948470340824</c:v>
                </c:pt>
                <c:pt idx="35">
                  <c:v>200.99506826087227</c:v>
                </c:pt>
                <c:pt idx="36">
                  <c:v>201.61945701915354</c:v>
                </c:pt>
                <c:pt idx="37">
                  <c:v>207.25806610907622</c:v>
                </c:pt>
                <c:pt idx="38">
                  <c:v>215.9565740772679</c:v>
                </c:pt>
                <c:pt idx="39">
                  <c:v>217.34338242022861</c:v>
                </c:pt>
                <c:pt idx="40">
                  <c:v>214.79507562160464</c:v>
                </c:pt>
                <c:pt idx="41">
                  <c:v>220.76735752200696</c:v>
                </c:pt>
                <c:pt idx="42">
                  <c:v>218.37010501341297</c:v>
                </c:pt>
                <c:pt idx="43">
                  <c:v>208.85869360913253</c:v>
                </c:pt>
                <c:pt idx="44">
                  <c:v>210.59578299729887</c:v>
                </c:pt>
                <c:pt idx="45">
                  <c:v>204.7633769678576</c:v>
                </c:pt>
                <c:pt idx="46">
                  <c:v>204.59905957060471</c:v>
                </c:pt>
                <c:pt idx="47">
                  <c:v>211.91093086678509</c:v>
                </c:pt>
                <c:pt idx="48">
                  <c:v>213.74644403779575</c:v>
                </c:pt>
                <c:pt idx="49">
                  <c:v>215.1950795919856</c:v>
                </c:pt>
                <c:pt idx="50">
                  <c:v>212.28772065045786</c:v>
                </c:pt>
                <c:pt idx="51">
                  <c:v>213.98874088623865</c:v>
                </c:pt>
                <c:pt idx="52">
                  <c:v>208.15879564786579</c:v>
                </c:pt>
                <c:pt idx="53">
                  <c:v>202.58350389524117</c:v>
                </c:pt>
                <c:pt idx="54">
                  <c:v>201.60904531700356</c:v>
                </c:pt>
                <c:pt idx="55">
                  <c:v>203.91620146178187</c:v>
                </c:pt>
                <c:pt idx="56">
                  <c:v>204.29340217198651</c:v>
                </c:pt>
                <c:pt idx="57">
                  <c:v>204.35783763783408</c:v>
                </c:pt>
                <c:pt idx="58">
                  <c:v>212.11135389424058</c:v>
                </c:pt>
                <c:pt idx="59">
                  <c:v>214.16459360652848</c:v>
                </c:pt>
                <c:pt idx="60">
                  <c:v>213.13667147203708</c:v>
                </c:pt>
                <c:pt idx="61">
                  <c:v>221.4343274685024</c:v>
                </c:pt>
                <c:pt idx="62">
                  <c:v>227.52928563290132</c:v>
                </c:pt>
                <c:pt idx="63">
                  <c:v>225.12784780629761</c:v>
                </c:pt>
                <c:pt idx="64">
                  <c:v>217.67127684363356</c:v>
                </c:pt>
                <c:pt idx="65">
                  <c:v>224.57611927558929</c:v>
                </c:pt>
                <c:pt idx="66">
                  <c:v>217.41201075798526</c:v>
                </c:pt>
                <c:pt idx="67">
                  <c:v>215.97357479325078</c:v>
                </c:pt>
                <c:pt idx="68">
                  <c:v>222.83798108254922</c:v>
                </c:pt>
                <c:pt idx="69">
                  <c:v>222.04847796230953</c:v>
                </c:pt>
                <c:pt idx="70">
                  <c:v>221.42452027994818</c:v>
                </c:pt>
                <c:pt idx="71">
                  <c:v>220.46525026619338</c:v>
                </c:pt>
                <c:pt idx="72">
                  <c:v>221.01020548530084</c:v>
                </c:pt>
                <c:pt idx="73">
                  <c:v>222.6600607294196</c:v>
                </c:pt>
                <c:pt idx="74">
                  <c:v>213.68505508621939</c:v>
                </c:pt>
                <c:pt idx="75">
                  <c:v>217.17581304801382</c:v>
                </c:pt>
                <c:pt idx="76">
                  <c:v>214.16324633217712</c:v>
                </c:pt>
                <c:pt idx="77">
                  <c:v>217.66087986276744</c:v>
                </c:pt>
                <c:pt idx="78">
                  <c:v>213.88733161976469</c:v>
                </c:pt>
                <c:pt idx="79">
                  <c:v>214.52037419436692</c:v>
                </c:pt>
                <c:pt idx="80">
                  <c:v>211.23971425085819</c:v>
                </c:pt>
                <c:pt idx="81">
                  <c:v>207.91514842448242</c:v>
                </c:pt>
                <c:pt idx="82">
                  <c:v>204.26109494355552</c:v>
                </c:pt>
                <c:pt idx="83">
                  <c:v>199.86010759542063</c:v>
                </c:pt>
                <c:pt idx="84">
                  <c:v>196.64901721665262</c:v>
                </c:pt>
                <c:pt idx="85">
                  <c:v>192.31231609037712</c:v>
                </c:pt>
                <c:pt idx="86">
                  <c:v>190.94658100800007</c:v>
                </c:pt>
                <c:pt idx="87">
                  <c:v>192.13192178804752</c:v>
                </c:pt>
                <c:pt idx="88">
                  <c:v>197.78804454730573</c:v>
                </c:pt>
                <c:pt idx="89">
                  <c:v>194.0281208699117</c:v>
                </c:pt>
                <c:pt idx="90">
                  <c:v>189.9485479445089</c:v>
                </c:pt>
                <c:pt idx="91">
                  <c:v>193.09157574293522</c:v>
                </c:pt>
                <c:pt idx="92">
                  <c:v>189.51272583826645</c:v>
                </c:pt>
                <c:pt idx="93">
                  <c:v>186.61356681787032</c:v>
                </c:pt>
                <c:pt idx="94">
                  <c:v>180.13385252579542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CD41-094C-BCDC-8807F586F36B}"/>
            </c:ext>
          </c:extLst>
        </c:ser>
        <c:ser>
          <c:idx val="58"/>
          <c:order val="58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frozen'!$E$60:$CU$60</c:f>
              <c:numCache>
                <c:formatCode>General</c:formatCode>
                <c:ptCount val="95"/>
                <c:pt idx="0">
                  <c:v>222.13</c:v>
                </c:pt>
                <c:pt idx="1">
                  <c:v>219.95419766930323</c:v>
                </c:pt>
                <c:pt idx="2">
                  <c:v>219.02539773249993</c:v>
                </c:pt>
                <c:pt idx="3">
                  <c:v>223.05204004723015</c:v>
                </c:pt>
                <c:pt idx="4">
                  <c:v>226.49583911697994</c:v>
                </c:pt>
                <c:pt idx="5">
                  <c:v>231.74074113542349</c:v>
                </c:pt>
                <c:pt idx="6">
                  <c:v>227.99299752012092</c:v>
                </c:pt>
                <c:pt idx="7">
                  <c:v>230.76191734208686</c:v>
                </c:pt>
                <c:pt idx="8">
                  <c:v>230.34126648782956</c:v>
                </c:pt>
                <c:pt idx="9">
                  <c:v>238.93002163327674</c:v>
                </c:pt>
                <c:pt idx="10">
                  <c:v>237.33023063730656</c:v>
                </c:pt>
                <c:pt idx="11">
                  <c:v>237.80013454942883</c:v>
                </c:pt>
                <c:pt idx="12">
                  <c:v>235.91425617654883</c:v>
                </c:pt>
                <c:pt idx="13">
                  <c:v>234.01395679663992</c:v>
                </c:pt>
                <c:pt idx="14">
                  <c:v>226.49901481819856</c:v>
                </c:pt>
                <c:pt idx="15">
                  <c:v>230.90557748939167</c:v>
                </c:pt>
                <c:pt idx="16">
                  <c:v>241.15187826424918</c:v>
                </c:pt>
                <c:pt idx="17">
                  <c:v>236.91438996449259</c:v>
                </c:pt>
                <c:pt idx="18">
                  <c:v>231.66584037193513</c:v>
                </c:pt>
                <c:pt idx="19">
                  <c:v>234.8437615067555</c:v>
                </c:pt>
                <c:pt idx="20">
                  <c:v>241.55727032667201</c:v>
                </c:pt>
                <c:pt idx="21">
                  <c:v>237.40896762511289</c:v>
                </c:pt>
                <c:pt idx="22">
                  <c:v>236.47837232420648</c:v>
                </c:pt>
                <c:pt idx="23">
                  <c:v>234.73754564951756</c:v>
                </c:pt>
                <c:pt idx="24">
                  <c:v>240.27348595793603</c:v>
                </c:pt>
                <c:pt idx="25">
                  <c:v>244.72608085708589</c:v>
                </c:pt>
                <c:pt idx="26">
                  <c:v>236.92544420159444</c:v>
                </c:pt>
                <c:pt idx="27">
                  <c:v>238.9273295963238</c:v>
                </c:pt>
                <c:pt idx="28">
                  <c:v>235.46833443145599</c:v>
                </c:pt>
                <c:pt idx="29">
                  <c:v>231.49322242938524</c:v>
                </c:pt>
                <c:pt idx="30">
                  <c:v>232.35950272419956</c:v>
                </c:pt>
                <c:pt idx="31">
                  <c:v>242.22664039910515</c:v>
                </c:pt>
                <c:pt idx="32">
                  <c:v>234.92531777999349</c:v>
                </c:pt>
                <c:pt idx="33">
                  <c:v>231.09499282717084</c:v>
                </c:pt>
                <c:pt idx="34">
                  <c:v>232.51870467171912</c:v>
                </c:pt>
                <c:pt idx="35">
                  <c:v>233.71096079185713</c:v>
                </c:pt>
                <c:pt idx="36">
                  <c:v>221.64348406244346</c:v>
                </c:pt>
                <c:pt idx="37">
                  <c:v>219.74609089841945</c:v>
                </c:pt>
                <c:pt idx="38">
                  <c:v>225.41843600859548</c:v>
                </c:pt>
                <c:pt idx="39">
                  <c:v>222.51417047030307</c:v>
                </c:pt>
                <c:pt idx="40">
                  <c:v>229.47280356397121</c:v>
                </c:pt>
                <c:pt idx="41">
                  <c:v>231.89024653183591</c:v>
                </c:pt>
                <c:pt idx="42">
                  <c:v>231.1682175909749</c:v>
                </c:pt>
                <c:pt idx="43">
                  <c:v>226.61983962619698</c:v>
                </c:pt>
                <c:pt idx="44">
                  <c:v>225.12196794749974</c:v>
                </c:pt>
                <c:pt idx="45">
                  <c:v>223.97903271184572</c:v>
                </c:pt>
                <c:pt idx="46">
                  <c:v>221.48149227389979</c:v>
                </c:pt>
                <c:pt idx="47">
                  <c:v>238.76528594399355</c:v>
                </c:pt>
                <c:pt idx="48">
                  <c:v>234.57905826895913</c:v>
                </c:pt>
                <c:pt idx="49">
                  <c:v>229.53668233672761</c:v>
                </c:pt>
                <c:pt idx="50">
                  <c:v>233.92406672387213</c:v>
                </c:pt>
                <c:pt idx="51">
                  <c:v>231.1118672738142</c:v>
                </c:pt>
                <c:pt idx="52">
                  <c:v>231.08359303093687</c:v>
                </c:pt>
                <c:pt idx="53">
                  <c:v>227.74933857892808</c:v>
                </c:pt>
                <c:pt idx="54">
                  <c:v>228.58834281297609</c:v>
                </c:pt>
                <c:pt idx="55">
                  <c:v>230.59912703872999</c:v>
                </c:pt>
                <c:pt idx="56">
                  <c:v>228.16497339153935</c:v>
                </c:pt>
                <c:pt idx="57">
                  <c:v>227.51336625533276</c:v>
                </c:pt>
                <c:pt idx="58">
                  <c:v>228.23191542777963</c:v>
                </c:pt>
                <c:pt idx="59">
                  <c:v>233.52309308825787</c:v>
                </c:pt>
                <c:pt idx="60">
                  <c:v>234.51570758878742</c:v>
                </c:pt>
                <c:pt idx="61">
                  <c:v>229.01744600990597</c:v>
                </c:pt>
                <c:pt idx="62">
                  <c:v>237.86251465437113</c:v>
                </c:pt>
                <c:pt idx="63">
                  <c:v>238.79316832582836</c:v>
                </c:pt>
                <c:pt idx="64">
                  <c:v>235.74891759435167</c:v>
                </c:pt>
                <c:pt idx="65">
                  <c:v>242.03816714321246</c:v>
                </c:pt>
                <c:pt idx="66">
                  <c:v>240.82560665321785</c:v>
                </c:pt>
                <c:pt idx="67">
                  <c:v>237.64400799034166</c:v>
                </c:pt>
                <c:pt idx="68">
                  <c:v>240.86306519804015</c:v>
                </c:pt>
                <c:pt idx="69">
                  <c:v>243.05014751148093</c:v>
                </c:pt>
                <c:pt idx="70">
                  <c:v>242.33960208074123</c:v>
                </c:pt>
                <c:pt idx="71">
                  <c:v>238.32167101393983</c:v>
                </c:pt>
                <c:pt idx="72">
                  <c:v>243.19007299402841</c:v>
                </c:pt>
                <c:pt idx="73">
                  <c:v>235.0102266862674</c:v>
                </c:pt>
                <c:pt idx="74">
                  <c:v>232.5432254564698</c:v>
                </c:pt>
                <c:pt idx="75">
                  <c:v>233.60808316140242</c:v>
                </c:pt>
                <c:pt idx="76">
                  <c:v>226.89901716143967</c:v>
                </c:pt>
                <c:pt idx="77">
                  <c:v>227.64745636546766</c:v>
                </c:pt>
                <c:pt idx="78">
                  <c:v>227.18251858259035</c:v>
                </c:pt>
                <c:pt idx="79">
                  <c:v>224.05019455416479</c:v>
                </c:pt>
                <c:pt idx="80">
                  <c:v>232.58554376451067</c:v>
                </c:pt>
                <c:pt idx="81">
                  <c:v>234.36102655396064</c:v>
                </c:pt>
                <c:pt idx="82">
                  <c:v>234.72449631291173</c:v>
                </c:pt>
                <c:pt idx="83">
                  <c:v>238.26906091696017</c:v>
                </c:pt>
                <c:pt idx="84">
                  <c:v>242.28326384087634</c:v>
                </c:pt>
                <c:pt idx="85">
                  <c:v>233.84183060503491</c:v>
                </c:pt>
                <c:pt idx="86">
                  <c:v>226.28457800650278</c:v>
                </c:pt>
                <c:pt idx="87">
                  <c:v>229.96640404523123</c:v>
                </c:pt>
                <c:pt idx="88">
                  <c:v>238.1234698975465</c:v>
                </c:pt>
                <c:pt idx="89">
                  <c:v>243.952938853772</c:v>
                </c:pt>
                <c:pt idx="90">
                  <c:v>245.83765481848516</c:v>
                </c:pt>
                <c:pt idx="91">
                  <c:v>251.54693284601569</c:v>
                </c:pt>
                <c:pt idx="92">
                  <c:v>255.22264975536478</c:v>
                </c:pt>
                <c:pt idx="93">
                  <c:v>258.57049296262886</c:v>
                </c:pt>
                <c:pt idx="94">
                  <c:v>252.71395375318028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CD41-094C-BCDC-8807F586F36B}"/>
            </c:ext>
          </c:extLst>
        </c:ser>
        <c:ser>
          <c:idx val="59"/>
          <c:order val="59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frozen'!$E$61:$CU$61</c:f>
              <c:numCache>
                <c:formatCode>General</c:formatCode>
                <c:ptCount val="95"/>
                <c:pt idx="0">
                  <c:v>222.13</c:v>
                </c:pt>
                <c:pt idx="1">
                  <c:v>220.92476013554327</c:v>
                </c:pt>
                <c:pt idx="2">
                  <c:v>220.26096116514091</c:v>
                </c:pt>
                <c:pt idx="3">
                  <c:v>221.76912179636074</c:v>
                </c:pt>
                <c:pt idx="4">
                  <c:v>225.10015199530829</c:v>
                </c:pt>
                <c:pt idx="5">
                  <c:v>223.56057020625775</c:v>
                </c:pt>
                <c:pt idx="6">
                  <c:v>216.09368401054667</c:v>
                </c:pt>
                <c:pt idx="7">
                  <c:v>211.14897367308413</c:v>
                </c:pt>
                <c:pt idx="8">
                  <c:v>212.01380908876502</c:v>
                </c:pt>
                <c:pt idx="9">
                  <c:v>213.01632012018686</c:v>
                </c:pt>
                <c:pt idx="10">
                  <c:v>209.643483816171</c:v>
                </c:pt>
                <c:pt idx="11">
                  <c:v>212.39054703517894</c:v>
                </c:pt>
                <c:pt idx="12">
                  <c:v>208.28848377267647</c:v>
                </c:pt>
                <c:pt idx="13">
                  <c:v>202.85311036448746</c:v>
                </c:pt>
                <c:pt idx="14">
                  <c:v>203.46468844776655</c:v>
                </c:pt>
                <c:pt idx="15">
                  <c:v>193.55264522977387</c:v>
                </c:pt>
                <c:pt idx="16">
                  <c:v>194.83096309510202</c:v>
                </c:pt>
                <c:pt idx="17">
                  <c:v>199.13827892101421</c:v>
                </c:pt>
                <c:pt idx="18">
                  <c:v>201.55419024912959</c:v>
                </c:pt>
                <c:pt idx="19">
                  <c:v>197.12827651339001</c:v>
                </c:pt>
                <c:pt idx="20">
                  <c:v>193.88262268484078</c:v>
                </c:pt>
                <c:pt idx="21">
                  <c:v>184.56647122502343</c:v>
                </c:pt>
                <c:pt idx="22">
                  <c:v>179.43140443615349</c:v>
                </c:pt>
                <c:pt idx="23">
                  <c:v>188.96967626591388</c:v>
                </c:pt>
                <c:pt idx="24">
                  <c:v>181.75976453690052</c:v>
                </c:pt>
                <c:pt idx="25">
                  <c:v>190.75456358116978</c:v>
                </c:pt>
                <c:pt idx="26">
                  <c:v>193.62676365442462</c:v>
                </c:pt>
                <c:pt idx="27">
                  <c:v>198.5388638463196</c:v>
                </c:pt>
                <c:pt idx="28">
                  <c:v>196.78924326875008</c:v>
                </c:pt>
                <c:pt idx="29">
                  <c:v>199.46410985097765</c:v>
                </c:pt>
                <c:pt idx="30">
                  <c:v>196.24930447439769</c:v>
                </c:pt>
                <c:pt idx="31">
                  <c:v>187.89120421070348</c:v>
                </c:pt>
                <c:pt idx="32">
                  <c:v>191.06537225771939</c:v>
                </c:pt>
                <c:pt idx="33">
                  <c:v>189.69712081188737</c:v>
                </c:pt>
                <c:pt idx="34">
                  <c:v>196.78977446221111</c:v>
                </c:pt>
                <c:pt idx="35">
                  <c:v>194.31012236793669</c:v>
                </c:pt>
                <c:pt idx="36">
                  <c:v>187.96132195386389</c:v>
                </c:pt>
                <c:pt idx="37">
                  <c:v>186.84550967966663</c:v>
                </c:pt>
                <c:pt idx="38">
                  <c:v>187.81153432402658</c:v>
                </c:pt>
                <c:pt idx="39">
                  <c:v>195.25942715536829</c:v>
                </c:pt>
                <c:pt idx="40">
                  <c:v>193.3020203644941</c:v>
                </c:pt>
                <c:pt idx="41">
                  <c:v>195.45404650606847</c:v>
                </c:pt>
                <c:pt idx="42">
                  <c:v>187.79504897933614</c:v>
                </c:pt>
                <c:pt idx="43">
                  <c:v>190.9959333424751</c:v>
                </c:pt>
                <c:pt idx="44">
                  <c:v>187.40110015491126</c:v>
                </c:pt>
                <c:pt idx="45">
                  <c:v>193.0747741180179</c:v>
                </c:pt>
                <c:pt idx="46">
                  <c:v>194.77999688361629</c:v>
                </c:pt>
                <c:pt idx="47">
                  <c:v>201.50199966810311</c:v>
                </c:pt>
                <c:pt idx="48">
                  <c:v>200.31782934148805</c:v>
                </c:pt>
                <c:pt idx="49">
                  <c:v>203.79732458707346</c:v>
                </c:pt>
                <c:pt idx="50">
                  <c:v>202.97980957617611</c:v>
                </c:pt>
                <c:pt idx="51">
                  <c:v>207.44276669219653</c:v>
                </c:pt>
                <c:pt idx="52">
                  <c:v>212.00009739387212</c:v>
                </c:pt>
                <c:pt idx="53">
                  <c:v>213.37667196243439</c:v>
                </c:pt>
                <c:pt idx="54">
                  <c:v>208.3985972136243</c:v>
                </c:pt>
                <c:pt idx="55">
                  <c:v>209.70936534057097</c:v>
                </c:pt>
                <c:pt idx="56">
                  <c:v>204.89817975231443</c:v>
                </c:pt>
                <c:pt idx="57">
                  <c:v>208.17455531157125</c:v>
                </c:pt>
                <c:pt idx="58">
                  <c:v>201.82308517194019</c:v>
                </c:pt>
                <c:pt idx="59">
                  <c:v>193.89059207016822</c:v>
                </c:pt>
                <c:pt idx="60">
                  <c:v>196.36459048441085</c:v>
                </c:pt>
                <c:pt idx="61">
                  <c:v>192.12315821176097</c:v>
                </c:pt>
                <c:pt idx="62">
                  <c:v>195.09023797283797</c:v>
                </c:pt>
                <c:pt idx="63">
                  <c:v>188.94022251920438</c:v>
                </c:pt>
                <c:pt idx="64">
                  <c:v>184.52212656632921</c:v>
                </c:pt>
                <c:pt idx="65">
                  <c:v>182.31027792834749</c:v>
                </c:pt>
                <c:pt idx="66">
                  <c:v>183.98037543650955</c:v>
                </c:pt>
                <c:pt idx="67">
                  <c:v>176.34234977170198</c:v>
                </c:pt>
                <c:pt idx="68">
                  <c:v>176.06406164160347</c:v>
                </c:pt>
                <c:pt idx="69">
                  <c:v>175.48344627450288</c:v>
                </c:pt>
                <c:pt idx="70">
                  <c:v>176.55832153760988</c:v>
                </c:pt>
                <c:pt idx="71">
                  <c:v>176.56974945478112</c:v>
                </c:pt>
                <c:pt idx="72">
                  <c:v>174.51975825385301</c:v>
                </c:pt>
                <c:pt idx="73">
                  <c:v>186.87980398226071</c:v>
                </c:pt>
                <c:pt idx="74">
                  <c:v>189.39740134877786</c:v>
                </c:pt>
                <c:pt idx="75">
                  <c:v>190.7757282256384</c:v>
                </c:pt>
                <c:pt idx="76">
                  <c:v>186.42395129185093</c:v>
                </c:pt>
                <c:pt idx="77">
                  <c:v>187.12806966583963</c:v>
                </c:pt>
                <c:pt idx="78">
                  <c:v>188.51538924281229</c:v>
                </c:pt>
                <c:pt idx="79">
                  <c:v>184.15448555069636</c:v>
                </c:pt>
                <c:pt idx="80">
                  <c:v>184.2896913942871</c:v>
                </c:pt>
                <c:pt idx="81">
                  <c:v>182.22465520068701</c:v>
                </c:pt>
                <c:pt idx="82">
                  <c:v>182.78438876680346</c:v>
                </c:pt>
                <c:pt idx="83">
                  <c:v>178.84921255414594</c:v>
                </c:pt>
                <c:pt idx="84">
                  <c:v>175.79142554202488</c:v>
                </c:pt>
                <c:pt idx="85">
                  <c:v>181.04715452279009</c:v>
                </c:pt>
                <c:pt idx="86">
                  <c:v>172.52558069478573</c:v>
                </c:pt>
                <c:pt idx="87">
                  <c:v>169.68144518691224</c:v>
                </c:pt>
                <c:pt idx="88">
                  <c:v>174.9646723311804</c:v>
                </c:pt>
                <c:pt idx="89">
                  <c:v>170.1750420290999</c:v>
                </c:pt>
                <c:pt idx="90">
                  <c:v>165.49262412657606</c:v>
                </c:pt>
                <c:pt idx="91">
                  <c:v>168.56530656580694</c:v>
                </c:pt>
                <c:pt idx="92">
                  <c:v>166.40411101289402</c:v>
                </c:pt>
                <c:pt idx="93">
                  <c:v>173.8687619632876</c:v>
                </c:pt>
                <c:pt idx="94">
                  <c:v>176.75751190119138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CD41-094C-BCDC-8807F586F36B}"/>
            </c:ext>
          </c:extLst>
        </c:ser>
        <c:ser>
          <c:idx val="60"/>
          <c:order val="60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frozen'!$E$62:$CU$62</c:f>
              <c:numCache>
                <c:formatCode>General</c:formatCode>
                <c:ptCount val="95"/>
                <c:pt idx="0">
                  <c:v>222.13</c:v>
                </c:pt>
                <c:pt idx="1">
                  <c:v>217.09100357609</c:v>
                </c:pt>
                <c:pt idx="2">
                  <c:v>226.94660502552171</c:v>
                </c:pt>
                <c:pt idx="3">
                  <c:v>227.5496449923489</c:v>
                </c:pt>
                <c:pt idx="4">
                  <c:v>222.75935034357724</c:v>
                </c:pt>
                <c:pt idx="5">
                  <c:v>236.39677486444006</c:v>
                </c:pt>
                <c:pt idx="6">
                  <c:v>247.86315457820965</c:v>
                </c:pt>
                <c:pt idx="7">
                  <c:v>257.35930295684739</c:v>
                </c:pt>
                <c:pt idx="8">
                  <c:v>258.58487053765032</c:v>
                </c:pt>
                <c:pt idx="9">
                  <c:v>261.50774776760971</c:v>
                </c:pt>
                <c:pt idx="10">
                  <c:v>263.3597080340532</c:v>
                </c:pt>
                <c:pt idx="11">
                  <c:v>266.00671690153109</c:v>
                </c:pt>
                <c:pt idx="12">
                  <c:v>276.14855258146963</c:v>
                </c:pt>
                <c:pt idx="13">
                  <c:v>268.69798598079831</c:v>
                </c:pt>
                <c:pt idx="14">
                  <c:v>263.16858387382734</c:v>
                </c:pt>
                <c:pt idx="15">
                  <c:v>262.98246553137824</c:v>
                </c:pt>
                <c:pt idx="16">
                  <c:v>255.58953535220334</c:v>
                </c:pt>
                <c:pt idx="17">
                  <c:v>256.46861483090026</c:v>
                </c:pt>
                <c:pt idx="18">
                  <c:v>266.62637208610067</c:v>
                </c:pt>
                <c:pt idx="19">
                  <c:v>272.28764201985325</c:v>
                </c:pt>
                <c:pt idx="20">
                  <c:v>269.55478276615952</c:v>
                </c:pt>
                <c:pt idx="21">
                  <c:v>262.97812340848361</c:v>
                </c:pt>
                <c:pt idx="22">
                  <c:v>273.08747046620482</c:v>
                </c:pt>
                <c:pt idx="23">
                  <c:v>291.30191504424749</c:v>
                </c:pt>
                <c:pt idx="24">
                  <c:v>292.89829065370571</c:v>
                </c:pt>
                <c:pt idx="25">
                  <c:v>298.69749727809142</c:v>
                </c:pt>
                <c:pt idx="26">
                  <c:v>287.91656367505459</c:v>
                </c:pt>
                <c:pt idx="27">
                  <c:v>293.83403617368811</c:v>
                </c:pt>
                <c:pt idx="28">
                  <c:v>290.57445558014444</c:v>
                </c:pt>
                <c:pt idx="29">
                  <c:v>285.71005681481347</c:v>
                </c:pt>
                <c:pt idx="30">
                  <c:v>287.64755125005399</c:v>
                </c:pt>
                <c:pt idx="31">
                  <c:v>295.44946656215393</c:v>
                </c:pt>
                <c:pt idx="32">
                  <c:v>284.96698781129419</c:v>
                </c:pt>
                <c:pt idx="33">
                  <c:v>276.28237352677047</c:v>
                </c:pt>
                <c:pt idx="34">
                  <c:v>292.96933511594642</c:v>
                </c:pt>
                <c:pt idx="35">
                  <c:v>286.38753762268317</c:v>
                </c:pt>
                <c:pt idx="36">
                  <c:v>286.98174920896537</c:v>
                </c:pt>
                <c:pt idx="37">
                  <c:v>283.59219857486335</c:v>
                </c:pt>
                <c:pt idx="38">
                  <c:v>291.82976225699531</c:v>
                </c:pt>
                <c:pt idx="39">
                  <c:v>283.48858256862241</c:v>
                </c:pt>
                <c:pt idx="40">
                  <c:v>295.1003167531025</c:v>
                </c:pt>
                <c:pt idx="41">
                  <c:v>299.17158773732478</c:v>
                </c:pt>
                <c:pt idx="42">
                  <c:v>295.59158201682004</c:v>
                </c:pt>
                <c:pt idx="43">
                  <c:v>292.94045768893494</c:v>
                </c:pt>
                <c:pt idx="44">
                  <c:v>296.89707556514799</c:v>
                </c:pt>
                <c:pt idx="45">
                  <c:v>297.72201946211169</c:v>
                </c:pt>
                <c:pt idx="46">
                  <c:v>292.56392341268969</c:v>
                </c:pt>
                <c:pt idx="47">
                  <c:v>297.64539189354036</c:v>
                </c:pt>
                <c:pt idx="48">
                  <c:v>292.72981519632685</c:v>
                </c:pt>
                <c:pt idx="49">
                  <c:v>294.08793504893714</c:v>
                </c:pt>
                <c:pt idx="50">
                  <c:v>295.26321571298445</c:v>
                </c:pt>
                <c:pt idx="51">
                  <c:v>297.40598407696245</c:v>
                </c:pt>
                <c:pt idx="52">
                  <c:v>304.63177048982203</c:v>
                </c:pt>
                <c:pt idx="53">
                  <c:v>309.39596245715097</c:v>
                </c:pt>
                <c:pt idx="54">
                  <c:v>314.1362025042074</c:v>
                </c:pt>
                <c:pt idx="55">
                  <c:v>314.12619347152048</c:v>
                </c:pt>
                <c:pt idx="56">
                  <c:v>309.30830802580766</c:v>
                </c:pt>
                <c:pt idx="57">
                  <c:v>313.61263916772509</c:v>
                </c:pt>
                <c:pt idx="58">
                  <c:v>317.84694741033286</c:v>
                </c:pt>
                <c:pt idx="59">
                  <c:v>312.71764099078428</c:v>
                </c:pt>
                <c:pt idx="60">
                  <c:v>317.14739494773784</c:v>
                </c:pt>
                <c:pt idx="61">
                  <c:v>313.52828997545669</c:v>
                </c:pt>
                <c:pt idx="62">
                  <c:v>316.09058108015756</c:v>
                </c:pt>
                <c:pt idx="63">
                  <c:v>325.57212070255224</c:v>
                </c:pt>
                <c:pt idx="64">
                  <c:v>319.55844660222169</c:v>
                </c:pt>
                <c:pt idx="65">
                  <c:v>313.51060997773453</c:v>
                </c:pt>
                <c:pt idx="66">
                  <c:v>307.31526190431902</c:v>
                </c:pt>
                <c:pt idx="67">
                  <c:v>307.54105062028719</c:v>
                </c:pt>
                <c:pt idx="68">
                  <c:v>320.83268003081787</c:v>
                </c:pt>
                <c:pt idx="69">
                  <c:v>310.55943229820411</c:v>
                </c:pt>
                <c:pt idx="70">
                  <c:v>315.46502469368357</c:v>
                </c:pt>
                <c:pt idx="71">
                  <c:v>321.91936275972387</c:v>
                </c:pt>
                <c:pt idx="72">
                  <c:v>319.84712896546813</c:v>
                </c:pt>
                <c:pt idx="73">
                  <c:v>323.10942947316528</c:v>
                </c:pt>
                <c:pt idx="74">
                  <c:v>314.9929997102094</c:v>
                </c:pt>
                <c:pt idx="75">
                  <c:v>306.27922569070722</c:v>
                </c:pt>
                <c:pt idx="76">
                  <c:v>314.49516002778552</c:v>
                </c:pt>
                <c:pt idx="77">
                  <c:v>314.57755235993102</c:v>
                </c:pt>
                <c:pt idx="78">
                  <c:v>309.43112052602589</c:v>
                </c:pt>
                <c:pt idx="79">
                  <c:v>307.63789557184697</c:v>
                </c:pt>
                <c:pt idx="80">
                  <c:v>313.75485223462402</c:v>
                </c:pt>
                <c:pt idx="81">
                  <c:v>317.98999558773977</c:v>
                </c:pt>
                <c:pt idx="82">
                  <c:v>322.2751709300075</c:v>
                </c:pt>
                <c:pt idx="83">
                  <c:v>332.76950336522754</c:v>
                </c:pt>
                <c:pt idx="84">
                  <c:v>333.04088705472583</c:v>
                </c:pt>
                <c:pt idx="85">
                  <c:v>331.46163975079401</c:v>
                </c:pt>
                <c:pt idx="86">
                  <c:v>337.72106310431866</c:v>
                </c:pt>
                <c:pt idx="87">
                  <c:v>341.66166989121911</c:v>
                </c:pt>
                <c:pt idx="88">
                  <c:v>337.18381377793673</c:v>
                </c:pt>
                <c:pt idx="89">
                  <c:v>341.63354511663039</c:v>
                </c:pt>
                <c:pt idx="90">
                  <c:v>329.48600568472096</c:v>
                </c:pt>
                <c:pt idx="91">
                  <c:v>331.45288440617657</c:v>
                </c:pt>
                <c:pt idx="92">
                  <c:v>339.72173652141271</c:v>
                </c:pt>
                <c:pt idx="93">
                  <c:v>331.49693162337297</c:v>
                </c:pt>
                <c:pt idx="94">
                  <c:v>330.92782865784926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CD41-094C-BCDC-8807F586F36B}"/>
            </c:ext>
          </c:extLst>
        </c:ser>
        <c:ser>
          <c:idx val="61"/>
          <c:order val="61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frozen'!$E$63:$CU$63</c:f>
              <c:numCache>
                <c:formatCode>General</c:formatCode>
                <c:ptCount val="95"/>
                <c:pt idx="0">
                  <c:v>222.13</c:v>
                </c:pt>
                <c:pt idx="1">
                  <c:v>217.97684581156111</c:v>
                </c:pt>
                <c:pt idx="2">
                  <c:v>215.62691209175085</c:v>
                </c:pt>
                <c:pt idx="3">
                  <c:v>225.54517787729856</c:v>
                </c:pt>
                <c:pt idx="4">
                  <c:v>225.65716106291373</c:v>
                </c:pt>
                <c:pt idx="5">
                  <c:v>221.68583982340181</c:v>
                </c:pt>
                <c:pt idx="6">
                  <c:v>222.46294817676946</c:v>
                </c:pt>
                <c:pt idx="7">
                  <c:v>220.2978552196285</c:v>
                </c:pt>
                <c:pt idx="8">
                  <c:v>210.59521212726466</c:v>
                </c:pt>
                <c:pt idx="9">
                  <c:v>208.76587897429999</c:v>
                </c:pt>
                <c:pt idx="10">
                  <c:v>209.0275858801877</c:v>
                </c:pt>
                <c:pt idx="11">
                  <c:v>207.17648285328872</c:v>
                </c:pt>
                <c:pt idx="12">
                  <c:v>203.06904803906627</c:v>
                </c:pt>
                <c:pt idx="13">
                  <c:v>200.72415320201273</c:v>
                </c:pt>
                <c:pt idx="14">
                  <c:v>200.10678567156765</c:v>
                </c:pt>
                <c:pt idx="15">
                  <c:v>200.77191191605439</c:v>
                </c:pt>
                <c:pt idx="16">
                  <c:v>205.19946701888884</c:v>
                </c:pt>
                <c:pt idx="17">
                  <c:v>202.06064183781368</c:v>
                </c:pt>
                <c:pt idx="18">
                  <c:v>200.42664919402162</c:v>
                </c:pt>
                <c:pt idx="19">
                  <c:v>198.26201855162017</c:v>
                </c:pt>
                <c:pt idx="20">
                  <c:v>197.05024938831519</c:v>
                </c:pt>
                <c:pt idx="21">
                  <c:v>203.50716793761126</c:v>
                </c:pt>
                <c:pt idx="22">
                  <c:v>199.00974162143467</c:v>
                </c:pt>
                <c:pt idx="23">
                  <c:v>196.65165432541718</c:v>
                </c:pt>
                <c:pt idx="24">
                  <c:v>196.57291602296056</c:v>
                </c:pt>
                <c:pt idx="25">
                  <c:v>196.3335915095642</c:v>
                </c:pt>
                <c:pt idx="26">
                  <c:v>189.26539717126857</c:v>
                </c:pt>
                <c:pt idx="27">
                  <c:v>184.26010964406851</c:v>
                </c:pt>
                <c:pt idx="28">
                  <c:v>180.57783368180949</c:v>
                </c:pt>
                <c:pt idx="29">
                  <c:v>176.80986856898744</c:v>
                </c:pt>
                <c:pt idx="30">
                  <c:v>179.41985489742979</c:v>
                </c:pt>
                <c:pt idx="31">
                  <c:v>184.92793487448506</c:v>
                </c:pt>
                <c:pt idx="32">
                  <c:v>183.34494048484635</c:v>
                </c:pt>
                <c:pt idx="33">
                  <c:v>183.67178219723365</c:v>
                </c:pt>
                <c:pt idx="34">
                  <c:v>178.69712397213306</c:v>
                </c:pt>
                <c:pt idx="35">
                  <c:v>179.47696456617774</c:v>
                </c:pt>
                <c:pt idx="36">
                  <c:v>167.27156291913707</c:v>
                </c:pt>
                <c:pt idx="37">
                  <c:v>165.97448804193627</c:v>
                </c:pt>
                <c:pt idx="38">
                  <c:v>171.23361749383352</c:v>
                </c:pt>
                <c:pt idx="39">
                  <c:v>167.89889383273612</c:v>
                </c:pt>
                <c:pt idx="40">
                  <c:v>167.19134881540091</c:v>
                </c:pt>
                <c:pt idx="41">
                  <c:v>165.93659404949776</c:v>
                </c:pt>
                <c:pt idx="42">
                  <c:v>163.6486152932674</c:v>
                </c:pt>
                <c:pt idx="43">
                  <c:v>165.40971944061124</c:v>
                </c:pt>
                <c:pt idx="44">
                  <c:v>166.63402003547691</c:v>
                </c:pt>
                <c:pt idx="45">
                  <c:v>169.22622590032745</c:v>
                </c:pt>
                <c:pt idx="46">
                  <c:v>165.76606902300787</c:v>
                </c:pt>
                <c:pt idx="47">
                  <c:v>165.2104095930703</c:v>
                </c:pt>
                <c:pt idx="48">
                  <c:v>164.16025155015643</c:v>
                </c:pt>
                <c:pt idx="49">
                  <c:v>162.13184043304085</c:v>
                </c:pt>
                <c:pt idx="50">
                  <c:v>167.1440059005607</c:v>
                </c:pt>
                <c:pt idx="51">
                  <c:v>169.05925704823883</c:v>
                </c:pt>
                <c:pt idx="52">
                  <c:v>170.04822189036003</c:v>
                </c:pt>
                <c:pt idx="53">
                  <c:v>168.57499834691956</c:v>
                </c:pt>
                <c:pt idx="54">
                  <c:v>167.25394289125791</c:v>
                </c:pt>
                <c:pt idx="55">
                  <c:v>166.65081597707714</c:v>
                </c:pt>
                <c:pt idx="56">
                  <c:v>163.36220595558189</c:v>
                </c:pt>
                <c:pt idx="57">
                  <c:v>161.16984385378882</c:v>
                </c:pt>
                <c:pt idx="58">
                  <c:v>163.59352464862096</c:v>
                </c:pt>
                <c:pt idx="59">
                  <c:v>162.45176224186241</c:v>
                </c:pt>
                <c:pt idx="60">
                  <c:v>159.56577041066015</c:v>
                </c:pt>
                <c:pt idx="61">
                  <c:v>161.98565020060985</c:v>
                </c:pt>
                <c:pt idx="62">
                  <c:v>161.09960721480334</c:v>
                </c:pt>
                <c:pt idx="63">
                  <c:v>150.54013983468735</c:v>
                </c:pt>
                <c:pt idx="64">
                  <c:v>155.76271588334035</c:v>
                </c:pt>
                <c:pt idx="65">
                  <c:v>150.38271084472638</c:v>
                </c:pt>
                <c:pt idx="66">
                  <c:v>148.6600327005311</c:v>
                </c:pt>
                <c:pt idx="67">
                  <c:v>146.04070516541191</c:v>
                </c:pt>
                <c:pt idx="68">
                  <c:v>148.12413645179771</c:v>
                </c:pt>
                <c:pt idx="69">
                  <c:v>150.56039218577166</c:v>
                </c:pt>
                <c:pt idx="70">
                  <c:v>146.08452692241656</c:v>
                </c:pt>
                <c:pt idx="71">
                  <c:v>151.16066776764109</c:v>
                </c:pt>
                <c:pt idx="72">
                  <c:v>149.91725150825945</c:v>
                </c:pt>
                <c:pt idx="73">
                  <c:v>154.18462022360453</c:v>
                </c:pt>
                <c:pt idx="74">
                  <c:v>159.50276107464083</c:v>
                </c:pt>
                <c:pt idx="75">
                  <c:v>160.76299204975447</c:v>
                </c:pt>
                <c:pt idx="76">
                  <c:v>160.88596785894867</c:v>
                </c:pt>
                <c:pt idx="77">
                  <c:v>150.64619529392797</c:v>
                </c:pt>
                <c:pt idx="78">
                  <c:v>151.41707742214322</c:v>
                </c:pt>
                <c:pt idx="79">
                  <c:v>155.20511745097883</c:v>
                </c:pt>
                <c:pt idx="80">
                  <c:v>158.89909010838207</c:v>
                </c:pt>
                <c:pt idx="81">
                  <c:v>164.06784520496953</c:v>
                </c:pt>
                <c:pt idx="82">
                  <c:v>160.14278876193129</c:v>
                </c:pt>
                <c:pt idx="83">
                  <c:v>157.24563011579167</c:v>
                </c:pt>
                <c:pt idx="84">
                  <c:v>161.20906136233285</c:v>
                </c:pt>
                <c:pt idx="85">
                  <c:v>166.41214492276001</c:v>
                </c:pt>
                <c:pt idx="86">
                  <c:v>161.63355857320346</c:v>
                </c:pt>
                <c:pt idx="87">
                  <c:v>159.97450392339351</c:v>
                </c:pt>
                <c:pt idx="88">
                  <c:v>159.88772458227305</c:v>
                </c:pt>
                <c:pt idx="89">
                  <c:v>155.21050209538754</c:v>
                </c:pt>
                <c:pt idx="90">
                  <c:v>151.40792328029593</c:v>
                </c:pt>
                <c:pt idx="91">
                  <c:v>151.16686595082365</c:v>
                </c:pt>
                <c:pt idx="92">
                  <c:v>156.93804083380226</c:v>
                </c:pt>
                <c:pt idx="93">
                  <c:v>156.36768229264518</c:v>
                </c:pt>
                <c:pt idx="94">
                  <c:v>162.94446357591414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CD41-094C-BCDC-8807F586F36B}"/>
            </c:ext>
          </c:extLst>
        </c:ser>
        <c:ser>
          <c:idx val="62"/>
          <c:order val="62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frozen'!$E$64:$CU$64</c:f>
              <c:numCache>
                <c:formatCode>General</c:formatCode>
                <c:ptCount val="95"/>
                <c:pt idx="0">
                  <c:v>222.13</c:v>
                </c:pt>
                <c:pt idx="1">
                  <c:v>214.04805613005428</c:v>
                </c:pt>
                <c:pt idx="2">
                  <c:v>218.90376197366226</c:v>
                </c:pt>
                <c:pt idx="3">
                  <c:v>214.59707562910617</c:v>
                </c:pt>
                <c:pt idx="4">
                  <c:v>228.29954340154279</c:v>
                </c:pt>
                <c:pt idx="5">
                  <c:v>231.023033590967</c:v>
                </c:pt>
                <c:pt idx="6">
                  <c:v>230.57751573108942</c:v>
                </c:pt>
                <c:pt idx="7">
                  <c:v>225.46439665318005</c:v>
                </c:pt>
                <c:pt idx="8">
                  <c:v>231.47068330802168</c:v>
                </c:pt>
                <c:pt idx="9">
                  <c:v>223.82565641424571</c:v>
                </c:pt>
                <c:pt idx="10">
                  <c:v>220.68129171062742</c:v>
                </c:pt>
                <c:pt idx="11">
                  <c:v>218.79419546557568</c:v>
                </c:pt>
                <c:pt idx="12">
                  <c:v>217.676738171897</c:v>
                </c:pt>
                <c:pt idx="13">
                  <c:v>212.41510714629996</c:v>
                </c:pt>
                <c:pt idx="14">
                  <c:v>213.7674653803075</c:v>
                </c:pt>
                <c:pt idx="15">
                  <c:v>212.88782062734234</c:v>
                </c:pt>
                <c:pt idx="16">
                  <c:v>213.05525237685126</c:v>
                </c:pt>
                <c:pt idx="17">
                  <c:v>208.40469093128647</c:v>
                </c:pt>
                <c:pt idx="18">
                  <c:v>204.99488288676562</c:v>
                </c:pt>
                <c:pt idx="19">
                  <c:v>210.88780912535253</c:v>
                </c:pt>
                <c:pt idx="20">
                  <c:v>209.47268332697936</c:v>
                </c:pt>
                <c:pt idx="21">
                  <c:v>205.15666234018491</c:v>
                </c:pt>
                <c:pt idx="22">
                  <c:v>206.57392256474679</c:v>
                </c:pt>
                <c:pt idx="23">
                  <c:v>202.6731139270025</c:v>
                </c:pt>
                <c:pt idx="24">
                  <c:v>205.08694100362368</c:v>
                </c:pt>
                <c:pt idx="25">
                  <c:v>203.00262124475344</c:v>
                </c:pt>
                <c:pt idx="26">
                  <c:v>206.06542885449915</c:v>
                </c:pt>
                <c:pt idx="27">
                  <c:v>200.91202167934102</c:v>
                </c:pt>
                <c:pt idx="28">
                  <c:v>199.15787282995942</c:v>
                </c:pt>
                <c:pt idx="29">
                  <c:v>200.85882642315298</c:v>
                </c:pt>
                <c:pt idx="30">
                  <c:v>188.09254681627667</c:v>
                </c:pt>
                <c:pt idx="31">
                  <c:v>181.93173184956279</c:v>
                </c:pt>
                <c:pt idx="32">
                  <c:v>185.63775495809284</c:v>
                </c:pt>
                <c:pt idx="33">
                  <c:v>188.16558331804708</c:v>
                </c:pt>
                <c:pt idx="34">
                  <c:v>189.34717772078164</c:v>
                </c:pt>
                <c:pt idx="35">
                  <c:v>187.47895556235295</c:v>
                </c:pt>
                <c:pt idx="36">
                  <c:v>187.66033979580516</c:v>
                </c:pt>
                <c:pt idx="37">
                  <c:v>184.99728644133836</c:v>
                </c:pt>
                <c:pt idx="38">
                  <c:v>183.80403819371824</c:v>
                </c:pt>
                <c:pt idx="39">
                  <c:v>177.33374290365171</c:v>
                </c:pt>
                <c:pt idx="40">
                  <c:v>180.50513057397617</c:v>
                </c:pt>
                <c:pt idx="41">
                  <c:v>176.96193142875089</c:v>
                </c:pt>
                <c:pt idx="42">
                  <c:v>174.46170462404481</c:v>
                </c:pt>
                <c:pt idx="43">
                  <c:v>167.88232909992507</c:v>
                </c:pt>
                <c:pt idx="44">
                  <c:v>168.76497906740957</c:v>
                </c:pt>
                <c:pt idx="45">
                  <c:v>168.40112610520211</c:v>
                </c:pt>
                <c:pt idx="46">
                  <c:v>167.51816431965477</c:v>
                </c:pt>
                <c:pt idx="47">
                  <c:v>169.52114440299681</c:v>
                </c:pt>
                <c:pt idx="48">
                  <c:v>168.85956210746681</c:v>
                </c:pt>
                <c:pt idx="49">
                  <c:v>170.88394483335628</c:v>
                </c:pt>
                <c:pt idx="50">
                  <c:v>167.35055767211395</c:v>
                </c:pt>
                <c:pt idx="51">
                  <c:v>165.35785344699354</c:v>
                </c:pt>
                <c:pt idx="52">
                  <c:v>163.93977468530895</c:v>
                </c:pt>
                <c:pt idx="53">
                  <c:v>166.43548172020559</c:v>
                </c:pt>
                <c:pt idx="54">
                  <c:v>175.14029363114761</c:v>
                </c:pt>
                <c:pt idx="55">
                  <c:v>167.94061467463814</c:v>
                </c:pt>
                <c:pt idx="56">
                  <c:v>170.56952126386679</c:v>
                </c:pt>
                <c:pt idx="57">
                  <c:v>164.77522433670006</c:v>
                </c:pt>
                <c:pt idx="58">
                  <c:v>164.63239946942338</c:v>
                </c:pt>
                <c:pt idx="59">
                  <c:v>162.01026205058534</c:v>
                </c:pt>
                <c:pt idx="60">
                  <c:v>165.1673213877007</c:v>
                </c:pt>
                <c:pt idx="61">
                  <c:v>167.34011812021311</c:v>
                </c:pt>
                <c:pt idx="62">
                  <c:v>170.97345483313492</c:v>
                </c:pt>
                <c:pt idx="63">
                  <c:v>165.26382869097836</c:v>
                </c:pt>
                <c:pt idx="64">
                  <c:v>163.91794146538021</c:v>
                </c:pt>
                <c:pt idx="65">
                  <c:v>164.57721066576678</c:v>
                </c:pt>
                <c:pt idx="66">
                  <c:v>162.52004232409203</c:v>
                </c:pt>
                <c:pt idx="67">
                  <c:v>166.43101784964946</c:v>
                </c:pt>
                <c:pt idx="68">
                  <c:v>163.33939312891067</c:v>
                </c:pt>
                <c:pt idx="69">
                  <c:v>161.32109014766445</c:v>
                </c:pt>
                <c:pt idx="70">
                  <c:v>164.08705666833231</c:v>
                </c:pt>
                <c:pt idx="71">
                  <c:v>160.71138311369663</c:v>
                </c:pt>
                <c:pt idx="72">
                  <c:v>157.92227464446475</c:v>
                </c:pt>
                <c:pt idx="73">
                  <c:v>159.54474442892331</c:v>
                </c:pt>
                <c:pt idx="74">
                  <c:v>157.62454173080167</c:v>
                </c:pt>
                <c:pt idx="75">
                  <c:v>156.69551333106577</c:v>
                </c:pt>
                <c:pt idx="76">
                  <c:v>154.5621364035415</c:v>
                </c:pt>
                <c:pt idx="77">
                  <c:v>151.52246807802453</c:v>
                </c:pt>
                <c:pt idx="78">
                  <c:v>151.89126724505235</c:v>
                </c:pt>
                <c:pt idx="79">
                  <c:v>148.0952050722268</c:v>
                </c:pt>
                <c:pt idx="80">
                  <c:v>150.37116544696522</c:v>
                </c:pt>
                <c:pt idx="81">
                  <c:v>154.02579340512355</c:v>
                </c:pt>
                <c:pt idx="82">
                  <c:v>156.2786597795359</c:v>
                </c:pt>
                <c:pt idx="83">
                  <c:v>159.06098684922708</c:v>
                </c:pt>
                <c:pt idx="84">
                  <c:v>163.10687170189743</c:v>
                </c:pt>
                <c:pt idx="85">
                  <c:v>168.51355647888911</c:v>
                </c:pt>
                <c:pt idx="86">
                  <c:v>166.5981522416651</c:v>
                </c:pt>
                <c:pt idx="87">
                  <c:v>165.16586419145287</c:v>
                </c:pt>
                <c:pt idx="88">
                  <c:v>158.92501872301219</c:v>
                </c:pt>
                <c:pt idx="89">
                  <c:v>157.0307035114588</c:v>
                </c:pt>
                <c:pt idx="90">
                  <c:v>154.77016105595013</c:v>
                </c:pt>
                <c:pt idx="91">
                  <c:v>154.7354551289414</c:v>
                </c:pt>
                <c:pt idx="92">
                  <c:v>151.75720197270616</c:v>
                </c:pt>
                <c:pt idx="93">
                  <c:v>149.52297209836331</c:v>
                </c:pt>
                <c:pt idx="94">
                  <c:v>153.77876286222198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CD41-094C-BCDC-8807F586F36B}"/>
            </c:ext>
          </c:extLst>
        </c:ser>
        <c:ser>
          <c:idx val="63"/>
          <c:order val="63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frozen'!$E$65:$CU$65</c:f>
              <c:numCache>
                <c:formatCode>General</c:formatCode>
                <c:ptCount val="95"/>
                <c:pt idx="0">
                  <c:v>222.13</c:v>
                </c:pt>
                <c:pt idx="1">
                  <c:v>222.67643723017352</c:v>
                </c:pt>
                <c:pt idx="2">
                  <c:v>222.09828458657793</c:v>
                </c:pt>
                <c:pt idx="3">
                  <c:v>216.7863410894297</c:v>
                </c:pt>
                <c:pt idx="4">
                  <c:v>220.60170278910451</c:v>
                </c:pt>
                <c:pt idx="5">
                  <c:v>218.34601868011518</c:v>
                </c:pt>
                <c:pt idx="6">
                  <c:v>208.94352111386664</c:v>
                </c:pt>
                <c:pt idx="7">
                  <c:v>208.59828572023071</c:v>
                </c:pt>
                <c:pt idx="8">
                  <c:v>215.70922503683889</c:v>
                </c:pt>
                <c:pt idx="9">
                  <c:v>219.45586709457251</c:v>
                </c:pt>
                <c:pt idx="10">
                  <c:v>213.8217824200529</c:v>
                </c:pt>
                <c:pt idx="11">
                  <c:v>214.5831034258855</c:v>
                </c:pt>
                <c:pt idx="12">
                  <c:v>219.38324935503991</c:v>
                </c:pt>
                <c:pt idx="13">
                  <c:v>220.2989835116195</c:v>
                </c:pt>
                <c:pt idx="14">
                  <c:v>214.86455260459337</c:v>
                </c:pt>
                <c:pt idx="15">
                  <c:v>224.51207656343675</c:v>
                </c:pt>
                <c:pt idx="16">
                  <c:v>220.92161066432607</c:v>
                </c:pt>
                <c:pt idx="17">
                  <c:v>217.51778382865973</c:v>
                </c:pt>
                <c:pt idx="18">
                  <c:v>214.11749962468329</c:v>
                </c:pt>
                <c:pt idx="19">
                  <c:v>207.66247081319293</c:v>
                </c:pt>
                <c:pt idx="20">
                  <c:v>214.57894844759781</c:v>
                </c:pt>
                <c:pt idx="21">
                  <c:v>210.23270977248373</c:v>
                </c:pt>
                <c:pt idx="22">
                  <c:v>211.56084201447837</c:v>
                </c:pt>
                <c:pt idx="23">
                  <c:v>218.2292414883166</c:v>
                </c:pt>
                <c:pt idx="24">
                  <c:v>222.73686673620989</c:v>
                </c:pt>
                <c:pt idx="25">
                  <c:v>225.87259956496726</c:v>
                </c:pt>
                <c:pt idx="26">
                  <c:v>236.0498573732059</c:v>
                </c:pt>
                <c:pt idx="27">
                  <c:v>230.33790176093868</c:v>
                </c:pt>
                <c:pt idx="28">
                  <c:v>230.76944865224755</c:v>
                </c:pt>
                <c:pt idx="29">
                  <c:v>229.88011497436662</c:v>
                </c:pt>
                <c:pt idx="30">
                  <c:v>231.72710856760131</c:v>
                </c:pt>
                <c:pt idx="31">
                  <c:v>222.16869201335382</c:v>
                </c:pt>
                <c:pt idx="32">
                  <c:v>228.86534640562283</c:v>
                </c:pt>
                <c:pt idx="33">
                  <c:v>228.40646544905161</c:v>
                </c:pt>
                <c:pt idx="34">
                  <c:v>226.99652654294857</c:v>
                </c:pt>
                <c:pt idx="35">
                  <c:v>212.49431217404143</c:v>
                </c:pt>
                <c:pt idx="36">
                  <c:v>209.73609715450002</c:v>
                </c:pt>
                <c:pt idx="37">
                  <c:v>207.26848205242024</c:v>
                </c:pt>
                <c:pt idx="38">
                  <c:v>208.57563256695747</c:v>
                </c:pt>
                <c:pt idx="39">
                  <c:v>223.24467873798764</c:v>
                </c:pt>
                <c:pt idx="40">
                  <c:v>234.67897879476084</c:v>
                </c:pt>
                <c:pt idx="41">
                  <c:v>238.58210455644831</c:v>
                </c:pt>
                <c:pt idx="42">
                  <c:v>245.68175157962469</c:v>
                </c:pt>
                <c:pt idx="43">
                  <c:v>250.42710763621295</c:v>
                </c:pt>
                <c:pt idx="44">
                  <c:v>242.07779438296532</c:v>
                </c:pt>
                <c:pt idx="45">
                  <c:v>239.13861676399594</c:v>
                </c:pt>
                <c:pt idx="46">
                  <c:v>228.59119983084454</c:v>
                </c:pt>
                <c:pt idx="47">
                  <c:v>230.52141251593147</c:v>
                </c:pt>
                <c:pt idx="48">
                  <c:v>229.77357908261834</c:v>
                </c:pt>
                <c:pt idx="49">
                  <c:v>232.17549448304294</c:v>
                </c:pt>
                <c:pt idx="50">
                  <c:v>222.00007408610284</c:v>
                </c:pt>
                <c:pt idx="51">
                  <c:v>226.89359473389243</c:v>
                </c:pt>
                <c:pt idx="52">
                  <c:v>231.76968066244385</c:v>
                </c:pt>
                <c:pt idx="53">
                  <c:v>235.11873497913578</c:v>
                </c:pt>
                <c:pt idx="54">
                  <c:v>232.61582179790693</c:v>
                </c:pt>
                <c:pt idx="55">
                  <c:v>225.33060221232978</c:v>
                </c:pt>
                <c:pt idx="56">
                  <c:v>230.28330355343329</c:v>
                </c:pt>
                <c:pt idx="57">
                  <c:v>222.5525427885978</c:v>
                </c:pt>
                <c:pt idx="58">
                  <c:v>229.53424399737352</c:v>
                </c:pt>
                <c:pt idx="59">
                  <c:v>231.73615677932452</c:v>
                </c:pt>
                <c:pt idx="60">
                  <c:v>233.27733999974214</c:v>
                </c:pt>
                <c:pt idx="61">
                  <c:v>239.78042067253833</c:v>
                </c:pt>
                <c:pt idx="62">
                  <c:v>233.34027637657687</c:v>
                </c:pt>
                <c:pt idx="63">
                  <c:v>232.87764084877358</c:v>
                </c:pt>
                <c:pt idx="64">
                  <c:v>235.96760452454751</c:v>
                </c:pt>
                <c:pt idx="65">
                  <c:v>233.25344505159731</c:v>
                </c:pt>
                <c:pt idx="66">
                  <c:v>235.23587805184064</c:v>
                </c:pt>
                <c:pt idx="67">
                  <c:v>239.19739561117311</c:v>
                </c:pt>
                <c:pt idx="68">
                  <c:v>233.69421588997571</c:v>
                </c:pt>
                <c:pt idx="69">
                  <c:v>219.1448576698991</c:v>
                </c:pt>
                <c:pt idx="70">
                  <c:v>221.28973429103928</c:v>
                </c:pt>
                <c:pt idx="71">
                  <c:v>215.98210770138385</c:v>
                </c:pt>
                <c:pt idx="72">
                  <c:v>217.29074541478195</c:v>
                </c:pt>
                <c:pt idx="73">
                  <c:v>213.36948450777894</c:v>
                </c:pt>
                <c:pt idx="74">
                  <c:v>209.43140598261846</c:v>
                </c:pt>
                <c:pt idx="75">
                  <c:v>214.25456148292722</c:v>
                </c:pt>
                <c:pt idx="76">
                  <c:v>216.64181291023948</c:v>
                </c:pt>
                <c:pt idx="77">
                  <c:v>210.43226354827306</c:v>
                </c:pt>
                <c:pt idx="78">
                  <c:v>211.23369556530213</c:v>
                </c:pt>
                <c:pt idx="79">
                  <c:v>214.54615100756334</c:v>
                </c:pt>
                <c:pt idx="80">
                  <c:v>209.44281301714489</c:v>
                </c:pt>
                <c:pt idx="81">
                  <c:v>210.49368449928036</c:v>
                </c:pt>
                <c:pt idx="82">
                  <c:v>215.17240019891503</c:v>
                </c:pt>
                <c:pt idx="83">
                  <c:v>202.79482653965238</c:v>
                </c:pt>
                <c:pt idx="84">
                  <c:v>199.96302092160417</c:v>
                </c:pt>
                <c:pt idx="85">
                  <c:v>199.27124462449066</c:v>
                </c:pt>
                <c:pt idx="86">
                  <c:v>192.79503109936454</c:v>
                </c:pt>
                <c:pt idx="87">
                  <c:v>188.54157127649339</c:v>
                </c:pt>
                <c:pt idx="88">
                  <c:v>185.71330791632698</c:v>
                </c:pt>
                <c:pt idx="89">
                  <c:v>188.51464795878525</c:v>
                </c:pt>
                <c:pt idx="90">
                  <c:v>186.9152092653041</c:v>
                </c:pt>
                <c:pt idx="91">
                  <c:v>188.99555997057274</c:v>
                </c:pt>
                <c:pt idx="92">
                  <c:v>190.842496912315</c:v>
                </c:pt>
                <c:pt idx="93">
                  <c:v>194.95341521927079</c:v>
                </c:pt>
                <c:pt idx="94">
                  <c:v>199.29343158726564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CD41-094C-BCDC-8807F586F36B}"/>
            </c:ext>
          </c:extLst>
        </c:ser>
        <c:ser>
          <c:idx val="64"/>
          <c:order val="64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frozen'!$E$66:$CU$66</c:f>
              <c:numCache>
                <c:formatCode>General</c:formatCode>
                <c:ptCount val="95"/>
                <c:pt idx="0">
                  <c:v>222.13</c:v>
                </c:pt>
                <c:pt idx="1">
                  <c:v>224.36072068352743</c:v>
                </c:pt>
                <c:pt idx="2">
                  <c:v>223.29069998521743</c:v>
                </c:pt>
                <c:pt idx="3">
                  <c:v>222.88848104981773</c:v>
                </c:pt>
                <c:pt idx="4">
                  <c:v>223.13316042119686</c:v>
                </c:pt>
                <c:pt idx="5">
                  <c:v>218.10307944216004</c:v>
                </c:pt>
                <c:pt idx="6">
                  <c:v>221.54340191636993</c:v>
                </c:pt>
                <c:pt idx="7">
                  <c:v>225.06401618765605</c:v>
                </c:pt>
                <c:pt idx="8">
                  <c:v>230.47095008539068</c:v>
                </c:pt>
                <c:pt idx="9">
                  <c:v>236.0134237101351</c:v>
                </c:pt>
                <c:pt idx="10">
                  <c:v>226.23454666379652</c:v>
                </c:pt>
                <c:pt idx="11">
                  <c:v>224.41480012879612</c:v>
                </c:pt>
                <c:pt idx="12">
                  <c:v>220.49650170471742</c:v>
                </c:pt>
                <c:pt idx="13">
                  <c:v>224.81529643160138</c:v>
                </c:pt>
                <c:pt idx="14">
                  <c:v>229.09852406857195</c:v>
                </c:pt>
                <c:pt idx="15">
                  <c:v>233.47650833956408</c:v>
                </c:pt>
                <c:pt idx="16">
                  <c:v>236.69575262780199</c:v>
                </c:pt>
                <c:pt idx="17">
                  <c:v>239.22864135134449</c:v>
                </c:pt>
                <c:pt idx="18">
                  <c:v>241.95195007953851</c:v>
                </c:pt>
                <c:pt idx="19">
                  <c:v>240.05542941338447</c:v>
                </c:pt>
                <c:pt idx="20">
                  <c:v>241.99932296097478</c:v>
                </c:pt>
                <c:pt idx="21">
                  <c:v>242.32588056414579</c:v>
                </c:pt>
                <c:pt idx="22">
                  <c:v>238.99025312657199</c:v>
                </c:pt>
                <c:pt idx="23">
                  <c:v>238.48420974868091</c:v>
                </c:pt>
                <c:pt idx="24">
                  <c:v>237.14586154890114</c:v>
                </c:pt>
                <c:pt idx="25">
                  <c:v>248.57735090867865</c:v>
                </c:pt>
                <c:pt idx="26">
                  <c:v>248.67669093551459</c:v>
                </c:pt>
                <c:pt idx="27">
                  <c:v>256.89941582070571</c:v>
                </c:pt>
                <c:pt idx="28">
                  <c:v>251.0635584066095</c:v>
                </c:pt>
                <c:pt idx="29">
                  <c:v>253.42150353853242</c:v>
                </c:pt>
                <c:pt idx="30">
                  <c:v>250.00761966761257</c:v>
                </c:pt>
                <c:pt idx="31">
                  <c:v>258.91633636488626</c:v>
                </c:pt>
                <c:pt idx="32">
                  <c:v>259.17669975528617</c:v>
                </c:pt>
                <c:pt idx="33">
                  <c:v>253.18478716905011</c:v>
                </c:pt>
                <c:pt idx="34">
                  <c:v>256.34612027710688</c:v>
                </c:pt>
                <c:pt idx="35">
                  <c:v>258.14763081715739</c:v>
                </c:pt>
                <c:pt idx="36">
                  <c:v>260.58678240910575</c:v>
                </c:pt>
                <c:pt idx="37">
                  <c:v>257.01517947625041</c:v>
                </c:pt>
                <c:pt idx="38">
                  <c:v>258.56672266679936</c:v>
                </c:pt>
                <c:pt idx="39">
                  <c:v>251.32692924111979</c:v>
                </c:pt>
                <c:pt idx="40">
                  <c:v>257.73452574212229</c:v>
                </c:pt>
                <c:pt idx="41">
                  <c:v>262.83333117265141</c:v>
                </c:pt>
                <c:pt idx="42">
                  <c:v>264.2949932787966</c:v>
                </c:pt>
                <c:pt idx="43">
                  <c:v>255.1406349747129</c:v>
                </c:pt>
                <c:pt idx="44">
                  <c:v>260.32844851572088</c:v>
                </c:pt>
                <c:pt idx="45">
                  <c:v>270.9094745827885</c:v>
                </c:pt>
                <c:pt idx="46">
                  <c:v>262.05659265241667</c:v>
                </c:pt>
                <c:pt idx="47">
                  <c:v>260.20676205111414</c:v>
                </c:pt>
                <c:pt idx="48">
                  <c:v>250.18135809788265</c:v>
                </c:pt>
                <c:pt idx="49">
                  <c:v>251.48357998715252</c:v>
                </c:pt>
                <c:pt idx="50">
                  <c:v>244.68760329702832</c:v>
                </c:pt>
                <c:pt idx="51">
                  <c:v>237.10546357771514</c:v>
                </c:pt>
                <c:pt idx="52">
                  <c:v>236.7227754358432</c:v>
                </c:pt>
                <c:pt idx="53">
                  <c:v>244.52612763065468</c:v>
                </c:pt>
                <c:pt idx="54">
                  <c:v>240.6593854599009</c:v>
                </c:pt>
                <c:pt idx="55">
                  <c:v>242.79303724920823</c:v>
                </c:pt>
                <c:pt idx="56">
                  <c:v>238.1783183555205</c:v>
                </c:pt>
                <c:pt idx="57">
                  <c:v>228.58284208359285</c:v>
                </c:pt>
                <c:pt idx="58">
                  <c:v>228.99490222181643</c:v>
                </c:pt>
                <c:pt idx="59">
                  <c:v>225.9386381855671</c:v>
                </c:pt>
                <c:pt idx="60">
                  <c:v>228.86780928512175</c:v>
                </c:pt>
                <c:pt idx="61">
                  <c:v>232.34301645647736</c:v>
                </c:pt>
                <c:pt idx="62">
                  <c:v>238.10689381482428</c:v>
                </c:pt>
                <c:pt idx="63">
                  <c:v>235.55262866936579</c:v>
                </c:pt>
                <c:pt idx="64">
                  <c:v>226.94546922638068</c:v>
                </c:pt>
                <c:pt idx="65">
                  <c:v>228.79541302114225</c:v>
                </c:pt>
                <c:pt idx="66">
                  <c:v>226.2750057525478</c:v>
                </c:pt>
                <c:pt idx="67">
                  <c:v>213.56571263983963</c:v>
                </c:pt>
                <c:pt idx="68">
                  <c:v>217.47262464330333</c:v>
                </c:pt>
                <c:pt idx="69">
                  <c:v>214.47502565364198</c:v>
                </c:pt>
                <c:pt idx="70">
                  <c:v>211.08932388862124</c:v>
                </c:pt>
                <c:pt idx="71">
                  <c:v>217.13993394985999</c:v>
                </c:pt>
                <c:pt idx="72">
                  <c:v>220.94297162335164</c:v>
                </c:pt>
                <c:pt idx="73">
                  <c:v>223.39871180747122</c:v>
                </c:pt>
                <c:pt idx="74">
                  <c:v>232.98416346932419</c:v>
                </c:pt>
                <c:pt idx="75">
                  <c:v>233.2256541686217</c:v>
                </c:pt>
                <c:pt idx="76">
                  <c:v>237.08653342544432</c:v>
                </c:pt>
                <c:pt idx="77">
                  <c:v>246.42909597742897</c:v>
                </c:pt>
                <c:pt idx="78">
                  <c:v>254.08601787565956</c:v>
                </c:pt>
                <c:pt idx="79">
                  <c:v>251.70344589393471</c:v>
                </c:pt>
                <c:pt idx="80">
                  <c:v>247.05138241280568</c:v>
                </c:pt>
                <c:pt idx="81">
                  <c:v>248.72884558176693</c:v>
                </c:pt>
                <c:pt idx="82">
                  <c:v>248.04899398791918</c:v>
                </c:pt>
                <c:pt idx="83">
                  <c:v>258.22765834576984</c:v>
                </c:pt>
                <c:pt idx="84">
                  <c:v>252.12782675361967</c:v>
                </c:pt>
                <c:pt idx="85">
                  <c:v>248.49557020171326</c:v>
                </c:pt>
                <c:pt idx="86">
                  <c:v>247.17603032348703</c:v>
                </c:pt>
                <c:pt idx="87">
                  <c:v>248.79000512671087</c:v>
                </c:pt>
                <c:pt idx="88">
                  <c:v>257.56527887857845</c:v>
                </c:pt>
                <c:pt idx="89">
                  <c:v>259.05962646929606</c:v>
                </c:pt>
                <c:pt idx="90">
                  <c:v>265.64593972396239</c:v>
                </c:pt>
                <c:pt idx="91">
                  <c:v>272.53552061326525</c:v>
                </c:pt>
                <c:pt idx="92">
                  <c:v>283.84069312357838</c:v>
                </c:pt>
                <c:pt idx="93">
                  <c:v>282.26330664644775</c:v>
                </c:pt>
                <c:pt idx="94">
                  <c:v>276.03862876045008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CD41-094C-BCDC-8807F586F36B}"/>
            </c:ext>
          </c:extLst>
        </c:ser>
        <c:ser>
          <c:idx val="65"/>
          <c:order val="65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frozen'!$E$67:$CU$67</c:f>
              <c:numCache>
                <c:formatCode>General</c:formatCode>
                <c:ptCount val="95"/>
                <c:pt idx="0">
                  <c:v>222.13</c:v>
                </c:pt>
                <c:pt idx="1">
                  <c:v>232.06985128163001</c:v>
                </c:pt>
                <c:pt idx="2">
                  <c:v>231.49526816589574</c:v>
                </c:pt>
                <c:pt idx="3">
                  <c:v>230.69115212249181</c:v>
                </c:pt>
                <c:pt idx="4">
                  <c:v>232.05712986665415</c:v>
                </c:pt>
                <c:pt idx="5">
                  <c:v>227.7280869424234</c:v>
                </c:pt>
                <c:pt idx="6">
                  <c:v>242.27511045075525</c:v>
                </c:pt>
                <c:pt idx="7">
                  <c:v>248.22945796016248</c:v>
                </c:pt>
                <c:pt idx="8">
                  <c:v>240.85226461697872</c:v>
                </c:pt>
                <c:pt idx="9">
                  <c:v>247.5880715522309</c:v>
                </c:pt>
                <c:pt idx="10">
                  <c:v>252.71046375712444</c:v>
                </c:pt>
                <c:pt idx="11">
                  <c:v>260.48220849020504</c:v>
                </c:pt>
                <c:pt idx="12">
                  <c:v>244.89706986407316</c:v>
                </c:pt>
                <c:pt idx="13">
                  <c:v>246.94591207948179</c:v>
                </c:pt>
                <c:pt idx="14">
                  <c:v>252.33047436842369</c:v>
                </c:pt>
                <c:pt idx="15">
                  <c:v>249.74432387043925</c:v>
                </c:pt>
                <c:pt idx="16">
                  <c:v>261.94017830566486</c:v>
                </c:pt>
                <c:pt idx="17">
                  <c:v>266.70798809058465</c:v>
                </c:pt>
                <c:pt idx="18">
                  <c:v>263.06503398756928</c:v>
                </c:pt>
                <c:pt idx="19">
                  <c:v>257.37051430410924</c:v>
                </c:pt>
                <c:pt idx="20">
                  <c:v>261.54068170148446</c:v>
                </c:pt>
                <c:pt idx="21">
                  <c:v>267.18888118473808</c:v>
                </c:pt>
                <c:pt idx="22">
                  <c:v>262.79151856439591</c:v>
                </c:pt>
                <c:pt idx="23">
                  <c:v>269.3768941756926</c:v>
                </c:pt>
                <c:pt idx="24">
                  <c:v>269.54133602667565</c:v>
                </c:pt>
                <c:pt idx="25">
                  <c:v>279.09016017437978</c:v>
                </c:pt>
                <c:pt idx="26">
                  <c:v>283.44776532077162</c:v>
                </c:pt>
                <c:pt idx="27">
                  <c:v>292.50654348879641</c:v>
                </c:pt>
                <c:pt idx="28">
                  <c:v>293.23656763424754</c:v>
                </c:pt>
                <c:pt idx="29">
                  <c:v>298.94790875194929</c:v>
                </c:pt>
                <c:pt idx="30">
                  <c:v>308.50597722073917</c:v>
                </c:pt>
                <c:pt idx="31">
                  <c:v>300.3127933552052</c:v>
                </c:pt>
                <c:pt idx="32">
                  <c:v>300.66686718185656</c:v>
                </c:pt>
                <c:pt idx="33">
                  <c:v>298.41991942474294</c:v>
                </c:pt>
                <c:pt idx="34">
                  <c:v>294.44227764514608</c:v>
                </c:pt>
                <c:pt idx="35">
                  <c:v>304.47250860379296</c:v>
                </c:pt>
                <c:pt idx="36">
                  <c:v>313.95362557691186</c:v>
                </c:pt>
                <c:pt idx="37">
                  <c:v>303.39197283392355</c:v>
                </c:pt>
                <c:pt idx="38">
                  <c:v>284.71784360440932</c:v>
                </c:pt>
                <c:pt idx="39">
                  <c:v>275.39034764965731</c:v>
                </c:pt>
                <c:pt idx="40">
                  <c:v>269.96774146705201</c:v>
                </c:pt>
                <c:pt idx="41">
                  <c:v>269.75384488002248</c:v>
                </c:pt>
                <c:pt idx="42">
                  <c:v>286.00240738917182</c:v>
                </c:pt>
                <c:pt idx="43">
                  <c:v>289.5453340620254</c:v>
                </c:pt>
                <c:pt idx="44">
                  <c:v>296.57773284846002</c:v>
                </c:pt>
                <c:pt idx="45">
                  <c:v>292.62256381657505</c:v>
                </c:pt>
                <c:pt idx="46">
                  <c:v>291.59183268486601</c:v>
                </c:pt>
                <c:pt idx="47">
                  <c:v>294.7608769338425</c:v>
                </c:pt>
                <c:pt idx="48">
                  <c:v>295.53785011910588</c:v>
                </c:pt>
                <c:pt idx="49">
                  <c:v>288.96328737924665</c:v>
                </c:pt>
                <c:pt idx="50">
                  <c:v>289.21970348624194</c:v>
                </c:pt>
                <c:pt idx="51">
                  <c:v>289.87937470857906</c:v>
                </c:pt>
                <c:pt idx="52">
                  <c:v>289.00411087717379</c:v>
                </c:pt>
                <c:pt idx="53">
                  <c:v>288.2805495781472</c:v>
                </c:pt>
                <c:pt idx="54">
                  <c:v>269.26402749807102</c:v>
                </c:pt>
                <c:pt idx="55">
                  <c:v>273.46261952509866</c:v>
                </c:pt>
                <c:pt idx="56">
                  <c:v>278.22793545939135</c:v>
                </c:pt>
                <c:pt idx="57">
                  <c:v>278.64005788934276</c:v>
                </c:pt>
                <c:pt idx="58">
                  <c:v>277.77857358919044</c:v>
                </c:pt>
                <c:pt idx="59">
                  <c:v>275.79881868806905</c:v>
                </c:pt>
                <c:pt idx="60">
                  <c:v>276.4908916608486</c:v>
                </c:pt>
                <c:pt idx="61">
                  <c:v>279.65860213073125</c:v>
                </c:pt>
                <c:pt idx="62">
                  <c:v>275.07008477669945</c:v>
                </c:pt>
                <c:pt idx="63">
                  <c:v>268.07837343233888</c:v>
                </c:pt>
                <c:pt idx="64">
                  <c:v>255.46262812518913</c:v>
                </c:pt>
                <c:pt idx="65">
                  <c:v>264.16773810803488</c:v>
                </c:pt>
                <c:pt idx="66">
                  <c:v>261.78028826731014</c:v>
                </c:pt>
                <c:pt idx="67">
                  <c:v>275.39107562580222</c:v>
                </c:pt>
                <c:pt idx="68">
                  <c:v>284.14853401256534</c:v>
                </c:pt>
                <c:pt idx="69">
                  <c:v>284.89461276867257</c:v>
                </c:pt>
                <c:pt idx="70">
                  <c:v>289.58970194071475</c:v>
                </c:pt>
                <c:pt idx="71">
                  <c:v>273.12890886225853</c:v>
                </c:pt>
                <c:pt idx="72">
                  <c:v>272.39205347105815</c:v>
                </c:pt>
                <c:pt idx="73">
                  <c:v>277.93085575805759</c:v>
                </c:pt>
                <c:pt idx="74">
                  <c:v>289.21258779452194</c:v>
                </c:pt>
                <c:pt idx="75">
                  <c:v>285.68732839891658</c:v>
                </c:pt>
                <c:pt idx="76">
                  <c:v>271.25025326216939</c:v>
                </c:pt>
                <c:pt idx="77">
                  <c:v>263.01101598505284</c:v>
                </c:pt>
                <c:pt idx="78">
                  <c:v>253.15480961218634</c:v>
                </c:pt>
                <c:pt idx="79">
                  <c:v>257.33655402179454</c:v>
                </c:pt>
                <c:pt idx="80">
                  <c:v>264.38084236021621</c:v>
                </c:pt>
                <c:pt idx="81">
                  <c:v>261.13479819286431</c:v>
                </c:pt>
                <c:pt idx="82">
                  <c:v>251.64823935769894</c:v>
                </c:pt>
                <c:pt idx="83">
                  <c:v>260.33646372435976</c:v>
                </c:pt>
                <c:pt idx="84">
                  <c:v>266.11703603719161</c:v>
                </c:pt>
                <c:pt idx="85">
                  <c:v>266.42881650512288</c:v>
                </c:pt>
                <c:pt idx="86">
                  <c:v>263.35945337592136</c:v>
                </c:pt>
                <c:pt idx="87">
                  <c:v>267.73170004458194</c:v>
                </c:pt>
                <c:pt idx="88">
                  <c:v>274.662699950074</c:v>
                </c:pt>
                <c:pt idx="89">
                  <c:v>274.78380707213353</c:v>
                </c:pt>
                <c:pt idx="90">
                  <c:v>274.83345450079872</c:v>
                </c:pt>
                <c:pt idx="91">
                  <c:v>276.3933323087229</c:v>
                </c:pt>
                <c:pt idx="92">
                  <c:v>270.89328726632306</c:v>
                </c:pt>
                <c:pt idx="93">
                  <c:v>272.9968896630744</c:v>
                </c:pt>
                <c:pt idx="94">
                  <c:v>267.18560806883647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CD41-094C-BCDC-8807F586F36B}"/>
            </c:ext>
          </c:extLst>
        </c:ser>
        <c:ser>
          <c:idx val="66"/>
          <c:order val="66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frozen'!$E$68:$CU$68</c:f>
              <c:numCache>
                <c:formatCode>General</c:formatCode>
                <c:ptCount val="95"/>
                <c:pt idx="0">
                  <c:v>222.13</c:v>
                </c:pt>
                <c:pt idx="1">
                  <c:v>230.11982438419096</c:v>
                </c:pt>
                <c:pt idx="2">
                  <c:v>231.21996102313773</c:v>
                </c:pt>
                <c:pt idx="3">
                  <c:v>234.53634518450289</c:v>
                </c:pt>
                <c:pt idx="4">
                  <c:v>237.42295599366062</c:v>
                </c:pt>
                <c:pt idx="5">
                  <c:v>233.81820930883453</c:v>
                </c:pt>
                <c:pt idx="6">
                  <c:v>234.10063929539641</c:v>
                </c:pt>
                <c:pt idx="7">
                  <c:v>236.3242591152142</c:v>
                </c:pt>
                <c:pt idx="8">
                  <c:v>233.71629337031135</c:v>
                </c:pt>
                <c:pt idx="9">
                  <c:v>236.90682187437704</c:v>
                </c:pt>
                <c:pt idx="10">
                  <c:v>244.89255369272186</c:v>
                </c:pt>
                <c:pt idx="11">
                  <c:v>250.13937819334203</c:v>
                </c:pt>
                <c:pt idx="12">
                  <c:v>249.72951555228471</c:v>
                </c:pt>
                <c:pt idx="13">
                  <c:v>253.52248488601501</c:v>
                </c:pt>
                <c:pt idx="14">
                  <c:v>257.50302801561475</c:v>
                </c:pt>
                <c:pt idx="15">
                  <c:v>258.69956206932443</c:v>
                </c:pt>
                <c:pt idx="16">
                  <c:v>257.35348130850878</c:v>
                </c:pt>
                <c:pt idx="17">
                  <c:v>256.29229301541682</c:v>
                </c:pt>
                <c:pt idx="18">
                  <c:v>258.9645561392274</c:v>
                </c:pt>
                <c:pt idx="19">
                  <c:v>273.0273056315898</c:v>
                </c:pt>
                <c:pt idx="20">
                  <c:v>258.13677660107987</c:v>
                </c:pt>
                <c:pt idx="21">
                  <c:v>247.10815011231111</c:v>
                </c:pt>
                <c:pt idx="22">
                  <c:v>240.92866206466778</c:v>
                </c:pt>
                <c:pt idx="23">
                  <c:v>245.80611580196191</c:v>
                </c:pt>
                <c:pt idx="24">
                  <c:v>238.02693096271105</c:v>
                </c:pt>
                <c:pt idx="25">
                  <c:v>239.33896056958309</c:v>
                </c:pt>
                <c:pt idx="26">
                  <c:v>246.94981127528959</c:v>
                </c:pt>
                <c:pt idx="27">
                  <c:v>244.42318426188982</c:v>
                </c:pt>
                <c:pt idx="28">
                  <c:v>232.7831520217795</c:v>
                </c:pt>
                <c:pt idx="29">
                  <c:v>237.68186287797863</c:v>
                </c:pt>
                <c:pt idx="30">
                  <c:v>243.67159326327021</c:v>
                </c:pt>
                <c:pt idx="31">
                  <c:v>246.97291364827856</c:v>
                </c:pt>
                <c:pt idx="32">
                  <c:v>240.13864220662984</c:v>
                </c:pt>
                <c:pt idx="33">
                  <c:v>241.07461963396648</c:v>
                </c:pt>
                <c:pt idx="34">
                  <c:v>234.04881973933388</c:v>
                </c:pt>
                <c:pt idx="35">
                  <c:v>220.99562541996326</c:v>
                </c:pt>
                <c:pt idx="36">
                  <c:v>221.88375278065661</c:v>
                </c:pt>
                <c:pt idx="37">
                  <c:v>227.27495454709035</c:v>
                </c:pt>
                <c:pt idx="38">
                  <c:v>219.42121456923337</c:v>
                </c:pt>
                <c:pt idx="39">
                  <c:v>222.05624379759493</c:v>
                </c:pt>
                <c:pt idx="40">
                  <c:v>235.43201842948875</c:v>
                </c:pt>
                <c:pt idx="41">
                  <c:v>243.98464587559215</c:v>
                </c:pt>
                <c:pt idx="42">
                  <c:v>252.32855098360889</c:v>
                </c:pt>
                <c:pt idx="43">
                  <c:v>241.12063425788918</c:v>
                </c:pt>
                <c:pt idx="44">
                  <c:v>248.15043471406125</c:v>
                </c:pt>
                <c:pt idx="45">
                  <c:v>252.99683376908393</c:v>
                </c:pt>
                <c:pt idx="46">
                  <c:v>263.97659878337635</c:v>
                </c:pt>
                <c:pt idx="47">
                  <c:v>261.18648853811635</c:v>
                </c:pt>
                <c:pt idx="48">
                  <c:v>266.08773246035139</c:v>
                </c:pt>
                <c:pt idx="49">
                  <c:v>268.95831321612025</c:v>
                </c:pt>
                <c:pt idx="50">
                  <c:v>279.23399911986854</c:v>
                </c:pt>
                <c:pt idx="51">
                  <c:v>281.33988267253324</c:v>
                </c:pt>
                <c:pt idx="52">
                  <c:v>270.24463682127532</c:v>
                </c:pt>
                <c:pt idx="53">
                  <c:v>267.8035557646823</c:v>
                </c:pt>
                <c:pt idx="54">
                  <c:v>260.03494645993112</c:v>
                </c:pt>
                <c:pt idx="55">
                  <c:v>262.52054208971987</c:v>
                </c:pt>
                <c:pt idx="56">
                  <c:v>262.00704450175778</c:v>
                </c:pt>
                <c:pt idx="57">
                  <c:v>264.65278785433412</c:v>
                </c:pt>
                <c:pt idx="58">
                  <c:v>252.4381231664386</c:v>
                </c:pt>
                <c:pt idx="59">
                  <c:v>260.89173939871785</c:v>
                </c:pt>
                <c:pt idx="60">
                  <c:v>265.41338432278462</c:v>
                </c:pt>
                <c:pt idx="61">
                  <c:v>259.5788310446361</c:v>
                </c:pt>
                <c:pt idx="62">
                  <c:v>265.21441165697775</c:v>
                </c:pt>
                <c:pt idx="63">
                  <c:v>270.42490368248497</c:v>
                </c:pt>
                <c:pt idx="64">
                  <c:v>268.15601797188179</c:v>
                </c:pt>
                <c:pt idx="65">
                  <c:v>274.7825548494468</c:v>
                </c:pt>
                <c:pt idx="66">
                  <c:v>265.20226487715121</c:v>
                </c:pt>
                <c:pt idx="67">
                  <c:v>276.73001659983123</c:v>
                </c:pt>
                <c:pt idx="68">
                  <c:v>279.23879668495351</c:v>
                </c:pt>
                <c:pt idx="69">
                  <c:v>280.16220037332459</c:v>
                </c:pt>
                <c:pt idx="70">
                  <c:v>289.75470627862524</c:v>
                </c:pt>
                <c:pt idx="71">
                  <c:v>292.80558267074525</c:v>
                </c:pt>
                <c:pt idx="72">
                  <c:v>286.54270560376017</c:v>
                </c:pt>
                <c:pt idx="73">
                  <c:v>288.11942528616305</c:v>
                </c:pt>
                <c:pt idx="74">
                  <c:v>294.70331458651327</c:v>
                </c:pt>
                <c:pt idx="75">
                  <c:v>287.69068023419629</c:v>
                </c:pt>
                <c:pt idx="76">
                  <c:v>281.23030889258018</c:v>
                </c:pt>
                <c:pt idx="77">
                  <c:v>283.7666375173456</c:v>
                </c:pt>
                <c:pt idx="78">
                  <c:v>291.37310041821985</c:v>
                </c:pt>
                <c:pt idx="79">
                  <c:v>288.42057976419483</c:v>
                </c:pt>
                <c:pt idx="80">
                  <c:v>293.61638627723835</c:v>
                </c:pt>
                <c:pt idx="81">
                  <c:v>293.74052098934618</c:v>
                </c:pt>
                <c:pt idx="82">
                  <c:v>296.92102162088412</c:v>
                </c:pt>
                <c:pt idx="83">
                  <c:v>301.01477413494848</c:v>
                </c:pt>
                <c:pt idx="84">
                  <c:v>299.09894131205834</c:v>
                </c:pt>
                <c:pt idx="85">
                  <c:v>295.3716558832333</c:v>
                </c:pt>
                <c:pt idx="86">
                  <c:v>289.04276849580992</c:v>
                </c:pt>
                <c:pt idx="87">
                  <c:v>283.00473080486574</c:v>
                </c:pt>
                <c:pt idx="88">
                  <c:v>283.66718999954975</c:v>
                </c:pt>
                <c:pt idx="89">
                  <c:v>272.79168741619878</c:v>
                </c:pt>
                <c:pt idx="90">
                  <c:v>274.28302227154944</c:v>
                </c:pt>
                <c:pt idx="91">
                  <c:v>269.61407534728534</c:v>
                </c:pt>
                <c:pt idx="92">
                  <c:v>266.50373477260678</c:v>
                </c:pt>
                <c:pt idx="93">
                  <c:v>264.4344041497115</c:v>
                </c:pt>
                <c:pt idx="94">
                  <c:v>262.32033497735023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CD41-094C-BCDC-8807F586F36B}"/>
            </c:ext>
          </c:extLst>
        </c:ser>
        <c:ser>
          <c:idx val="67"/>
          <c:order val="67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frozen'!$E$69:$CU$69</c:f>
              <c:numCache>
                <c:formatCode>General</c:formatCode>
                <c:ptCount val="95"/>
                <c:pt idx="0">
                  <c:v>222.13</c:v>
                </c:pt>
                <c:pt idx="1">
                  <c:v>229.59780665960417</c:v>
                </c:pt>
                <c:pt idx="2">
                  <c:v>232.96937645039043</c:v>
                </c:pt>
                <c:pt idx="3">
                  <c:v>229.03055225566231</c:v>
                </c:pt>
                <c:pt idx="4">
                  <c:v>225.56990785836513</c:v>
                </c:pt>
                <c:pt idx="5">
                  <c:v>228.89744052660086</c:v>
                </c:pt>
                <c:pt idx="6">
                  <c:v>230.78398937957655</c:v>
                </c:pt>
                <c:pt idx="7">
                  <c:v>240.37928336711477</c:v>
                </c:pt>
                <c:pt idx="8">
                  <c:v>238.22414733399745</c:v>
                </c:pt>
                <c:pt idx="9">
                  <c:v>236.71504517634719</c:v>
                </c:pt>
                <c:pt idx="10">
                  <c:v>233.64242346468311</c:v>
                </c:pt>
                <c:pt idx="11">
                  <c:v>234.81218880363446</c:v>
                </c:pt>
                <c:pt idx="12">
                  <c:v>229.16216257933468</c:v>
                </c:pt>
                <c:pt idx="13">
                  <c:v>230.64580664813221</c:v>
                </c:pt>
                <c:pt idx="14">
                  <c:v>228.40460865313406</c:v>
                </c:pt>
                <c:pt idx="15">
                  <c:v>222.1005492327601</c:v>
                </c:pt>
                <c:pt idx="16">
                  <c:v>218.552373009181</c:v>
                </c:pt>
                <c:pt idx="17">
                  <c:v>220.74126845147083</c:v>
                </c:pt>
                <c:pt idx="18">
                  <c:v>221.91355663290409</c:v>
                </c:pt>
                <c:pt idx="19">
                  <c:v>215.402313740484</c:v>
                </c:pt>
                <c:pt idx="20">
                  <c:v>215.485421898905</c:v>
                </c:pt>
                <c:pt idx="21">
                  <c:v>216.8819424487551</c:v>
                </c:pt>
                <c:pt idx="22">
                  <c:v>214.76842219123247</c:v>
                </c:pt>
                <c:pt idx="23">
                  <c:v>222.15634360084897</c:v>
                </c:pt>
                <c:pt idx="24">
                  <c:v>215.30306649089124</c:v>
                </c:pt>
                <c:pt idx="25">
                  <c:v>212.88157903727767</c:v>
                </c:pt>
                <c:pt idx="26">
                  <c:v>208.65290482511944</c:v>
                </c:pt>
                <c:pt idx="27">
                  <c:v>204.76140927660967</c:v>
                </c:pt>
                <c:pt idx="28">
                  <c:v>200.44033136835444</c:v>
                </c:pt>
                <c:pt idx="29">
                  <c:v>200.8775469122829</c:v>
                </c:pt>
                <c:pt idx="30">
                  <c:v>200.52866709149069</c:v>
                </c:pt>
                <c:pt idx="31">
                  <c:v>196.57055601804896</c:v>
                </c:pt>
                <c:pt idx="32">
                  <c:v>197.36955075180509</c:v>
                </c:pt>
                <c:pt idx="33">
                  <c:v>199.77547699920592</c:v>
                </c:pt>
                <c:pt idx="34">
                  <c:v>198.46824666037097</c:v>
                </c:pt>
                <c:pt idx="35">
                  <c:v>200.95463457528197</c:v>
                </c:pt>
                <c:pt idx="36">
                  <c:v>199.98426874300608</c:v>
                </c:pt>
                <c:pt idx="37">
                  <c:v>190.07539804211632</c:v>
                </c:pt>
                <c:pt idx="38">
                  <c:v>194.92783260020627</c:v>
                </c:pt>
                <c:pt idx="39">
                  <c:v>193.76532616277825</c:v>
                </c:pt>
                <c:pt idx="40">
                  <c:v>195.57243830616909</c:v>
                </c:pt>
                <c:pt idx="41">
                  <c:v>196.49703263389895</c:v>
                </c:pt>
                <c:pt idx="42">
                  <c:v>199.7888386738525</c:v>
                </c:pt>
                <c:pt idx="43">
                  <c:v>192.79498784454614</c:v>
                </c:pt>
                <c:pt idx="44">
                  <c:v>199.30261390340442</c:v>
                </c:pt>
                <c:pt idx="45">
                  <c:v>199.81453035197239</c:v>
                </c:pt>
                <c:pt idx="46">
                  <c:v>196.12548346277276</c:v>
                </c:pt>
                <c:pt idx="47">
                  <c:v>194.77217629290075</c:v>
                </c:pt>
                <c:pt idx="48">
                  <c:v>192.51171072719183</c:v>
                </c:pt>
                <c:pt idx="49">
                  <c:v>179.69565860409335</c:v>
                </c:pt>
                <c:pt idx="50">
                  <c:v>178.84108943769263</c:v>
                </c:pt>
                <c:pt idx="51">
                  <c:v>183.25966384004943</c:v>
                </c:pt>
                <c:pt idx="52">
                  <c:v>184.50018235724059</c:v>
                </c:pt>
                <c:pt idx="53">
                  <c:v>189.11550182400441</c:v>
                </c:pt>
                <c:pt idx="54">
                  <c:v>191.15275182883437</c:v>
                </c:pt>
                <c:pt idx="55">
                  <c:v>193.23576329785928</c:v>
                </c:pt>
                <c:pt idx="56">
                  <c:v>195.95026927978364</c:v>
                </c:pt>
                <c:pt idx="57">
                  <c:v>198.18126104498603</c:v>
                </c:pt>
                <c:pt idx="58">
                  <c:v>193.68244258837368</c:v>
                </c:pt>
                <c:pt idx="59">
                  <c:v>197.29820774127782</c:v>
                </c:pt>
                <c:pt idx="60">
                  <c:v>201.87130206951943</c:v>
                </c:pt>
                <c:pt idx="61">
                  <c:v>203.88814393455138</c:v>
                </c:pt>
                <c:pt idx="62">
                  <c:v>205.56634469066887</c:v>
                </c:pt>
                <c:pt idx="63">
                  <c:v>211.18137848198398</c:v>
                </c:pt>
                <c:pt idx="64">
                  <c:v>213.17400832355753</c:v>
                </c:pt>
                <c:pt idx="65">
                  <c:v>215.97746637569014</c:v>
                </c:pt>
                <c:pt idx="66">
                  <c:v>218.47961661876741</c:v>
                </c:pt>
                <c:pt idx="67">
                  <c:v>219.82704249097287</c:v>
                </c:pt>
                <c:pt idx="68">
                  <c:v>223.53153771049978</c:v>
                </c:pt>
                <c:pt idx="69">
                  <c:v>229.01324230661032</c:v>
                </c:pt>
                <c:pt idx="70">
                  <c:v>222.28067480396905</c:v>
                </c:pt>
                <c:pt idx="71">
                  <c:v>215.42099255293121</c:v>
                </c:pt>
                <c:pt idx="72">
                  <c:v>211.76537776663005</c:v>
                </c:pt>
                <c:pt idx="73">
                  <c:v>210.71195225355279</c:v>
                </c:pt>
                <c:pt idx="74">
                  <c:v>213.71684334092126</c:v>
                </c:pt>
                <c:pt idx="75">
                  <c:v>203.855312768326</c:v>
                </c:pt>
                <c:pt idx="76">
                  <c:v>199.72410370232737</c:v>
                </c:pt>
                <c:pt idx="77">
                  <c:v>203.13528993152676</c:v>
                </c:pt>
                <c:pt idx="78">
                  <c:v>205.0545161784236</c:v>
                </c:pt>
                <c:pt idx="79">
                  <c:v>205.16581220133614</c:v>
                </c:pt>
                <c:pt idx="80">
                  <c:v>194.34761396913819</c:v>
                </c:pt>
                <c:pt idx="81">
                  <c:v>192.60647812074981</c:v>
                </c:pt>
                <c:pt idx="82">
                  <c:v>198.0637152493716</c:v>
                </c:pt>
                <c:pt idx="83">
                  <c:v>195.77664742387142</c:v>
                </c:pt>
                <c:pt idx="84">
                  <c:v>192.49834344585977</c:v>
                </c:pt>
                <c:pt idx="85">
                  <c:v>190.93466703446478</c:v>
                </c:pt>
                <c:pt idx="86">
                  <c:v>192.12029189400084</c:v>
                </c:pt>
                <c:pt idx="87">
                  <c:v>198.48203488394179</c:v>
                </c:pt>
                <c:pt idx="88">
                  <c:v>203.77597045383195</c:v>
                </c:pt>
                <c:pt idx="89">
                  <c:v>205.61928166522046</c:v>
                </c:pt>
                <c:pt idx="90">
                  <c:v>213.02010128351077</c:v>
                </c:pt>
                <c:pt idx="91">
                  <c:v>209.4797076747908</c:v>
                </c:pt>
                <c:pt idx="92">
                  <c:v>207.33560841157671</c:v>
                </c:pt>
                <c:pt idx="93">
                  <c:v>206.00827583411973</c:v>
                </c:pt>
                <c:pt idx="94">
                  <c:v>203.16430953829132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CD41-094C-BCDC-8807F586F36B}"/>
            </c:ext>
          </c:extLst>
        </c:ser>
        <c:ser>
          <c:idx val="68"/>
          <c:order val="68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frozen'!$E$70:$CU$70</c:f>
              <c:numCache>
                <c:formatCode>General</c:formatCode>
                <c:ptCount val="95"/>
                <c:pt idx="0">
                  <c:v>222.13</c:v>
                </c:pt>
                <c:pt idx="1">
                  <c:v>225.85416079243552</c:v>
                </c:pt>
                <c:pt idx="2">
                  <c:v>226.13759720750193</c:v>
                </c:pt>
                <c:pt idx="3">
                  <c:v>227.389061876271</c:v>
                </c:pt>
                <c:pt idx="4">
                  <c:v>225.71550535923663</c:v>
                </c:pt>
                <c:pt idx="5">
                  <c:v>219.54874961705579</c:v>
                </c:pt>
                <c:pt idx="6">
                  <c:v>211.81905783429437</c:v>
                </c:pt>
                <c:pt idx="7">
                  <c:v>218.37215548762563</c:v>
                </c:pt>
                <c:pt idx="8">
                  <c:v>220.67751247214616</c:v>
                </c:pt>
                <c:pt idx="9">
                  <c:v>232.12036929171953</c:v>
                </c:pt>
                <c:pt idx="10">
                  <c:v>226.89485691592628</c:v>
                </c:pt>
                <c:pt idx="11">
                  <c:v>223.58167968897851</c:v>
                </c:pt>
                <c:pt idx="12">
                  <c:v>220.18507887909749</c:v>
                </c:pt>
                <c:pt idx="13">
                  <c:v>225.31444311765347</c:v>
                </c:pt>
                <c:pt idx="14">
                  <c:v>231.33618401247904</c:v>
                </c:pt>
                <c:pt idx="15">
                  <c:v>236.86908367364532</c:v>
                </c:pt>
                <c:pt idx="16">
                  <c:v>227.08983536023891</c:v>
                </c:pt>
                <c:pt idx="17">
                  <c:v>223.63206071037888</c:v>
                </c:pt>
                <c:pt idx="18">
                  <c:v>219.46010495478578</c:v>
                </c:pt>
                <c:pt idx="19">
                  <c:v>224.81922744328685</c:v>
                </c:pt>
                <c:pt idx="20">
                  <c:v>213.44685743206898</c:v>
                </c:pt>
                <c:pt idx="21">
                  <c:v>202.42071622103205</c:v>
                </c:pt>
                <c:pt idx="22">
                  <c:v>201.76303223881095</c:v>
                </c:pt>
                <c:pt idx="23">
                  <c:v>206.09488269787352</c:v>
                </c:pt>
                <c:pt idx="24">
                  <c:v>205.96315265669364</c:v>
                </c:pt>
                <c:pt idx="25">
                  <c:v>213.54208691280209</c:v>
                </c:pt>
                <c:pt idx="26">
                  <c:v>212.37846781586092</c:v>
                </c:pt>
                <c:pt idx="27">
                  <c:v>218.13700598157686</c:v>
                </c:pt>
                <c:pt idx="28">
                  <c:v>215.34525238008851</c:v>
                </c:pt>
                <c:pt idx="29">
                  <c:v>214.72922361199156</c:v>
                </c:pt>
                <c:pt idx="30">
                  <c:v>217.96843759351972</c:v>
                </c:pt>
                <c:pt idx="31">
                  <c:v>215.22888201264166</c:v>
                </c:pt>
                <c:pt idx="32">
                  <c:v>216.96819520015976</c:v>
                </c:pt>
                <c:pt idx="33">
                  <c:v>212.5492123905135</c:v>
                </c:pt>
                <c:pt idx="34">
                  <c:v>214.31352833285879</c:v>
                </c:pt>
                <c:pt idx="35">
                  <c:v>221.40373287388434</c:v>
                </c:pt>
                <c:pt idx="36">
                  <c:v>217.33326412959457</c:v>
                </c:pt>
                <c:pt idx="37">
                  <c:v>217.32344332604777</c:v>
                </c:pt>
                <c:pt idx="38">
                  <c:v>212.24743404332821</c:v>
                </c:pt>
                <c:pt idx="39">
                  <c:v>204.60151243762343</c:v>
                </c:pt>
                <c:pt idx="40">
                  <c:v>205.32716876387809</c:v>
                </c:pt>
                <c:pt idx="41">
                  <c:v>206.04068425973671</c:v>
                </c:pt>
                <c:pt idx="42">
                  <c:v>208.93839054086916</c:v>
                </c:pt>
                <c:pt idx="43">
                  <c:v>211.95487375375566</c:v>
                </c:pt>
                <c:pt idx="44">
                  <c:v>205.59508718476158</c:v>
                </c:pt>
                <c:pt idx="45">
                  <c:v>210.6517223281945</c:v>
                </c:pt>
                <c:pt idx="46">
                  <c:v>211.10332978454039</c:v>
                </c:pt>
                <c:pt idx="47">
                  <c:v>215.61839671566634</c:v>
                </c:pt>
                <c:pt idx="48">
                  <c:v>215.11075301909915</c:v>
                </c:pt>
                <c:pt idx="49">
                  <c:v>219.52816989620786</c:v>
                </c:pt>
                <c:pt idx="50">
                  <c:v>217.20722124582173</c:v>
                </c:pt>
                <c:pt idx="51">
                  <c:v>227.19365604215218</c:v>
                </c:pt>
                <c:pt idx="52">
                  <c:v>234.83833463445936</c:v>
                </c:pt>
                <c:pt idx="53">
                  <c:v>237.71500563849253</c:v>
                </c:pt>
                <c:pt idx="54">
                  <c:v>248.57913815990892</c:v>
                </c:pt>
                <c:pt idx="55">
                  <c:v>243.71873465487997</c:v>
                </c:pt>
                <c:pt idx="56">
                  <c:v>242.08186888668996</c:v>
                </c:pt>
                <c:pt idx="57">
                  <c:v>228.52751060044011</c:v>
                </c:pt>
                <c:pt idx="58">
                  <c:v>225.77572098775127</c:v>
                </c:pt>
                <c:pt idx="59">
                  <c:v>229.91515871254987</c:v>
                </c:pt>
                <c:pt idx="60">
                  <c:v>225.61661879639473</c:v>
                </c:pt>
                <c:pt idx="61">
                  <c:v>228.41389560700392</c:v>
                </c:pt>
                <c:pt idx="62">
                  <c:v>221.64831571147991</c:v>
                </c:pt>
                <c:pt idx="63">
                  <c:v>224.84167483644978</c:v>
                </c:pt>
                <c:pt idx="64">
                  <c:v>217.85172291658395</c:v>
                </c:pt>
                <c:pt idx="65">
                  <c:v>213.24032526300363</c:v>
                </c:pt>
                <c:pt idx="66">
                  <c:v>206.53945487547136</c:v>
                </c:pt>
                <c:pt idx="67">
                  <c:v>201.59248358446908</c:v>
                </c:pt>
                <c:pt idx="68">
                  <c:v>208.34962248359756</c:v>
                </c:pt>
                <c:pt idx="69">
                  <c:v>209.74144165256487</c:v>
                </c:pt>
                <c:pt idx="70">
                  <c:v>215.17754659703547</c:v>
                </c:pt>
                <c:pt idx="71">
                  <c:v>218.40252033701111</c:v>
                </c:pt>
                <c:pt idx="72">
                  <c:v>213.42318948005058</c:v>
                </c:pt>
                <c:pt idx="73">
                  <c:v>221.39681799773882</c:v>
                </c:pt>
                <c:pt idx="74">
                  <c:v>222.04535090962466</c:v>
                </c:pt>
                <c:pt idx="75">
                  <c:v>223.14539295836173</c:v>
                </c:pt>
                <c:pt idx="76">
                  <c:v>222.14945501524602</c:v>
                </c:pt>
                <c:pt idx="77">
                  <c:v>220.88431154161188</c:v>
                </c:pt>
                <c:pt idx="78">
                  <c:v>227.42733450451178</c:v>
                </c:pt>
                <c:pt idx="79">
                  <c:v>233.68265347079165</c:v>
                </c:pt>
                <c:pt idx="80">
                  <c:v>233.22758132984256</c:v>
                </c:pt>
                <c:pt idx="81">
                  <c:v>238.61164676270019</c:v>
                </c:pt>
                <c:pt idx="82">
                  <c:v>228.61397630740194</c:v>
                </c:pt>
                <c:pt idx="83">
                  <c:v>226.01023366843538</c:v>
                </c:pt>
                <c:pt idx="84">
                  <c:v>224.8829183969828</c:v>
                </c:pt>
                <c:pt idx="85">
                  <c:v>224.67208511356495</c:v>
                </c:pt>
                <c:pt idx="86">
                  <c:v>225.97490522296224</c:v>
                </c:pt>
                <c:pt idx="87">
                  <c:v>234.37410813681393</c:v>
                </c:pt>
                <c:pt idx="88">
                  <c:v>235.17733893485806</c:v>
                </c:pt>
                <c:pt idx="89">
                  <c:v>237.54905992375001</c:v>
                </c:pt>
                <c:pt idx="90">
                  <c:v>247.79639547041904</c:v>
                </c:pt>
                <c:pt idx="91">
                  <c:v>253.37535491347052</c:v>
                </c:pt>
                <c:pt idx="92">
                  <c:v>253.4300004081511</c:v>
                </c:pt>
                <c:pt idx="93">
                  <c:v>260.04391901669243</c:v>
                </c:pt>
                <c:pt idx="94">
                  <c:v>258.68257631995755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CD41-094C-BCDC-8807F586F36B}"/>
            </c:ext>
          </c:extLst>
        </c:ser>
        <c:ser>
          <c:idx val="69"/>
          <c:order val="69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frozen'!$E$71:$CU$71</c:f>
              <c:numCache>
                <c:formatCode>General</c:formatCode>
                <c:ptCount val="95"/>
                <c:pt idx="0">
                  <c:v>222.13</c:v>
                </c:pt>
                <c:pt idx="1">
                  <c:v>217.67519021875563</c:v>
                </c:pt>
                <c:pt idx="2">
                  <c:v>217.82614263415132</c:v>
                </c:pt>
                <c:pt idx="3">
                  <c:v>219.18270409780396</c:v>
                </c:pt>
                <c:pt idx="4">
                  <c:v>216.61490145375092</c:v>
                </c:pt>
                <c:pt idx="5">
                  <c:v>217.93156224470493</c:v>
                </c:pt>
                <c:pt idx="6">
                  <c:v>227.51556634128079</c:v>
                </c:pt>
                <c:pt idx="7">
                  <c:v>226.71852758104751</c:v>
                </c:pt>
                <c:pt idx="8">
                  <c:v>226.3853117444369</c:v>
                </c:pt>
                <c:pt idx="9">
                  <c:v>231.23528058614582</c:v>
                </c:pt>
                <c:pt idx="10">
                  <c:v>235.44453496741204</c:v>
                </c:pt>
                <c:pt idx="11">
                  <c:v>232.13800285653136</c:v>
                </c:pt>
                <c:pt idx="12">
                  <c:v>238.3145841237216</c:v>
                </c:pt>
                <c:pt idx="13">
                  <c:v>242.55002840109384</c:v>
                </c:pt>
                <c:pt idx="14">
                  <c:v>239.48503281565218</c:v>
                </c:pt>
                <c:pt idx="15">
                  <c:v>239.96318139760828</c:v>
                </c:pt>
                <c:pt idx="16">
                  <c:v>236.78846407371847</c:v>
                </c:pt>
                <c:pt idx="17">
                  <c:v>244.34534252256881</c:v>
                </c:pt>
                <c:pt idx="18">
                  <c:v>246.16840753304143</c:v>
                </c:pt>
                <c:pt idx="19">
                  <c:v>246.81840340861294</c:v>
                </c:pt>
                <c:pt idx="20">
                  <c:v>241.31924723858856</c:v>
                </c:pt>
                <c:pt idx="21">
                  <c:v>239.60298213958427</c:v>
                </c:pt>
                <c:pt idx="22">
                  <c:v>241.81510769137714</c:v>
                </c:pt>
                <c:pt idx="23">
                  <c:v>230.55103534059302</c:v>
                </c:pt>
                <c:pt idx="24">
                  <c:v>229.69572576801357</c:v>
                </c:pt>
                <c:pt idx="25">
                  <c:v>227.20501717447868</c:v>
                </c:pt>
                <c:pt idx="26">
                  <c:v>229.08884786854415</c:v>
                </c:pt>
                <c:pt idx="27">
                  <c:v>230.47171540662114</c:v>
                </c:pt>
                <c:pt idx="28">
                  <c:v>222.61581017556435</c:v>
                </c:pt>
                <c:pt idx="29">
                  <c:v>215.25111988267787</c:v>
                </c:pt>
                <c:pt idx="30">
                  <c:v>217.24973811404234</c:v>
                </c:pt>
                <c:pt idx="31">
                  <c:v>227.68373151356317</c:v>
                </c:pt>
                <c:pt idx="32">
                  <c:v>228.87285268993159</c:v>
                </c:pt>
                <c:pt idx="33">
                  <c:v>229.25613644407625</c:v>
                </c:pt>
                <c:pt idx="34">
                  <c:v>228.24431496529033</c:v>
                </c:pt>
                <c:pt idx="35">
                  <c:v>226.50688942381569</c:v>
                </c:pt>
                <c:pt idx="36">
                  <c:v>225.68125908301616</c:v>
                </c:pt>
                <c:pt idx="37">
                  <c:v>229.99139036184144</c:v>
                </c:pt>
                <c:pt idx="38">
                  <c:v>229.56083561800801</c:v>
                </c:pt>
                <c:pt idx="39">
                  <c:v>235.53383648094868</c:v>
                </c:pt>
                <c:pt idx="40">
                  <c:v>243.61354413457704</c:v>
                </c:pt>
                <c:pt idx="41">
                  <c:v>238.71143924403614</c:v>
                </c:pt>
                <c:pt idx="42">
                  <c:v>228.41311606024334</c:v>
                </c:pt>
                <c:pt idx="43">
                  <c:v>233.50064118185799</c:v>
                </c:pt>
                <c:pt idx="44">
                  <c:v>236.66547355504665</c:v>
                </c:pt>
                <c:pt idx="45">
                  <c:v>236.26479795812298</c:v>
                </c:pt>
                <c:pt idx="46">
                  <c:v>233.20571701336934</c:v>
                </c:pt>
                <c:pt idx="47">
                  <c:v>240.08184568383348</c:v>
                </c:pt>
                <c:pt idx="48">
                  <c:v>241.77410075060172</c:v>
                </c:pt>
                <c:pt idx="49">
                  <c:v>241.37217981842511</c:v>
                </c:pt>
                <c:pt idx="50">
                  <c:v>242.96202087295671</c:v>
                </c:pt>
                <c:pt idx="51">
                  <c:v>241.91866692442881</c:v>
                </c:pt>
                <c:pt idx="52">
                  <c:v>250.79694462930337</c:v>
                </c:pt>
                <c:pt idx="53">
                  <c:v>240.22284170473299</c:v>
                </c:pt>
                <c:pt idx="54">
                  <c:v>241.40215154768742</c:v>
                </c:pt>
                <c:pt idx="55">
                  <c:v>236.30911826497623</c:v>
                </c:pt>
                <c:pt idx="56">
                  <c:v>239.44309095353202</c:v>
                </c:pt>
                <c:pt idx="57">
                  <c:v>240.7303483981471</c:v>
                </c:pt>
                <c:pt idx="58">
                  <c:v>240.71469956517404</c:v>
                </c:pt>
                <c:pt idx="59">
                  <c:v>236.44864166097477</c:v>
                </c:pt>
                <c:pt idx="60">
                  <c:v>239.48643679951547</c:v>
                </c:pt>
                <c:pt idx="61">
                  <c:v>231.64132819106828</c:v>
                </c:pt>
                <c:pt idx="62">
                  <c:v>233.45452381022952</c:v>
                </c:pt>
                <c:pt idx="63">
                  <c:v>241.44155569336544</c:v>
                </c:pt>
                <c:pt idx="64">
                  <c:v>241.3449153495346</c:v>
                </c:pt>
                <c:pt idx="65">
                  <c:v>249.46273586888984</c:v>
                </c:pt>
                <c:pt idx="66">
                  <c:v>249.85700582777849</c:v>
                </c:pt>
                <c:pt idx="67">
                  <c:v>242.71467484451938</c:v>
                </c:pt>
                <c:pt idx="68">
                  <c:v>242.38861058564211</c:v>
                </c:pt>
                <c:pt idx="69">
                  <c:v>238.93214380091129</c:v>
                </c:pt>
                <c:pt idx="70">
                  <c:v>231.15676208686429</c:v>
                </c:pt>
                <c:pt idx="71">
                  <c:v>231.23022734232663</c:v>
                </c:pt>
                <c:pt idx="72">
                  <c:v>238.40187253648472</c:v>
                </c:pt>
                <c:pt idx="73">
                  <c:v>235.345971207291</c:v>
                </c:pt>
                <c:pt idx="74">
                  <c:v>235.78181255461431</c:v>
                </c:pt>
                <c:pt idx="75">
                  <c:v>240.66403256126156</c:v>
                </c:pt>
                <c:pt idx="76">
                  <c:v>242.81625681571927</c:v>
                </c:pt>
                <c:pt idx="77">
                  <c:v>238.17251087036703</c:v>
                </c:pt>
                <c:pt idx="78">
                  <c:v>238.03480458459978</c:v>
                </c:pt>
                <c:pt idx="79">
                  <c:v>237.53178732737723</c:v>
                </c:pt>
                <c:pt idx="80">
                  <c:v>237.36472451284135</c:v>
                </c:pt>
                <c:pt idx="81">
                  <c:v>240.28809483114634</c:v>
                </c:pt>
                <c:pt idx="82">
                  <c:v>238.73698249656411</c:v>
                </c:pt>
                <c:pt idx="83">
                  <c:v>227.39079350731703</c:v>
                </c:pt>
                <c:pt idx="84">
                  <c:v>217.63795390675239</c:v>
                </c:pt>
                <c:pt idx="85">
                  <c:v>215.6919012861508</c:v>
                </c:pt>
                <c:pt idx="86">
                  <c:v>212.02665712176761</c:v>
                </c:pt>
                <c:pt idx="87">
                  <c:v>206.87638749012737</c:v>
                </c:pt>
                <c:pt idx="88">
                  <c:v>208.03160492380925</c:v>
                </c:pt>
                <c:pt idx="89">
                  <c:v>203.25644656256998</c:v>
                </c:pt>
                <c:pt idx="90">
                  <c:v>203.86165029128506</c:v>
                </c:pt>
                <c:pt idx="91">
                  <c:v>198.9033929734741</c:v>
                </c:pt>
                <c:pt idx="92">
                  <c:v>205.29965386470022</c:v>
                </c:pt>
                <c:pt idx="93">
                  <c:v>197.42168554891285</c:v>
                </c:pt>
                <c:pt idx="94">
                  <c:v>190.40515726852209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CD41-094C-BCDC-8807F586F36B}"/>
            </c:ext>
          </c:extLst>
        </c:ser>
        <c:ser>
          <c:idx val="70"/>
          <c:order val="70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frozen'!$E$72:$CU$72</c:f>
              <c:numCache>
                <c:formatCode>General</c:formatCode>
                <c:ptCount val="95"/>
                <c:pt idx="0">
                  <c:v>222.13</c:v>
                </c:pt>
                <c:pt idx="1">
                  <c:v>228.37198712849175</c:v>
                </c:pt>
                <c:pt idx="2">
                  <c:v>230.68330996225276</c:v>
                </c:pt>
                <c:pt idx="3">
                  <c:v>229.95838927627145</c:v>
                </c:pt>
                <c:pt idx="4">
                  <c:v>235.64790358726481</c:v>
                </c:pt>
                <c:pt idx="5">
                  <c:v>236.22276627075118</c:v>
                </c:pt>
                <c:pt idx="6">
                  <c:v>242.44487278217383</c:v>
                </c:pt>
                <c:pt idx="7">
                  <c:v>242.16600886838762</c:v>
                </c:pt>
                <c:pt idx="8">
                  <c:v>243.2197955451002</c:v>
                </c:pt>
                <c:pt idx="9">
                  <c:v>248.48254794855697</c:v>
                </c:pt>
                <c:pt idx="10">
                  <c:v>244.52226116393277</c:v>
                </c:pt>
                <c:pt idx="11">
                  <c:v>245.84269927502038</c:v>
                </c:pt>
                <c:pt idx="12">
                  <c:v>249.72163397113971</c:v>
                </c:pt>
                <c:pt idx="13">
                  <c:v>241.54430232835296</c:v>
                </c:pt>
                <c:pt idx="14">
                  <c:v>249.15517189458086</c:v>
                </c:pt>
                <c:pt idx="15">
                  <c:v>248.69568845128876</c:v>
                </c:pt>
                <c:pt idx="16">
                  <c:v>248.0736992504107</c:v>
                </c:pt>
                <c:pt idx="17">
                  <c:v>245.0876939543233</c:v>
                </c:pt>
                <c:pt idx="18">
                  <c:v>257.65506107984402</c:v>
                </c:pt>
                <c:pt idx="19">
                  <c:v>256.63484145287543</c:v>
                </c:pt>
                <c:pt idx="20">
                  <c:v>252.40691512994161</c:v>
                </c:pt>
                <c:pt idx="21">
                  <c:v>250.27765684775062</c:v>
                </c:pt>
                <c:pt idx="22">
                  <c:v>254.4014473983315</c:v>
                </c:pt>
                <c:pt idx="23">
                  <c:v>260.52807505045945</c:v>
                </c:pt>
                <c:pt idx="24">
                  <c:v>260.81275123194553</c:v>
                </c:pt>
                <c:pt idx="25">
                  <c:v>266.939487813715</c:v>
                </c:pt>
                <c:pt idx="26">
                  <c:v>276.60526454776004</c:v>
                </c:pt>
                <c:pt idx="27">
                  <c:v>281.31190745918559</c:v>
                </c:pt>
                <c:pt idx="28">
                  <c:v>281.10771905196538</c:v>
                </c:pt>
                <c:pt idx="29">
                  <c:v>287.63890817607614</c:v>
                </c:pt>
                <c:pt idx="30">
                  <c:v>287.32308912328881</c:v>
                </c:pt>
                <c:pt idx="31">
                  <c:v>278.52314976409855</c:v>
                </c:pt>
                <c:pt idx="32">
                  <c:v>276.79997825570825</c:v>
                </c:pt>
                <c:pt idx="33">
                  <c:v>272.27931092008657</c:v>
                </c:pt>
                <c:pt idx="34">
                  <c:v>261.30765283473079</c:v>
                </c:pt>
                <c:pt idx="35">
                  <c:v>252.97558537187334</c:v>
                </c:pt>
                <c:pt idx="36">
                  <c:v>262.62025488055912</c:v>
                </c:pt>
                <c:pt idx="37">
                  <c:v>262.50064951111301</c:v>
                </c:pt>
                <c:pt idx="38">
                  <c:v>268.22917448220699</c:v>
                </c:pt>
                <c:pt idx="39">
                  <c:v>256.46627236381244</c:v>
                </c:pt>
                <c:pt idx="40">
                  <c:v>255.74559234542656</c:v>
                </c:pt>
                <c:pt idx="41">
                  <c:v>263.47238959190236</c:v>
                </c:pt>
                <c:pt idx="42">
                  <c:v>256.11979080846146</c:v>
                </c:pt>
                <c:pt idx="43">
                  <c:v>254.00721502827324</c:v>
                </c:pt>
                <c:pt idx="44">
                  <c:v>256.76932135365064</c:v>
                </c:pt>
                <c:pt idx="45">
                  <c:v>263.00984459311104</c:v>
                </c:pt>
                <c:pt idx="46">
                  <c:v>264.07258942010048</c:v>
                </c:pt>
                <c:pt idx="47">
                  <c:v>258.8426781535581</c:v>
                </c:pt>
                <c:pt idx="48">
                  <c:v>257.69719046442765</c:v>
                </c:pt>
                <c:pt idx="49">
                  <c:v>267.62598052891082</c:v>
                </c:pt>
                <c:pt idx="50">
                  <c:v>271.93608552750237</c:v>
                </c:pt>
                <c:pt idx="51">
                  <c:v>272.05525932907079</c:v>
                </c:pt>
                <c:pt idx="52">
                  <c:v>269.02488439943687</c:v>
                </c:pt>
                <c:pt idx="53">
                  <c:v>275.71004292034394</c:v>
                </c:pt>
                <c:pt idx="54">
                  <c:v>273.1319370235509</c:v>
                </c:pt>
                <c:pt idx="55">
                  <c:v>265.06314790429417</c:v>
                </c:pt>
                <c:pt idx="56">
                  <c:v>265.16221952388247</c:v>
                </c:pt>
                <c:pt idx="57">
                  <c:v>267.90062135967634</c:v>
                </c:pt>
                <c:pt idx="58">
                  <c:v>286.43843295978718</c:v>
                </c:pt>
                <c:pt idx="59">
                  <c:v>286.82216001034521</c:v>
                </c:pt>
                <c:pt idx="60">
                  <c:v>285.04774890745568</c:v>
                </c:pt>
                <c:pt idx="61">
                  <c:v>284.88094645543572</c:v>
                </c:pt>
                <c:pt idx="62">
                  <c:v>295.50748290921865</c:v>
                </c:pt>
                <c:pt idx="63">
                  <c:v>298.23077469134944</c:v>
                </c:pt>
                <c:pt idx="64">
                  <c:v>291.42143139177415</c:v>
                </c:pt>
                <c:pt idx="65">
                  <c:v>291.04737531640353</c:v>
                </c:pt>
                <c:pt idx="66">
                  <c:v>289.21223009898063</c:v>
                </c:pt>
                <c:pt idx="67">
                  <c:v>301.39055218916388</c:v>
                </c:pt>
                <c:pt idx="68">
                  <c:v>293.2607874843556</c:v>
                </c:pt>
                <c:pt idx="69">
                  <c:v>293.18481244188609</c:v>
                </c:pt>
                <c:pt idx="70">
                  <c:v>295.18997388815552</c:v>
                </c:pt>
                <c:pt idx="71">
                  <c:v>301.66263283401531</c:v>
                </c:pt>
                <c:pt idx="72">
                  <c:v>308.38463338376266</c:v>
                </c:pt>
                <c:pt idx="73">
                  <c:v>300.92192542744698</c:v>
                </c:pt>
                <c:pt idx="74">
                  <c:v>300.57313259916242</c:v>
                </c:pt>
                <c:pt idx="75">
                  <c:v>304.24790734682739</c:v>
                </c:pt>
                <c:pt idx="76">
                  <c:v>318.4255424829754</c:v>
                </c:pt>
                <c:pt idx="77">
                  <c:v>318.7061620472673</c:v>
                </c:pt>
                <c:pt idx="78">
                  <c:v>323.55305063601833</c:v>
                </c:pt>
                <c:pt idx="79">
                  <c:v>326.21582945691131</c:v>
                </c:pt>
                <c:pt idx="80">
                  <c:v>325.98999433439116</c:v>
                </c:pt>
                <c:pt idx="81">
                  <c:v>333.40260911150017</c:v>
                </c:pt>
                <c:pt idx="82">
                  <c:v>335.7862307949589</c:v>
                </c:pt>
                <c:pt idx="83">
                  <c:v>334.01986118374498</c:v>
                </c:pt>
                <c:pt idx="84">
                  <c:v>351.78631621625306</c:v>
                </c:pt>
                <c:pt idx="85">
                  <c:v>360.57918528648543</c:v>
                </c:pt>
                <c:pt idx="86">
                  <c:v>366.32856547751118</c:v>
                </c:pt>
                <c:pt idx="87">
                  <c:v>361.92796019849294</c:v>
                </c:pt>
                <c:pt idx="88">
                  <c:v>358.47894128377777</c:v>
                </c:pt>
                <c:pt idx="89">
                  <c:v>354.96670529030939</c:v>
                </c:pt>
                <c:pt idx="90">
                  <c:v>337.22106431107625</c:v>
                </c:pt>
                <c:pt idx="91">
                  <c:v>340.07056762889175</c:v>
                </c:pt>
                <c:pt idx="92">
                  <c:v>335.01061764590617</c:v>
                </c:pt>
                <c:pt idx="93">
                  <c:v>332.33979930781607</c:v>
                </c:pt>
                <c:pt idx="94">
                  <c:v>324.731471315291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CD41-094C-BCDC-8807F586F36B}"/>
            </c:ext>
          </c:extLst>
        </c:ser>
        <c:ser>
          <c:idx val="71"/>
          <c:order val="71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frozen'!$E$73:$CU$73</c:f>
              <c:numCache>
                <c:formatCode>General</c:formatCode>
                <c:ptCount val="95"/>
                <c:pt idx="0">
                  <c:v>222.13</c:v>
                </c:pt>
                <c:pt idx="1">
                  <c:v>219.226142518974</c:v>
                </c:pt>
                <c:pt idx="2">
                  <c:v>222.01307799403591</c:v>
                </c:pt>
                <c:pt idx="3">
                  <c:v>219.82690588020043</c:v>
                </c:pt>
                <c:pt idx="4">
                  <c:v>211.63332117537874</c:v>
                </c:pt>
                <c:pt idx="5">
                  <c:v>216.1178907445462</c:v>
                </c:pt>
                <c:pt idx="6">
                  <c:v>218.25301518658168</c:v>
                </c:pt>
                <c:pt idx="7">
                  <c:v>215.51556777507196</c:v>
                </c:pt>
                <c:pt idx="8">
                  <c:v>218.46775780011987</c:v>
                </c:pt>
                <c:pt idx="9">
                  <c:v>217.26408734136066</c:v>
                </c:pt>
                <c:pt idx="10">
                  <c:v>221.21189952235059</c:v>
                </c:pt>
                <c:pt idx="11">
                  <c:v>230.9247000407718</c:v>
                </c:pt>
                <c:pt idx="12">
                  <c:v>225.70831625254436</c:v>
                </c:pt>
                <c:pt idx="13">
                  <c:v>233.45171149529321</c:v>
                </c:pt>
                <c:pt idx="14">
                  <c:v>228.71164156922558</c:v>
                </c:pt>
                <c:pt idx="15">
                  <c:v>225.03334514349686</c:v>
                </c:pt>
                <c:pt idx="16">
                  <c:v>220.7664658890109</c:v>
                </c:pt>
                <c:pt idx="17">
                  <c:v>218.13469540975439</c:v>
                </c:pt>
                <c:pt idx="18">
                  <c:v>219.28279421530326</c:v>
                </c:pt>
                <c:pt idx="19">
                  <c:v>211.55501947531164</c:v>
                </c:pt>
                <c:pt idx="20">
                  <c:v>211.91160658971427</c:v>
                </c:pt>
                <c:pt idx="21">
                  <c:v>212.82203382437746</c:v>
                </c:pt>
                <c:pt idx="22">
                  <c:v>214.42562421333241</c:v>
                </c:pt>
                <c:pt idx="23">
                  <c:v>219.2820708387442</c:v>
                </c:pt>
                <c:pt idx="24">
                  <c:v>219.79767509836168</c:v>
                </c:pt>
                <c:pt idx="25">
                  <c:v>217.12006892731</c:v>
                </c:pt>
                <c:pt idx="26">
                  <c:v>217.41438730540298</c:v>
                </c:pt>
                <c:pt idx="27">
                  <c:v>217.32318791385276</c:v>
                </c:pt>
                <c:pt idx="28">
                  <c:v>212.64009493072166</c:v>
                </c:pt>
                <c:pt idx="29">
                  <c:v>210.57112465476152</c:v>
                </c:pt>
                <c:pt idx="30">
                  <c:v>210.14045024684768</c:v>
                </c:pt>
                <c:pt idx="31">
                  <c:v>204.10035706063516</c:v>
                </c:pt>
                <c:pt idx="32">
                  <c:v>213.0093892044226</c:v>
                </c:pt>
                <c:pt idx="33">
                  <c:v>208.75389372773859</c:v>
                </c:pt>
                <c:pt idx="34">
                  <c:v>213.60695200268876</c:v>
                </c:pt>
                <c:pt idx="35">
                  <c:v>215.46918677222644</c:v>
                </c:pt>
                <c:pt idx="36">
                  <c:v>214.64860506137373</c:v>
                </c:pt>
                <c:pt idx="37">
                  <c:v>220.05462778437925</c:v>
                </c:pt>
                <c:pt idx="38">
                  <c:v>226.05346104209281</c:v>
                </c:pt>
                <c:pt idx="39">
                  <c:v>224.69732360261395</c:v>
                </c:pt>
                <c:pt idx="40">
                  <c:v>218.47224787461246</c:v>
                </c:pt>
                <c:pt idx="41">
                  <c:v>226.86931580368633</c:v>
                </c:pt>
                <c:pt idx="42">
                  <c:v>231.55414081415506</c:v>
                </c:pt>
                <c:pt idx="43">
                  <c:v>238.34955551179078</c:v>
                </c:pt>
                <c:pt idx="44">
                  <c:v>237.24889407168118</c:v>
                </c:pt>
                <c:pt idx="45">
                  <c:v>241.8864998212469</c:v>
                </c:pt>
                <c:pt idx="46">
                  <c:v>240.85618011218509</c:v>
                </c:pt>
                <c:pt idx="47">
                  <c:v>228.41925533345614</c:v>
                </c:pt>
                <c:pt idx="48">
                  <c:v>228.00232011464954</c:v>
                </c:pt>
                <c:pt idx="49">
                  <c:v>221.34098370557302</c:v>
                </c:pt>
                <c:pt idx="50">
                  <c:v>223.98216357012151</c:v>
                </c:pt>
                <c:pt idx="51">
                  <c:v>224.24272707537787</c:v>
                </c:pt>
                <c:pt idx="52">
                  <c:v>221.68569325180874</c:v>
                </c:pt>
                <c:pt idx="53">
                  <c:v>214.03018467515159</c:v>
                </c:pt>
                <c:pt idx="54">
                  <c:v>216.29212653660721</c:v>
                </c:pt>
                <c:pt idx="55">
                  <c:v>216.72952908928235</c:v>
                </c:pt>
                <c:pt idx="56">
                  <c:v>224.61185693287058</c:v>
                </c:pt>
                <c:pt idx="57">
                  <c:v>225.20941001022391</c:v>
                </c:pt>
                <c:pt idx="58">
                  <c:v>234.41341984082754</c:v>
                </c:pt>
                <c:pt idx="59">
                  <c:v>226.65671812830666</c:v>
                </c:pt>
                <c:pt idx="60">
                  <c:v>219.15795948247325</c:v>
                </c:pt>
                <c:pt idx="61">
                  <c:v>219.00707811439011</c:v>
                </c:pt>
                <c:pt idx="62">
                  <c:v>228.17731124918379</c:v>
                </c:pt>
                <c:pt idx="63">
                  <c:v>240.92243416166343</c:v>
                </c:pt>
                <c:pt idx="64">
                  <c:v>244.75792848176118</c:v>
                </c:pt>
                <c:pt idx="65">
                  <c:v>247.18355891469409</c:v>
                </c:pt>
                <c:pt idx="66">
                  <c:v>251.80589574125653</c:v>
                </c:pt>
                <c:pt idx="67">
                  <c:v>251.27971482549881</c:v>
                </c:pt>
                <c:pt idx="68">
                  <c:v>246.37770602686194</c:v>
                </c:pt>
                <c:pt idx="69">
                  <c:v>244.49547100912841</c:v>
                </c:pt>
                <c:pt idx="70">
                  <c:v>237.12394861101123</c:v>
                </c:pt>
                <c:pt idx="71">
                  <c:v>237.09529751437296</c:v>
                </c:pt>
                <c:pt idx="72">
                  <c:v>241.15327871262724</c:v>
                </c:pt>
                <c:pt idx="73">
                  <c:v>243.13222704765812</c:v>
                </c:pt>
                <c:pt idx="74">
                  <c:v>251.11815634000814</c:v>
                </c:pt>
                <c:pt idx="75">
                  <c:v>251.05942625573988</c:v>
                </c:pt>
                <c:pt idx="76">
                  <c:v>246.9278747865925</c:v>
                </c:pt>
                <c:pt idx="77">
                  <c:v>238.31125129572962</c:v>
                </c:pt>
                <c:pt idx="78">
                  <c:v>250.12992801053792</c:v>
                </c:pt>
                <c:pt idx="79">
                  <c:v>245.38121450869144</c:v>
                </c:pt>
                <c:pt idx="80">
                  <c:v>247.96001831858734</c:v>
                </c:pt>
                <c:pt idx="81">
                  <c:v>253.65212430947071</c:v>
                </c:pt>
                <c:pt idx="82">
                  <c:v>249.39167261186947</c:v>
                </c:pt>
                <c:pt idx="83">
                  <c:v>255.90539188582579</c:v>
                </c:pt>
                <c:pt idx="84">
                  <c:v>243.73879599816439</c:v>
                </c:pt>
                <c:pt idx="85">
                  <c:v>240.39508608725069</c:v>
                </c:pt>
                <c:pt idx="86">
                  <c:v>234.02002633257837</c:v>
                </c:pt>
                <c:pt idx="87">
                  <c:v>226.08565755802289</c:v>
                </c:pt>
                <c:pt idx="88">
                  <c:v>227.38067908728587</c:v>
                </c:pt>
                <c:pt idx="89">
                  <c:v>228.54547155177227</c:v>
                </c:pt>
                <c:pt idx="90">
                  <c:v>218.65546081660656</c:v>
                </c:pt>
                <c:pt idx="91">
                  <c:v>224.48964097668451</c:v>
                </c:pt>
                <c:pt idx="92">
                  <c:v>221.7179107679774</c:v>
                </c:pt>
                <c:pt idx="93">
                  <c:v>223.89092445825165</c:v>
                </c:pt>
                <c:pt idx="94">
                  <c:v>231.76668391648408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CD41-094C-BCDC-8807F586F36B}"/>
            </c:ext>
          </c:extLst>
        </c:ser>
        <c:ser>
          <c:idx val="72"/>
          <c:order val="72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frozen'!$E$74:$CU$74</c:f>
              <c:numCache>
                <c:formatCode>General</c:formatCode>
                <c:ptCount val="95"/>
                <c:pt idx="0">
                  <c:v>222.13</c:v>
                </c:pt>
                <c:pt idx="1">
                  <c:v>215.96440691564541</c:v>
                </c:pt>
                <c:pt idx="2">
                  <c:v>209.16140377159533</c:v>
                </c:pt>
                <c:pt idx="3">
                  <c:v>205.20533563030125</c:v>
                </c:pt>
                <c:pt idx="4">
                  <c:v>203.45152020269094</c:v>
                </c:pt>
                <c:pt idx="5">
                  <c:v>201.97920489519785</c:v>
                </c:pt>
                <c:pt idx="6">
                  <c:v>207.44676593313869</c:v>
                </c:pt>
                <c:pt idx="7">
                  <c:v>208.38907256452231</c:v>
                </c:pt>
                <c:pt idx="8">
                  <c:v>208.458277200852</c:v>
                </c:pt>
                <c:pt idx="9">
                  <c:v>203.84677932760124</c:v>
                </c:pt>
                <c:pt idx="10">
                  <c:v>206.63388368027671</c:v>
                </c:pt>
                <c:pt idx="11">
                  <c:v>205.17894898532094</c:v>
                </c:pt>
                <c:pt idx="12">
                  <c:v>207.1577246661904</c:v>
                </c:pt>
                <c:pt idx="13">
                  <c:v>203.8651914220294</c:v>
                </c:pt>
                <c:pt idx="14">
                  <c:v>202.72025789829209</c:v>
                </c:pt>
                <c:pt idx="15">
                  <c:v>209.89832383153097</c:v>
                </c:pt>
                <c:pt idx="16">
                  <c:v>203.9431865195686</c:v>
                </c:pt>
                <c:pt idx="17">
                  <c:v>204.92074224251081</c:v>
                </c:pt>
                <c:pt idx="18">
                  <c:v>200.81863215349824</c:v>
                </c:pt>
                <c:pt idx="19">
                  <c:v>199.56919541078105</c:v>
                </c:pt>
                <c:pt idx="20">
                  <c:v>202.24607719199389</c:v>
                </c:pt>
                <c:pt idx="21">
                  <c:v>211.13428785134292</c:v>
                </c:pt>
                <c:pt idx="22">
                  <c:v>209.16737911341619</c:v>
                </c:pt>
                <c:pt idx="23">
                  <c:v>211.30406713762832</c:v>
                </c:pt>
                <c:pt idx="24">
                  <c:v>206.52213652303291</c:v>
                </c:pt>
                <c:pt idx="25">
                  <c:v>205.4331012713281</c:v>
                </c:pt>
                <c:pt idx="26">
                  <c:v>200.06003849428609</c:v>
                </c:pt>
                <c:pt idx="27">
                  <c:v>198.78995186875619</c:v>
                </c:pt>
                <c:pt idx="28">
                  <c:v>202.07959804572113</c:v>
                </c:pt>
                <c:pt idx="29">
                  <c:v>203.49174655091963</c:v>
                </c:pt>
                <c:pt idx="30">
                  <c:v>206.41653576232756</c:v>
                </c:pt>
                <c:pt idx="31">
                  <c:v>208.85184915825911</c:v>
                </c:pt>
                <c:pt idx="32">
                  <c:v>211.6223919449962</c:v>
                </c:pt>
                <c:pt idx="33">
                  <c:v>217.05452079651482</c:v>
                </c:pt>
                <c:pt idx="34">
                  <c:v>216.24525882599642</c:v>
                </c:pt>
                <c:pt idx="35">
                  <c:v>214.40413250813432</c:v>
                </c:pt>
                <c:pt idx="36">
                  <c:v>219.47358344330175</c:v>
                </c:pt>
                <c:pt idx="37">
                  <c:v>218.78650811667097</c:v>
                </c:pt>
                <c:pt idx="38">
                  <c:v>224.7427884333899</c:v>
                </c:pt>
                <c:pt idx="39">
                  <c:v>231.6052185036865</c:v>
                </c:pt>
                <c:pt idx="40">
                  <c:v>231.03910193905395</c:v>
                </c:pt>
                <c:pt idx="41">
                  <c:v>233.92159051571696</c:v>
                </c:pt>
                <c:pt idx="42">
                  <c:v>231.47358440641614</c:v>
                </c:pt>
                <c:pt idx="43">
                  <c:v>223.20918883270306</c:v>
                </c:pt>
                <c:pt idx="44">
                  <c:v>224.64809136426248</c:v>
                </c:pt>
                <c:pt idx="45">
                  <c:v>223.29734619378863</c:v>
                </c:pt>
                <c:pt idx="46">
                  <c:v>217.65263622065143</c:v>
                </c:pt>
                <c:pt idx="47">
                  <c:v>212.1030749764785</c:v>
                </c:pt>
                <c:pt idx="48">
                  <c:v>213.30960415653345</c:v>
                </c:pt>
                <c:pt idx="49">
                  <c:v>211.41817798233222</c:v>
                </c:pt>
                <c:pt idx="50">
                  <c:v>208.91303772860536</c:v>
                </c:pt>
                <c:pt idx="51">
                  <c:v>210.22891426446031</c:v>
                </c:pt>
                <c:pt idx="52">
                  <c:v>216.20556870672476</c:v>
                </c:pt>
                <c:pt idx="53">
                  <c:v>217.43436200124995</c:v>
                </c:pt>
                <c:pt idx="54">
                  <c:v>212.24344811215676</c:v>
                </c:pt>
                <c:pt idx="55">
                  <c:v>207.80138941447728</c:v>
                </c:pt>
                <c:pt idx="56">
                  <c:v>208.35747452648479</c:v>
                </c:pt>
                <c:pt idx="57">
                  <c:v>203.24491185671317</c:v>
                </c:pt>
                <c:pt idx="58">
                  <c:v>201.417897164549</c:v>
                </c:pt>
                <c:pt idx="59">
                  <c:v>198.33297321504071</c:v>
                </c:pt>
                <c:pt idx="60">
                  <c:v>199.44389994231261</c:v>
                </c:pt>
                <c:pt idx="61">
                  <c:v>202.85080412088124</c:v>
                </c:pt>
                <c:pt idx="62">
                  <c:v>197.03993661004071</c:v>
                </c:pt>
                <c:pt idx="63">
                  <c:v>201.63716477541951</c:v>
                </c:pt>
                <c:pt idx="64">
                  <c:v>209.52048660555076</c:v>
                </c:pt>
                <c:pt idx="65">
                  <c:v>211.65542744965438</c:v>
                </c:pt>
                <c:pt idx="66">
                  <c:v>214.08087782443957</c:v>
                </c:pt>
                <c:pt idx="67">
                  <c:v>214.31418750778772</c:v>
                </c:pt>
                <c:pt idx="68">
                  <c:v>215.79755665446461</c:v>
                </c:pt>
                <c:pt idx="69">
                  <c:v>221.30158395964787</c:v>
                </c:pt>
                <c:pt idx="70">
                  <c:v>217.44178961077975</c:v>
                </c:pt>
                <c:pt idx="71">
                  <c:v>215.54621702304607</c:v>
                </c:pt>
                <c:pt idx="72">
                  <c:v>218.69725083993734</c:v>
                </c:pt>
                <c:pt idx="73">
                  <c:v>210.54449947375346</c:v>
                </c:pt>
                <c:pt idx="74">
                  <c:v>208.15605357194602</c:v>
                </c:pt>
                <c:pt idx="75">
                  <c:v>211.11693367172114</c:v>
                </c:pt>
                <c:pt idx="76">
                  <c:v>218.63396506563853</c:v>
                </c:pt>
                <c:pt idx="77">
                  <c:v>219.45849554430836</c:v>
                </c:pt>
                <c:pt idx="78">
                  <c:v>224.24861471172434</c:v>
                </c:pt>
                <c:pt idx="79">
                  <c:v>232.09908901807518</c:v>
                </c:pt>
                <c:pt idx="80">
                  <c:v>235.48754925978909</c:v>
                </c:pt>
                <c:pt idx="81">
                  <c:v>241.29539778408815</c:v>
                </c:pt>
                <c:pt idx="82">
                  <c:v>232.88588424717392</c:v>
                </c:pt>
                <c:pt idx="83">
                  <c:v>232.58036155293604</c:v>
                </c:pt>
                <c:pt idx="84">
                  <c:v>240.4366543419774</c:v>
                </c:pt>
                <c:pt idx="85">
                  <c:v>247.75433038455608</c:v>
                </c:pt>
                <c:pt idx="86">
                  <c:v>248.4605111759914</c:v>
                </c:pt>
                <c:pt idx="87">
                  <c:v>248.24033344894465</c:v>
                </c:pt>
                <c:pt idx="88">
                  <c:v>245.87196363154786</c:v>
                </c:pt>
                <c:pt idx="89">
                  <c:v>244.99740956596611</c:v>
                </c:pt>
                <c:pt idx="90">
                  <c:v>246.61772720284475</c:v>
                </c:pt>
                <c:pt idx="91">
                  <c:v>252.23885583325367</c:v>
                </c:pt>
                <c:pt idx="92">
                  <c:v>255.80336849006994</c:v>
                </c:pt>
                <c:pt idx="93">
                  <c:v>263.91698482098991</c:v>
                </c:pt>
                <c:pt idx="94">
                  <c:v>249.32261332452626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CD41-094C-BCDC-8807F586F36B}"/>
            </c:ext>
          </c:extLst>
        </c:ser>
        <c:ser>
          <c:idx val="73"/>
          <c:order val="73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frozen'!$E$75:$CU$75</c:f>
              <c:numCache>
                <c:formatCode>General</c:formatCode>
                <c:ptCount val="95"/>
                <c:pt idx="0">
                  <c:v>222.13</c:v>
                </c:pt>
                <c:pt idx="1">
                  <c:v>217.8505395009293</c:v>
                </c:pt>
                <c:pt idx="2">
                  <c:v>208.36940362402905</c:v>
                </c:pt>
                <c:pt idx="3">
                  <c:v>204.3948056443646</c:v>
                </c:pt>
                <c:pt idx="4">
                  <c:v>209.64583425986362</c:v>
                </c:pt>
                <c:pt idx="5">
                  <c:v>204.73661018453168</c:v>
                </c:pt>
                <c:pt idx="6">
                  <c:v>207.21830538634177</c:v>
                </c:pt>
                <c:pt idx="7">
                  <c:v>206.5279994758308</c:v>
                </c:pt>
                <c:pt idx="8">
                  <c:v>210.5420075827569</c:v>
                </c:pt>
                <c:pt idx="9">
                  <c:v>203.78415368922293</c:v>
                </c:pt>
                <c:pt idx="10">
                  <c:v>207.0696764993416</c:v>
                </c:pt>
                <c:pt idx="11">
                  <c:v>207.02785331439429</c:v>
                </c:pt>
                <c:pt idx="12">
                  <c:v>213.13426787141498</c:v>
                </c:pt>
                <c:pt idx="13">
                  <c:v>220.57814577843149</c:v>
                </c:pt>
                <c:pt idx="14">
                  <c:v>221.21502223826812</c:v>
                </c:pt>
                <c:pt idx="15">
                  <c:v>227.6649628469936</c:v>
                </c:pt>
                <c:pt idx="16">
                  <c:v>229.92704850311006</c:v>
                </c:pt>
                <c:pt idx="17">
                  <c:v>228.16755120813986</c:v>
                </c:pt>
                <c:pt idx="18">
                  <c:v>226.4903068478354</c:v>
                </c:pt>
                <c:pt idx="19">
                  <c:v>224.89740247672228</c:v>
                </c:pt>
                <c:pt idx="20">
                  <c:v>219.22293675123692</c:v>
                </c:pt>
                <c:pt idx="21">
                  <c:v>218.2750573019504</c:v>
                </c:pt>
                <c:pt idx="22">
                  <c:v>216.31123417518674</c:v>
                </c:pt>
                <c:pt idx="23">
                  <c:v>213.65647035033206</c:v>
                </c:pt>
                <c:pt idx="24">
                  <c:v>217.25864148371619</c:v>
                </c:pt>
                <c:pt idx="25">
                  <c:v>218.40482438134629</c:v>
                </c:pt>
                <c:pt idx="26">
                  <c:v>216.15120598910485</c:v>
                </c:pt>
                <c:pt idx="27">
                  <c:v>220.53718073086924</c:v>
                </c:pt>
                <c:pt idx="28">
                  <c:v>225.07309073043905</c:v>
                </c:pt>
                <c:pt idx="29">
                  <c:v>229.74955342839607</c:v>
                </c:pt>
                <c:pt idx="30">
                  <c:v>240.94182648828755</c:v>
                </c:pt>
                <c:pt idx="31">
                  <c:v>231.71174007548348</c:v>
                </c:pt>
                <c:pt idx="32">
                  <c:v>229.88126989574909</c:v>
                </c:pt>
                <c:pt idx="33">
                  <c:v>234.88869971592578</c:v>
                </c:pt>
                <c:pt idx="34">
                  <c:v>238.3576099334033</c:v>
                </c:pt>
                <c:pt idx="35">
                  <c:v>240.24179680358876</c:v>
                </c:pt>
                <c:pt idx="36">
                  <c:v>242.35943233819583</c:v>
                </c:pt>
                <c:pt idx="37">
                  <c:v>244.17180302453372</c:v>
                </c:pt>
                <c:pt idx="38">
                  <c:v>244.38520252880127</c:v>
                </c:pt>
                <c:pt idx="39">
                  <c:v>242.6638632248586</c:v>
                </c:pt>
                <c:pt idx="40">
                  <c:v>246.69744710364941</c:v>
                </c:pt>
                <c:pt idx="41">
                  <c:v>247.54704590869673</c:v>
                </c:pt>
                <c:pt idx="42">
                  <c:v>252.14789257112693</c:v>
                </c:pt>
                <c:pt idx="43">
                  <c:v>256.11127855397984</c:v>
                </c:pt>
                <c:pt idx="44">
                  <c:v>261.31866763087646</c:v>
                </c:pt>
                <c:pt idx="45">
                  <c:v>262.48060398876032</c:v>
                </c:pt>
                <c:pt idx="46">
                  <c:v>274.82034145475188</c:v>
                </c:pt>
                <c:pt idx="47">
                  <c:v>274.71006610415611</c:v>
                </c:pt>
                <c:pt idx="48">
                  <c:v>271.04918920333103</c:v>
                </c:pt>
                <c:pt idx="49">
                  <c:v>271.85057821699985</c:v>
                </c:pt>
                <c:pt idx="50">
                  <c:v>267.08765051736151</c:v>
                </c:pt>
                <c:pt idx="51">
                  <c:v>267.19353447457939</c:v>
                </c:pt>
                <c:pt idx="52">
                  <c:v>256.07773316402552</c:v>
                </c:pt>
                <c:pt idx="53">
                  <c:v>253.33847503412863</c:v>
                </c:pt>
                <c:pt idx="54">
                  <c:v>258.67070647205838</c:v>
                </c:pt>
                <c:pt idx="55">
                  <c:v>265.38765659218882</c:v>
                </c:pt>
                <c:pt idx="56">
                  <c:v>262.87419601500852</c:v>
                </c:pt>
                <c:pt idx="57">
                  <c:v>259.71307676521985</c:v>
                </c:pt>
                <c:pt idx="58">
                  <c:v>262.26684270960658</c:v>
                </c:pt>
                <c:pt idx="59">
                  <c:v>264.35642111508793</c:v>
                </c:pt>
                <c:pt idx="60">
                  <c:v>263.45104710388966</c:v>
                </c:pt>
                <c:pt idx="61">
                  <c:v>258.15789646503561</c:v>
                </c:pt>
                <c:pt idx="62">
                  <c:v>255.31999238134205</c:v>
                </c:pt>
                <c:pt idx="63">
                  <c:v>252.25257650325071</c:v>
                </c:pt>
                <c:pt idx="64">
                  <c:v>253.84393855180375</c:v>
                </c:pt>
                <c:pt idx="65">
                  <c:v>252.52235909362417</c:v>
                </c:pt>
                <c:pt idx="66">
                  <c:v>245.7651788609563</c:v>
                </c:pt>
                <c:pt idx="67">
                  <c:v>240.00443740065663</c:v>
                </c:pt>
                <c:pt idx="68">
                  <c:v>238.6983036558413</c:v>
                </c:pt>
                <c:pt idx="69">
                  <c:v>238.86062351288282</c:v>
                </c:pt>
                <c:pt idx="70">
                  <c:v>235.261875636209</c:v>
                </c:pt>
                <c:pt idx="71">
                  <c:v>226.82345711941082</c:v>
                </c:pt>
                <c:pt idx="72">
                  <c:v>224.36320068920622</c:v>
                </c:pt>
                <c:pt idx="73">
                  <c:v>216.99235491177311</c:v>
                </c:pt>
                <c:pt idx="74">
                  <c:v>219.90263880335328</c:v>
                </c:pt>
                <c:pt idx="75">
                  <c:v>222.83293780508296</c:v>
                </c:pt>
                <c:pt idx="76">
                  <c:v>220.55171005600758</c:v>
                </c:pt>
                <c:pt idx="77">
                  <c:v>222.90555339264182</c:v>
                </c:pt>
                <c:pt idx="78">
                  <c:v>212.83469841707671</c:v>
                </c:pt>
                <c:pt idx="79">
                  <c:v>209.52335732605519</c:v>
                </c:pt>
                <c:pt idx="80">
                  <c:v>212.82717981345075</c:v>
                </c:pt>
                <c:pt idx="81">
                  <c:v>208.17835177291175</c:v>
                </c:pt>
                <c:pt idx="82">
                  <c:v>205.20469674450933</c:v>
                </c:pt>
                <c:pt idx="83">
                  <c:v>208.94522726427422</c:v>
                </c:pt>
                <c:pt idx="84">
                  <c:v>204.03926993595991</c:v>
                </c:pt>
                <c:pt idx="85">
                  <c:v>202.99229096171646</c:v>
                </c:pt>
                <c:pt idx="86">
                  <c:v>205.42386875784092</c:v>
                </c:pt>
                <c:pt idx="87">
                  <c:v>197.8162032804326</c:v>
                </c:pt>
                <c:pt idx="88">
                  <c:v>192.1845912446806</c:v>
                </c:pt>
                <c:pt idx="89">
                  <c:v>193.17065442756814</c:v>
                </c:pt>
                <c:pt idx="90">
                  <c:v>201.08697284247285</c:v>
                </c:pt>
                <c:pt idx="91">
                  <c:v>207.53046755577364</c:v>
                </c:pt>
                <c:pt idx="92">
                  <c:v>204.92152552270278</c:v>
                </c:pt>
                <c:pt idx="93">
                  <c:v>207.57328087799797</c:v>
                </c:pt>
                <c:pt idx="94">
                  <c:v>202.62781971148047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CD41-094C-BCDC-8807F586F36B}"/>
            </c:ext>
          </c:extLst>
        </c:ser>
        <c:ser>
          <c:idx val="74"/>
          <c:order val="74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frozen'!$E$76:$CU$76</c:f>
              <c:numCache>
                <c:formatCode>General</c:formatCode>
                <c:ptCount val="95"/>
                <c:pt idx="0">
                  <c:v>222.13</c:v>
                </c:pt>
                <c:pt idx="1">
                  <c:v>226.48376872394599</c:v>
                </c:pt>
                <c:pt idx="2">
                  <c:v>229.8625226670122</c:v>
                </c:pt>
                <c:pt idx="3">
                  <c:v>228.45789070361843</c:v>
                </c:pt>
                <c:pt idx="4">
                  <c:v>228.36366756940052</c:v>
                </c:pt>
                <c:pt idx="5">
                  <c:v>233.02836120655945</c:v>
                </c:pt>
                <c:pt idx="6">
                  <c:v>236.11042338845704</c:v>
                </c:pt>
                <c:pt idx="7">
                  <c:v>244.98695627195306</c:v>
                </c:pt>
                <c:pt idx="8">
                  <c:v>254.38764302668781</c:v>
                </c:pt>
                <c:pt idx="9">
                  <c:v>258.74138672366109</c:v>
                </c:pt>
                <c:pt idx="10">
                  <c:v>269.84718640121287</c:v>
                </c:pt>
                <c:pt idx="11">
                  <c:v>274.89057389447402</c:v>
                </c:pt>
                <c:pt idx="12">
                  <c:v>272.22167337688239</c:v>
                </c:pt>
                <c:pt idx="13">
                  <c:v>261.53644718295413</c:v>
                </c:pt>
                <c:pt idx="14">
                  <c:v>256.67125361491873</c:v>
                </c:pt>
                <c:pt idx="15">
                  <c:v>262.30710577859145</c:v>
                </c:pt>
                <c:pt idx="16">
                  <c:v>261.20992933022478</c:v>
                </c:pt>
                <c:pt idx="17">
                  <c:v>254.62549095265774</c:v>
                </c:pt>
                <c:pt idx="18">
                  <c:v>251.09028605691881</c:v>
                </c:pt>
                <c:pt idx="19">
                  <c:v>250.76099320018713</c:v>
                </c:pt>
                <c:pt idx="20">
                  <c:v>259.81231119944817</c:v>
                </c:pt>
                <c:pt idx="21">
                  <c:v>257.06421162195198</c:v>
                </c:pt>
                <c:pt idx="22">
                  <c:v>265.54333306222588</c:v>
                </c:pt>
                <c:pt idx="23">
                  <c:v>260.89106786384292</c:v>
                </c:pt>
                <c:pt idx="24">
                  <c:v>245.94307813785841</c:v>
                </c:pt>
                <c:pt idx="25">
                  <c:v>244.75091220228154</c:v>
                </c:pt>
                <c:pt idx="26">
                  <c:v>239.51521139919004</c:v>
                </c:pt>
                <c:pt idx="27">
                  <c:v>239.79001211562274</c:v>
                </c:pt>
                <c:pt idx="28">
                  <c:v>240.35378416147717</c:v>
                </c:pt>
                <c:pt idx="29">
                  <c:v>242.87338309384683</c:v>
                </c:pt>
                <c:pt idx="30">
                  <c:v>241.89485656868229</c:v>
                </c:pt>
                <c:pt idx="31">
                  <c:v>254.56072278232114</c:v>
                </c:pt>
                <c:pt idx="32">
                  <c:v>260.32399734949342</c:v>
                </c:pt>
                <c:pt idx="33">
                  <c:v>250.11516884088462</c:v>
                </c:pt>
                <c:pt idx="34">
                  <c:v>249.19503236343186</c:v>
                </c:pt>
                <c:pt idx="35">
                  <c:v>252.88554220174504</c:v>
                </c:pt>
                <c:pt idx="36">
                  <c:v>259.31269593370706</c:v>
                </c:pt>
                <c:pt idx="37">
                  <c:v>257.56401212309231</c:v>
                </c:pt>
                <c:pt idx="38">
                  <c:v>263.08435814773878</c:v>
                </c:pt>
                <c:pt idx="39">
                  <c:v>270.42059438643946</c:v>
                </c:pt>
                <c:pt idx="40">
                  <c:v>269.57619311792791</c:v>
                </c:pt>
                <c:pt idx="41">
                  <c:v>280.58955508625445</c:v>
                </c:pt>
                <c:pt idx="42">
                  <c:v>282.25967312149385</c:v>
                </c:pt>
                <c:pt idx="43">
                  <c:v>272.11543682310742</c:v>
                </c:pt>
                <c:pt idx="44">
                  <c:v>278.02556856977935</c:v>
                </c:pt>
                <c:pt idx="45">
                  <c:v>276.515364641828</c:v>
                </c:pt>
                <c:pt idx="46">
                  <c:v>287.07148122984358</c:v>
                </c:pt>
                <c:pt idx="47">
                  <c:v>290.09118482235135</c:v>
                </c:pt>
                <c:pt idx="48">
                  <c:v>288.31326814306232</c:v>
                </c:pt>
                <c:pt idx="49">
                  <c:v>291.28132009837992</c:v>
                </c:pt>
                <c:pt idx="50">
                  <c:v>289.56034807890273</c:v>
                </c:pt>
                <c:pt idx="51">
                  <c:v>294.12775702083769</c:v>
                </c:pt>
                <c:pt idx="52">
                  <c:v>301.21865837781621</c:v>
                </c:pt>
                <c:pt idx="53">
                  <c:v>298.033347688307</c:v>
                </c:pt>
                <c:pt idx="54">
                  <c:v>302.49627495872545</c:v>
                </c:pt>
                <c:pt idx="55">
                  <c:v>291.29464683806407</c:v>
                </c:pt>
                <c:pt idx="56">
                  <c:v>301.77123447957615</c:v>
                </c:pt>
                <c:pt idx="57">
                  <c:v>309.07263000159458</c:v>
                </c:pt>
                <c:pt idx="58">
                  <c:v>297.75901392276467</c:v>
                </c:pt>
                <c:pt idx="59">
                  <c:v>293.1036077430831</c:v>
                </c:pt>
                <c:pt idx="60">
                  <c:v>300.25324845269193</c:v>
                </c:pt>
                <c:pt idx="61">
                  <c:v>296.91938297384706</c:v>
                </c:pt>
                <c:pt idx="62">
                  <c:v>290.9546727752786</c:v>
                </c:pt>
                <c:pt idx="63">
                  <c:v>284.63991050756545</c:v>
                </c:pt>
                <c:pt idx="64">
                  <c:v>290.72838258267296</c:v>
                </c:pt>
                <c:pt idx="65">
                  <c:v>294.75694739332715</c:v>
                </c:pt>
                <c:pt idx="66">
                  <c:v>297.33910981393177</c:v>
                </c:pt>
                <c:pt idx="67">
                  <c:v>299.72553286308084</c:v>
                </c:pt>
                <c:pt idx="68">
                  <c:v>301.31561341480602</c:v>
                </c:pt>
                <c:pt idx="69">
                  <c:v>304.10672337241976</c:v>
                </c:pt>
                <c:pt idx="70">
                  <c:v>299.1200306779246</c:v>
                </c:pt>
                <c:pt idx="71">
                  <c:v>289.54025665947006</c:v>
                </c:pt>
                <c:pt idx="72">
                  <c:v>293.32791762721399</c:v>
                </c:pt>
                <c:pt idx="73">
                  <c:v>288.61920251961249</c:v>
                </c:pt>
                <c:pt idx="74">
                  <c:v>287.01904897714104</c:v>
                </c:pt>
                <c:pt idx="75">
                  <c:v>287.90421716596023</c:v>
                </c:pt>
                <c:pt idx="76">
                  <c:v>284.49457714515654</c:v>
                </c:pt>
                <c:pt idx="77">
                  <c:v>271.49368054422411</c:v>
                </c:pt>
                <c:pt idx="78">
                  <c:v>275.83590179339961</c:v>
                </c:pt>
                <c:pt idx="79">
                  <c:v>271.64846513748097</c:v>
                </c:pt>
                <c:pt idx="80">
                  <c:v>268.1309316944363</c:v>
                </c:pt>
                <c:pt idx="81">
                  <c:v>270.61311477710802</c:v>
                </c:pt>
                <c:pt idx="82">
                  <c:v>279.66701285582843</c:v>
                </c:pt>
                <c:pt idx="83">
                  <c:v>278.17228217626825</c:v>
                </c:pt>
                <c:pt idx="84">
                  <c:v>279.85364470758401</c:v>
                </c:pt>
                <c:pt idx="85">
                  <c:v>284.65099565011127</c:v>
                </c:pt>
                <c:pt idx="86">
                  <c:v>280.01719835797434</c:v>
                </c:pt>
                <c:pt idx="87">
                  <c:v>280.65746469454183</c:v>
                </c:pt>
                <c:pt idx="88">
                  <c:v>281.55193946943029</c:v>
                </c:pt>
                <c:pt idx="89">
                  <c:v>276.82153935001935</c:v>
                </c:pt>
                <c:pt idx="90">
                  <c:v>292.73201550424193</c:v>
                </c:pt>
                <c:pt idx="91">
                  <c:v>292.02466008237673</c:v>
                </c:pt>
                <c:pt idx="92">
                  <c:v>293.77539216559734</c:v>
                </c:pt>
                <c:pt idx="93">
                  <c:v>296.25022277996169</c:v>
                </c:pt>
                <c:pt idx="94">
                  <c:v>285.22601414673886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CD41-094C-BCDC-8807F586F36B}"/>
            </c:ext>
          </c:extLst>
        </c:ser>
        <c:ser>
          <c:idx val="75"/>
          <c:order val="75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frozen'!$E$77:$CU$77</c:f>
              <c:numCache>
                <c:formatCode>General</c:formatCode>
                <c:ptCount val="95"/>
                <c:pt idx="0">
                  <c:v>222.13</c:v>
                </c:pt>
                <c:pt idx="1">
                  <c:v>221.93676662878718</c:v>
                </c:pt>
                <c:pt idx="2">
                  <c:v>221.11481125350181</c:v>
                </c:pt>
                <c:pt idx="3">
                  <c:v>223.77750370484711</c:v>
                </c:pt>
                <c:pt idx="4">
                  <c:v>221.81443134491687</c:v>
                </c:pt>
                <c:pt idx="5">
                  <c:v>224.0336057404316</c:v>
                </c:pt>
                <c:pt idx="6">
                  <c:v>230.58923354474902</c:v>
                </c:pt>
                <c:pt idx="7">
                  <c:v>225.06391380385875</c:v>
                </c:pt>
                <c:pt idx="8">
                  <c:v>224.20093074627587</c:v>
                </c:pt>
                <c:pt idx="9">
                  <c:v>225.06431239004516</c:v>
                </c:pt>
                <c:pt idx="10">
                  <c:v>231.68670403940689</c:v>
                </c:pt>
                <c:pt idx="11">
                  <c:v>235.1005662173888</c:v>
                </c:pt>
                <c:pt idx="12">
                  <c:v>232.02982701071917</c:v>
                </c:pt>
                <c:pt idx="13">
                  <c:v>227.30511708254187</c:v>
                </c:pt>
                <c:pt idx="14">
                  <c:v>221.93964010267055</c:v>
                </c:pt>
                <c:pt idx="15">
                  <c:v>218.44943960364782</c:v>
                </c:pt>
                <c:pt idx="16">
                  <c:v>211.94524769945582</c:v>
                </c:pt>
                <c:pt idx="17">
                  <c:v>211.41767008007369</c:v>
                </c:pt>
                <c:pt idx="18">
                  <c:v>210.17134195277376</c:v>
                </c:pt>
                <c:pt idx="19">
                  <c:v>202.64677358719374</c:v>
                </c:pt>
                <c:pt idx="20">
                  <c:v>206.25534931394199</c:v>
                </c:pt>
                <c:pt idx="21">
                  <c:v>213.11023269534547</c:v>
                </c:pt>
                <c:pt idx="22">
                  <c:v>208.74853781561063</c:v>
                </c:pt>
                <c:pt idx="23">
                  <c:v>213.27226676999476</c:v>
                </c:pt>
                <c:pt idx="24">
                  <c:v>208.53768246386855</c:v>
                </c:pt>
                <c:pt idx="25">
                  <c:v>209.88272808835112</c:v>
                </c:pt>
                <c:pt idx="26">
                  <c:v>215.32401609074955</c:v>
                </c:pt>
                <c:pt idx="27">
                  <c:v>215.92481900400966</c:v>
                </c:pt>
                <c:pt idx="28">
                  <c:v>223.30757529685482</c:v>
                </c:pt>
                <c:pt idx="29">
                  <c:v>214.47407128220323</c:v>
                </c:pt>
                <c:pt idx="30">
                  <c:v>212.85787519859906</c:v>
                </c:pt>
                <c:pt idx="31">
                  <c:v>217.00875122013079</c:v>
                </c:pt>
                <c:pt idx="32">
                  <c:v>222.77760540960233</c:v>
                </c:pt>
                <c:pt idx="33">
                  <c:v>227.35463752289817</c:v>
                </c:pt>
                <c:pt idx="34">
                  <c:v>230.5478706084107</c:v>
                </c:pt>
                <c:pt idx="35">
                  <c:v>222.21015224420458</c:v>
                </c:pt>
                <c:pt idx="36">
                  <c:v>223.5010715569515</c:v>
                </c:pt>
                <c:pt idx="37">
                  <c:v>225.22220045413835</c:v>
                </c:pt>
                <c:pt idx="38">
                  <c:v>216.62414538751781</c:v>
                </c:pt>
                <c:pt idx="39">
                  <c:v>219.00374501014082</c:v>
                </c:pt>
                <c:pt idx="40">
                  <c:v>229.25028347951022</c:v>
                </c:pt>
                <c:pt idx="41">
                  <c:v>238.86031205748336</c:v>
                </c:pt>
                <c:pt idx="42">
                  <c:v>234.87890804139636</c:v>
                </c:pt>
                <c:pt idx="43">
                  <c:v>235.63855330750525</c:v>
                </c:pt>
                <c:pt idx="44">
                  <c:v>238.65400512716005</c:v>
                </c:pt>
                <c:pt idx="45">
                  <c:v>238.28268092396956</c:v>
                </c:pt>
                <c:pt idx="46">
                  <c:v>240.01974571983951</c:v>
                </c:pt>
                <c:pt idx="47">
                  <c:v>238.51960792504215</c:v>
                </c:pt>
                <c:pt idx="48">
                  <c:v>248.15851671365687</c:v>
                </c:pt>
                <c:pt idx="49">
                  <c:v>247.90850893251385</c:v>
                </c:pt>
                <c:pt idx="50">
                  <c:v>254.94600732324915</c:v>
                </c:pt>
                <c:pt idx="51">
                  <c:v>254.43153098332169</c:v>
                </c:pt>
                <c:pt idx="52">
                  <c:v>258.41238017185611</c:v>
                </c:pt>
                <c:pt idx="53">
                  <c:v>264.60757063669303</c:v>
                </c:pt>
                <c:pt idx="54">
                  <c:v>271.47873882574737</c:v>
                </c:pt>
                <c:pt idx="55">
                  <c:v>272.09593072254853</c:v>
                </c:pt>
                <c:pt idx="56">
                  <c:v>273.90614939726697</c:v>
                </c:pt>
                <c:pt idx="57">
                  <c:v>262.82903841374434</c:v>
                </c:pt>
                <c:pt idx="58">
                  <c:v>256.35891280155829</c:v>
                </c:pt>
                <c:pt idx="59">
                  <c:v>240.80840828003412</c:v>
                </c:pt>
                <c:pt idx="60">
                  <c:v>236.7107363646675</c:v>
                </c:pt>
                <c:pt idx="61">
                  <c:v>234.95385819242128</c:v>
                </c:pt>
                <c:pt idx="62">
                  <c:v>240.48250662087193</c:v>
                </c:pt>
                <c:pt idx="63">
                  <c:v>248.12473886883021</c:v>
                </c:pt>
                <c:pt idx="64">
                  <c:v>243.08580189824255</c:v>
                </c:pt>
                <c:pt idx="65">
                  <c:v>234.68655987707726</c:v>
                </c:pt>
                <c:pt idx="66">
                  <c:v>226.6429958750758</c:v>
                </c:pt>
                <c:pt idx="67">
                  <c:v>230.62946104091691</c:v>
                </c:pt>
                <c:pt idx="68">
                  <c:v>228.74339040926228</c:v>
                </c:pt>
                <c:pt idx="69">
                  <c:v>227.05757781913141</c:v>
                </c:pt>
                <c:pt idx="70">
                  <c:v>217.14097904000172</c:v>
                </c:pt>
                <c:pt idx="71">
                  <c:v>216.08863661262922</c:v>
                </c:pt>
                <c:pt idx="72">
                  <c:v>211.09626234023378</c:v>
                </c:pt>
                <c:pt idx="73">
                  <c:v>211.92310803320424</c:v>
                </c:pt>
                <c:pt idx="74">
                  <c:v>213.46708442511647</c:v>
                </c:pt>
                <c:pt idx="75">
                  <c:v>208.99155850053231</c:v>
                </c:pt>
                <c:pt idx="76">
                  <c:v>209.63246396484357</c:v>
                </c:pt>
                <c:pt idx="77">
                  <c:v>202.20599658746323</c:v>
                </c:pt>
                <c:pt idx="78">
                  <c:v>200.87772176225107</c:v>
                </c:pt>
                <c:pt idx="79">
                  <c:v>203.5191947001901</c:v>
                </c:pt>
                <c:pt idx="80">
                  <c:v>203.20872126678194</c:v>
                </c:pt>
                <c:pt idx="81">
                  <c:v>204.71043612377585</c:v>
                </c:pt>
                <c:pt idx="82">
                  <c:v>198.1258560599772</c:v>
                </c:pt>
                <c:pt idx="83">
                  <c:v>184.98064755738397</c:v>
                </c:pt>
                <c:pt idx="84">
                  <c:v>182.94301561381488</c:v>
                </c:pt>
                <c:pt idx="85">
                  <c:v>176.5226506150843</c:v>
                </c:pt>
                <c:pt idx="86">
                  <c:v>180.86596664526729</c:v>
                </c:pt>
                <c:pt idx="87">
                  <c:v>178.74644469931701</c:v>
                </c:pt>
                <c:pt idx="88">
                  <c:v>177.17309704098301</c:v>
                </c:pt>
                <c:pt idx="89">
                  <c:v>179.23883416066795</c:v>
                </c:pt>
                <c:pt idx="90">
                  <c:v>185.14952162638724</c:v>
                </c:pt>
                <c:pt idx="91">
                  <c:v>177.32051176983896</c:v>
                </c:pt>
                <c:pt idx="92">
                  <c:v>182.58491818961303</c:v>
                </c:pt>
                <c:pt idx="93">
                  <c:v>191.57091044220172</c:v>
                </c:pt>
                <c:pt idx="94">
                  <c:v>189.52700821933686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CD41-094C-BCDC-8807F586F36B}"/>
            </c:ext>
          </c:extLst>
        </c:ser>
        <c:ser>
          <c:idx val="76"/>
          <c:order val="76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frozen'!$E$78:$CU$78</c:f>
              <c:numCache>
                <c:formatCode>General</c:formatCode>
                <c:ptCount val="95"/>
                <c:pt idx="0">
                  <c:v>222.13</c:v>
                </c:pt>
                <c:pt idx="1">
                  <c:v>215.32354231673699</c:v>
                </c:pt>
                <c:pt idx="2">
                  <c:v>204.57385986123907</c:v>
                </c:pt>
                <c:pt idx="3">
                  <c:v>200.15106391811068</c:v>
                </c:pt>
                <c:pt idx="4">
                  <c:v>198.81665025907989</c:v>
                </c:pt>
                <c:pt idx="5">
                  <c:v>194.4540789518428</c:v>
                </c:pt>
                <c:pt idx="6">
                  <c:v>192.21381166713809</c:v>
                </c:pt>
                <c:pt idx="7">
                  <c:v>181.17162870600424</c:v>
                </c:pt>
                <c:pt idx="8">
                  <c:v>189.35856069205056</c:v>
                </c:pt>
                <c:pt idx="9">
                  <c:v>191.76892793635525</c:v>
                </c:pt>
                <c:pt idx="10">
                  <c:v>193.70095546627863</c:v>
                </c:pt>
                <c:pt idx="11">
                  <c:v>192.19311816156625</c:v>
                </c:pt>
                <c:pt idx="12">
                  <c:v>196.75456851372743</c:v>
                </c:pt>
                <c:pt idx="13">
                  <c:v>193.41787384291683</c:v>
                </c:pt>
                <c:pt idx="14">
                  <c:v>184.44395744798916</c:v>
                </c:pt>
                <c:pt idx="15">
                  <c:v>189.95392291857092</c:v>
                </c:pt>
                <c:pt idx="16">
                  <c:v>196.81205256722953</c:v>
                </c:pt>
                <c:pt idx="17">
                  <c:v>191.909711639775</c:v>
                </c:pt>
                <c:pt idx="18">
                  <c:v>196.36083474664053</c:v>
                </c:pt>
                <c:pt idx="19">
                  <c:v>192.1259152202208</c:v>
                </c:pt>
                <c:pt idx="20">
                  <c:v>196.08764430183177</c:v>
                </c:pt>
                <c:pt idx="21">
                  <c:v>187.15739902090459</c:v>
                </c:pt>
                <c:pt idx="22">
                  <c:v>182.6336002078543</c:v>
                </c:pt>
                <c:pt idx="23">
                  <c:v>182.61203398856065</c:v>
                </c:pt>
                <c:pt idx="24">
                  <c:v>186.20941434658738</c:v>
                </c:pt>
                <c:pt idx="25">
                  <c:v>193.28696155193285</c:v>
                </c:pt>
                <c:pt idx="26">
                  <c:v>191.17232285258825</c:v>
                </c:pt>
                <c:pt idx="27">
                  <c:v>189.28818354635416</c:v>
                </c:pt>
                <c:pt idx="28">
                  <c:v>191.84473736087025</c:v>
                </c:pt>
                <c:pt idx="29">
                  <c:v>188.69870771192114</c:v>
                </c:pt>
                <c:pt idx="30">
                  <c:v>189.71502918633303</c:v>
                </c:pt>
                <c:pt idx="31">
                  <c:v>187.24640893520439</c:v>
                </c:pt>
                <c:pt idx="32">
                  <c:v>177.93873101014876</c:v>
                </c:pt>
                <c:pt idx="33">
                  <c:v>174.57037938777341</c:v>
                </c:pt>
                <c:pt idx="34">
                  <c:v>181.3962583369038</c:v>
                </c:pt>
                <c:pt idx="35">
                  <c:v>180.04612552093931</c:v>
                </c:pt>
                <c:pt idx="36">
                  <c:v>176.33192039894769</c:v>
                </c:pt>
                <c:pt idx="37">
                  <c:v>183.16121120182569</c:v>
                </c:pt>
                <c:pt idx="38">
                  <c:v>178.98011073974581</c:v>
                </c:pt>
                <c:pt idx="39">
                  <c:v>176.9142748069616</c:v>
                </c:pt>
                <c:pt idx="40">
                  <c:v>171.91972689777444</c:v>
                </c:pt>
                <c:pt idx="41">
                  <c:v>172.95119269782847</c:v>
                </c:pt>
                <c:pt idx="42">
                  <c:v>174.05125858467477</c:v>
                </c:pt>
                <c:pt idx="43">
                  <c:v>174.31268972012555</c:v>
                </c:pt>
                <c:pt idx="44">
                  <c:v>177.96858747865645</c:v>
                </c:pt>
                <c:pt idx="45">
                  <c:v>180.81815579879483</c:v>
                </c:pt>
                <c:pt idx="46">
                  <c:v>179.91196070644</c:v>
                </c:pt>
                <c:pt idx="47">
                  <c:v>174.81956806678878</c:v>
                </c:pt>
                <c:pt idx="48">
                  <c:v>168.83888980205936</c:v>
                </c:pt>
                <c:pt idx="49">
                  <c:v>168.46125618257187</c:v>
                </c:pt>
                <c:pt idx="50">
                  <c:v>169.0338897484821</c:v>
                </c:pt>
                <c:pt idx="51">
                  <c:v>170.55925574526887</c:v>
                </c:pt>
                <c:pt idx="52">
                  <c:v>172.36252699691636</c:v>
                </c:pt>
                <c:pt idx="53">
                  <c:v>170.68556581669245</c:v>
                </c:pt>
                <c:pt idx="54">
                  <c:v>169.36413049496645</c:v>
                </c:pt>
                <c:pt idx="55">
                  <c:v>172.44623192667589</c:v>
                </c:pt>
                <c:pt idx="56">
                  <c:v>172.99949476215812</c:v>
                </c:pt>
                <c:pt idx="57">
                  <c:v>174.2764539395244</c:v>
                </c:pt>
                <c:pt idx="58">
                  <c:v>176.95971887456417</c:v>
                </c:pt>
                <c:pt idx="59">
                  <c:v>179.92050247417089</c:v>
                </c:pt>
                <c:pt idx="60">
                  <c:v>187.7125100244443</c:v>
                </c:pt>
                <c:pt idx="61">
                  <c:v>192.56108620887349</c:v>
                </c:pt>
                <c:pt idx="62">
                  <c:v>188.7325509275687</c:v>
                </c:pt>
                <c:pt idx="63">
                  <c:v>190.74218434526426</c:v>
                </c:pt>
                <c:pt idx="64">
                  <c:v>192.82744773135676</c:v>
                </c:pt>
                <c:pt idx="65">
                  <c:v>189.77209858582242</c:v>
                </c:pt>
                <c:pt idx="66">
                  <c:v>185.87964613693308</c:v>
                </c:pt>
                <c:pt idx="67">
                  <c:v>187.67237391806805</c:v>
                </c:pt>
                <c:pt idx="68">
                  <c:v>189.25299128916743</c:v>
                </c:pt>
                <c:pt idx="69">
                  <c:v>192.73335627063784</c:v>
                </c:pt>
                <c:pt idx="70">
                  <c:v>199.91172011477028</c:v>
                </c:pt>
                <c:pt idx="71">
                  <c:v>199.34584291818919</c:v>
                </c:pt>
                <c:pt idx="72">
                  <c:v>203.27149190042405</c:v>
                </c:pt>
                <c:pt idx="73">
                  <c:v>199.23971796564004</c:v>
                </c:pt>
                <c:pt idx="74">
                  <c:v>207.42522567286517</c:v>
                </c:pt>
                <c:pt idx="75">
                  <c:v>201.02289341134266</c:v>
                </c:pt>
                <c:pt idx="76">
                  <c:v>204.46225642915755</c:v>
                </c:pt>
                <c:pt idx="77">
                  <c:v>208.30527131515478</c:v>
                </c:pt>
                <c:pt idx="78">
                  <c:v>210.1729904990323</c:v>
                </c:pt>
                <c:pt idx="79">
                  <c:v>204.12087249050083</c:v>
                </c:pt>
                <c:pt idx="80">
                  <c:v>205.53992403743661</c:v>
                </c:pt>
                <c:pt idx="81">
                  <c:v>199.25333965231275</c:v>
                </c:pt>
                <c:pt idx="82">
                  <c:v>194.10024311324071</c:v>
                </c:pt>
                <c:pt idx="83">
                  <c:v>195.48150844025432</c:v>
                </c:pt>
                <c:pt idx="84">
                  <c:v>202.13668302815123</c:v>
                </c:pt>
                <c:pt idx="85">
                  <c:v>196.08085384581491</c:v>
                </c:pt>
                <c:pt idx="86">
                  <c:v>201.64051711949949</c:v>
                </c:pt>
                <c:pt idx="87">
                  <c:v>194.9694553514727</c:v>
                </c:pt>
                <c:pt idx="88">
                  <c:v>193.71887121942436</c:v>
                </c:pt>
                <c:pt idx="89">
                  <c:v>195.33286444916578</c:v>
                </c:pt>
                <c:pt idx="90">
                  <c:v>203.83541408165024</c:v>
                </c:pt>
                <c:pt idx="91">
                  <c:v>204.58228426099114</c:v>
                </c:pt>
                <c:pt idx="92">
                  <c:v>204.71223044044876</c:v>
                </c:pt>
                <c:pt idx="93">
                  <c:v>213.02369448661733</c:v>
                </c:pt>
                <c:pt idx="94">
                  <c:v>215.11352354199542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CD41-094C-BCDC-8807F586F36B}"/>
            </c:ext>
          </c:extLst>
        </c:ser>
        <c:ser>
          <c:idx val="77"/>
          <c:order val="77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frozen'!$E$79:$CU$79</c:f>
              <c:numCache>
                <c:formatCode>General</c:formatCode>
                <c:ptCount val="95"/>
                <c:pt idx="0">
                  <c:v>222.13</c:v>
                </c:pt>
                <c:pt idx="1">
                  <c:v>228.78850493827787</c:v>
                </c:pt>
                <c:pt idx="2">
                  <c:v>232.01413743466992</c:v>
                </c:pt>
                <c:pt idx="3">
                  <c:v>239.21060345348914</c:v>
                </c:pt>
                <c:pt idx="4">
                  <c:v>234.62089423574838</c:v>
                </c:pt>
                <c:pt idx="5">
                  <c:v>231.45900772306092</c:v>
                </c:pt>
                <c:pt idx="6">
                  <c:v>235.24445761913162</c:v>
                </c:pt>
                <c:pt idx="7">
                  <c:v>245.58684939398924</c:v>
                </c:pt>
                <c:pt idx="8">
                  <c:v>250.43685334526094</c:v>
                </c:pt>
                <c:pt idx="9">
                  <c:v>255.03110770449086</c:v>
                </c:pt>
                <c:pt idx="10">
                  <c:v>264.35864135997434</c:v>
                </c:pt>
                <c:pt idx="11">
                  <c:v>277.12875798030177</c:v>
                </c:pt>
                <c:pt idx="12">
                  <c:v>280.53731353875588</c:v>
                </c:pt>
                <c:pt idx="13">
                  <c:v>283.49287152477746</c:v>
                </c:pt>
                <c:pt idx="14">
                  <c:v>274.3280640080398</c:v>
                </c:pt>
                <c:pt idx="15">
                  <c:v>272.02301305401693</c:v>
                </c:pt>
                <c:pt idx="16">
                  <c:v>273.53381730907932</c:v>
                </c:pt>
                <c:pt idx="17">
                  <c:v>263.83724379214181</c:v>
                </c:pt>
                <c:pt idx="18">
                  <c:v>260.09247127776018</c:v>
                </c:pt>
                <c:pt idx="19">
                  <c:v>261.90184891324787</c:v>
                </c:pt>
                <c:pt idx="20">
                  <c:v>257.75413248261731</c:v>
                </c:pt>
                <c:pt idx="21">
                  <c:v>265.74083459917745</c:v>
                </c:pt>
                <c:pt idx="22">
                  <c:v>272.08705374644967</c:v>
                </c:pt>
                <c:pt idx="23">
                  <c:v>278.01491632133468</c:v>
                </c:pt>
                <c:pt idx="24">
                  <c:v>277.70157190125542</c:v>
                </c:pt>
                <c:pt idx="25">
                  <c:v>283.72077566769593</c:v>
                </c:pt>
                <c:pt idx="26">
                  <c:v>272.41518556633332</c:v>
                </c:pt>
                <c:pt idx="27">
                  <c:v>275.63009715738173</c:v>
                </c:pt>
                <c:pt idx="28">
                  <c:v>272.66482957813986</c:v>
                </c:pt>
                <c:pt idx="29">
                  <c:v>270.18364065833651</c:v>
                </c:pt>
                <c:pt idx="30">
                  <c:v>272.16719260713057</c:v>
                </c:pt>
                <c:pt idx="31">
                  <c:v>274.49962337615915</c:v>
                </c:pt>
                <c:pt idx="32">
                  <c:v>281.04407182424944</c:v>
                </c:pt>
                <c:pt idx="33">
                  <c:v>274.79186797261548</c:v>
                </c:pt>
                <c:pt idx="34">
                  <c:v>276.76656582261307</c:v>
                </c:pt>
                <c:pt idx="35">
                  <c:v>279.81827160878464</c:v>
                </c:pt>
                <c:pt idx="36">
                  <c:v>277.18853915598271</c:v>
                </c:pt>
                <c:pt idx="37">
                  <c:v>272.87534896948421</c:v>
                </c:pt>
                <c:pt idx="38">
                  <c:v>284.26086287214758</c:v>
                </c:pt>
                <c:pt idx="39">
                  <c:v>286.24755561850679</c:v>
                </c:pt>
                <c:pt idx="40">
                  <c:v>288.21269533963863</c:v>
                </c:pt>
                <c:pt idx="41">
                  <c:v>275.06989114504796</c:v>
                </c:pt>
                <c:pt idx="42">
                  <c:v>267.9458196814598</c:v>
                </c:pt>
                <c:pt idx="43">
                  <c:v>272.89577478381875</c:v>
                </c:pt>
                <c:pt idx="44">
                  <c:v>272.76169518177818</c:v>
                </c:pt>
                <c:pt idx="45">
                  <c:v>274.52277353676908</c:v>
                </c:pt>
                <c:pt idx="46">
                  <c:v>271.38784816956257</c:v>
                </c:pt>
                <c:pt idx="47">
                  <c:v>269.47947246234196</c:v>
                </c:pt>
                <c:pt idx="48">
                  <c:v>264.88833536189958</c:v>
                </c:pt>
                <c:pt idx="49">
                  <c:v>266.81256471004059</c:v>
                </c:pt>
                <c:pt idx="50">
                  <c:v>261.99319749701527</c:v>
                </c:pt>
                <c:pt idx="51">
                  <c:v>263.52465909652892</c:v>
                </c:pt>
                <c:pt idx="52">
                  <c:v>269.35861406185251</c:v>
                </c:pt>
                <c:pt idx="53">
                  <c:v>259.91646079793946</c:v>
                </c:pt>
                <c:pt idx="54">
                  <c:v>268.28658559173402</c:v>
                </c:pt>
                <c:pt idx="55">
                  <c:v>264.8911483564774</c:v>
                </c:pt>
                <c:pt idx="56">
                  <c:v>265.72027046462995</c:v>
                </c:pt>
                <c:pt idx="57">
                  <c:v>273.82047468852159</c:v>
                </c:pt>
                <c:pt idx="58">
                  <c:v>268.80867163086106</c:v>
                </c:pt>
                <c:pt idx="59">
                  <c:v>260.46409659662226</c:v>
                </c:pt>
                <c:pt idx="60">
                  <c:v>256.26343900659077</c:v>
                </c:pt>
                <c:pt idx="61">
                  <c:v>254.33596382245631</c:v>
                </c:pt>
                <c:pt idx="62">
                  <c:v>261.55910807947942</c:v>
                </c:pt>
                <c:pt idx="63">
                  <c:v>256.48062204285026</c:v>
                </c:pt>
                <c:pt idx="64">
                  <c:v>250.14884033533048</c:v>
                </c:pt>
                <c:pt idx="65">
                  <c:v>252.64802321172755</c:v>
                </c:pt>
                <c:pt idx="66">
                  <c:v>250.68715170449676</c:v>
                </c:pt>
                <c:pt idx="67">
                  <c:v>242.70527381473619</c:v>
                </c:pt>
                <c:pt idx="68">
                  <c:v>238.35494994633993</c:v>
                </c:pt>
                <c:pt idx="69">
                  <c:v>226.84202396241173</c:v>
                </c:pt>
                <c:pt idx="70">
                  <c:v>219.42287042308968</c:v>
                </c:pt>
                <c:pt idx="71">
                  <c:v>226.70256417425884</c:v>
                </c:pt>
                <c:pt idx="72">
                  <c:v>228.22287330716912</c:v>
                </c:pt>
                <c:pt idx="73">
                  <c:v>236.48278607366024</c:v>
                </c:pt>
                <c:pt idx="74">
                  <c:v>232.61824798420739</c:v>
                </c:pt>
                <c:pt idx="75">
                  <c:v>225.38660691976028</c:v>
                </c:pt>
                <c:pt idx="76">
                  <c:v>220.66418486062673</c:v>
                </c:pt>
                <c:pt idx="77">
                  <c:v>218.76208574203281</c:v>
                </c:pt>
                <c:pt idx="78">
                  <c:v>214.87548247884683</c:v>
                </c:pt>
                <c:pt idx="79">
                  <c:v>211.52535198740321</c:v>
                </c:pt>
                <c:pt idx="80">
                  <c:v>212.89478146454786</c:v>
                </c:pt>
                <c:pt idx="81">
                  <c:v>211.87786344959162</c:v>
                </c:pt>
                <c:pt idx="82">
                  <c:v>213.69483861656096</c:v>
                </c:pt>
                <c:pt idx="83">
                  <c:v>215.69190682813439</c:v>
                </c:pt>
                <c:pt idx="84">
                  <c:v>207.57252570509664</c:v>
                </c:pt>
                <c:pt idx="85">
                  <c:v>208.97932552173177</c:v>
                </c:pt>
                <c:pt idx="86">
                  <c:v>214.85356576997384</c:v>
                </c:pt>
                <c:pt idx="87">
                  <c:v>211.79012646290747</c:v>
                </c:pt>
                <c:pt idx="88">
                  <c:v>220.9694667632441</c:v>
                </c:pt>
                <c:pt idx="89">
                  <c:v>223.83569370723421</c:v>
                </c:pt>
                <c:pt idx="90">
                  <c:v>236.03532971388151</c:v>
                </c:pt>
                <c:pt idx="91">
                  <c:v>243.37298651631184</c:v>
                </c:pt>
                <c:pt idx="92">
                  <c:v>246.76589319715231</c:v>
                </c:pt>
                <c:pt idx="93">
                  <c:v>246.53873930656874</c:v>
                </c:pt>
                <c:pt idx="94">
                  <c:v>241.0362993082006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CD41-094C-BCDC-8807F586F36B}"/>
            </c:ext>
          </c:extLst>
        </c:ser>
        <c:ser>
          <c:idx val="78"/>
          <c:order val="78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frozen'!$E$80:$CU$80</c:f>
              <c:numCache>
                <c:formatCode>General</c:formatCode>
                <c:ptCount val="95"/>
                <c:pt idx="0">
                  <c:v>222.13</c:v>
                </c:pt>
                <c:pt idx="1">
                  <c:v>208.30714390301969</c:v>
                </c:pt>
                <c:pt idx="2">
                  <c:v>213.44050844504798</c:v>
                </c:pt>
                <c:pt idx="3">
                  <c:v>213.34193209508692</c:v>
                </c:pt>
                <c:pt idx="4">
                  <c:v>209.20941431483388</c:v>
                </c:pt>
                <c:pt idx="5">
                  <c:v>219.58687311042937</c:v>
                </c:pt>
                <c:pt idx="6">
                  <c:v>220.87104613684951</c:v>
                </c:pt>
                <c:pt idx="7">
                  <c:v>222.24908498471154</c:v>
                </c:pt>
                <c:pt idx="8">
                  <c:v>226.90964968179759</c:v>
                </c:pt>
                <c:pt idx="9">
                  <c:v>234.44829261336884</c:v>
                </c:pt>
                <c:pt idx="10">
                  <c:v>237.67486618695617</c:v>
                </c:pt>
                <c:pt idx="11">
                  <c:v>245.8501475991074</c:v>
                </c:pt>
                <c:pt idx="12">
                  <c:v>233.52159724004363</c:v>
                </c:pt>
                <c:pt idx="13">
                  <c:v>237.87292829522499</c:v>
                </c:pt>
                <c:pt idx="14">
                  <c:v>241.06016230975897</c:v>
                </c:pt>
                <c:pt idx="15">
                  <c:v>239.41304794987127</c:v>
                </c:pt>
                <c:pt idx="16">
                  <c:v>237.38695631535222</c:v>
                </c:pt>
                <c:pt idx="17">
                  <c:v>244.96473994768525</c:v>
                </c:pt>
                <c:pt idx="18">
                  <c:v>247.84278658095269</c:v>
                </c:pt>
                <c:pt idx="19">
                  <c:v>259.9664831083839</c:v>
                </c:pt>
                <c:pt idx="20">
                  <c:v>251.99939589661781</c:v>
                </c:pt>
                <c:pt idx="21">
                  <c:v>250.62286916485525</c:v>
                </c:pt>
                <c:pt idx="22">
                  <c:v>245.41907056109625</c:v>
                </c:pt>
                <c:pt idx="23">
                  <c:v>238.71459147390215</c:v>
                </c:pt>
                <c:pt idx="24">
                  <c:v>243.18039355309503</c:v>
                </c:pt>
                <c:pt idx="25">
                  <c:v>231.37881256779741</c:v>
                </c:pt>
                <c:pt idx="26">
                  <c:v>223.49359123849194</c:v>
                </c:pt>
                <c:pt idx="27">
                  <c:v>228.55678016479283</c:v>
                </c:pt>
                <c:pt idx="28">
                  <c:v>229.01547552610597</c:v>
                </c:pt>
                <c:pt idx="29">
                  <c:v>227.69033244309063</c:v>
                </c:pt>
                <c:pt idx="30">
                  <c:v>235.55831385690431</c:v>
                </c:pt>
                <c:pt idx="31">
                  <c:v>234.64693817326426</c:v>
                </c:pt>
                <c:pt idx="32">
                  <c:v>228.04552360714601</c:v>
                </c:pt>
                <c:pt idx="33">
                  <c:v>230.96998128466706</c:v>
                </c:pt>
                <c:pt idx="34">
                  <c:v>231.5985906667708</c:v>
                </c:pt>
                <c:pt idx="35">
                  <c:v>231.7754651693389</c:v>
                </c:pt>
                <c:pt idx="36">
                  <c:v>229.30549902543069</c:v>
                </c:pt>
                <c:pt idx="37">
                  <c:v>229.00324664014593</c:v>
                </c:pt>
                <c:pt idx="38">
                  <c:v>221.26000452650214</c:v>
                </c:pt>
                <c:pt idx="39">
                  <c:v>221.41535850351769</c:v>
                </c:pt>
                <c:pt idx="40">
                  <c:v>225.62655494943959</c:v>
                </c:pt>
                <c:pt idx="41">
                  <c:v>234.34820018154861</c:v>
                </c:pt>
                <c:pt idx="42">
                  <c:v>229.43709925962719</c:v>
                </c:pt>
                <c:pt idx="43">
                  <c:v>224.88000271562305</c:v>
                </c:pt>
                <c:pt idx="44">
                  <c:v>224.84750934097207</c:v>
                </c:pt>
                <c:pt idx="45">
                  <c:v>222.34554807473586</c:v>
                </c:pt>
                <c:pt idx="46">
                  <c:v>223.6118912093086</c:v>
                </c:pt>
                <c:pt idx="47">
                  <c:v>222.4614368734332</c:v>
                </c:pt>
                <c:pt idx="48">
                  <c:v>222.66935141510709</c:v>
                </c:pt>
                <c:pt idx="49">
                  <c:v>219.44407813243637</c:v>
                </c:pt>
                <c:pt idx="50">
                  <c:v>223.46587620701797</c:v>
                </c:pt>
                <c:pt idx="51">
                  <c:v>220.91108731594429</c:v>
                </c:pt>
                <c:pt idx="52">
                  <c:v>214.26296256593534</c:v>
                </c:pt>
                <c:pt idx="53">
                  <c:v>212.43717781563004</c:v>
                </c:pt>
                <c:pt idx="54">
                  <c:v>206.63195351149542</c:v>
                </c:pt>
                <c:pt idx="55">
                  <c:v>213.08760456049896</c:v>
                </c:pt>
                <c:pt idx="56">
                  <c:v>211.37787529455821</c:v>
                </c:pt>
                <c:pt idx="57">
                  <c:v>215.30334876518074</c:v>
                </c:pt>
                <c:pt idx="58">
                  <c:v>206.53834816755807</c:v>
                </c:pt>
                <c:pt idx="59">
                  <c:v>205.22014367204173</c:v>
                </c:pt>
                <c:pt idx="60">
                  <c:v>210.64682377359665</c:v>
                </c:pt>
                <c:pt idx="61">
                  <c:v>200.52956194175798</c:v>
                </c:pt>
                <c:pt idx="62">
                  <c:v>203.94132205832057</c:v>
                </c:pt>
                <c:pt idx="63">
                  <c:v>199.07989835002343</c:v>
                </c:pt>
                <c:pt idx="64">
                  <c:v>199.79015875392767</c:v>
                </c:pt>
                <c:pt idx="65">
                  <c:v>211.85477165729549</c:v>
                </c:pt>
                <c:pt idx="66">
                  <c:v>212.07780317054767</c:v>
                </c:pt>
                <c:pt idx="67">
                  <c:v>217.05298394898895</c:v>
                </c:pt>
                <c:pt idx="68">
                  <c:v>216.38905238653155</c:v>
                </c:pt>
                <c:pt idx="69">
                  <c:v>216.07320727098531</c:v>
                </c:pt>
                <c:pt idx="70">
                  <c:v>226.42982575736775</c:v>
                </c:pt>
                <c:pt idx="71">
                  <c:v>227.90180081872438</c:v>
                </c:pt>
                <c:pt idx="72">
                  <c:v>224.34143923221231</c:v>
                </c:pt>
                <c:pt idx="73">
                  <c:v>222.30140695272479</c:v>
                </c:pt>
                <c:pt idx="74">
                  <c:v>225.67804638089979</c:v>
                </c:pt>
                <c:pt idx="75">
                  <c:v>226.65614123614858</c:v>
                </c:pt>
                <c:pt idx="76">
                  <c:v>225.19722142723586</c:v>
                </c:pt>
                <c:pt idx="77">
                  <c:v>224.89970953693427</c:v>
                </c:pt>
                <c:pt idx="78">
                  <c:v>227.77796739952535</c:v>
                </c:pt>
                <c:pt idx="79">
                  <c:v>224.91032543837383</c:v>
                </c:pt>
                <c:pt idx="80">
                  <c:v>218.16433523835215</c:v>
                </c:pt>
                <c:pt idx="81">
                  <c:v>223.31931593755161</c:v>
                </c:pt>
                <c:pt idx="82">
                  <c:v>224.41419545625442</c:v>
                </c:pt>
                <c:pt idx="83">
                  <c:v>221.24159252329176</c:v>
                </c:pt>
                <c:pt idx="84">
                  <c:v>223.95004679104522</c:v>
                </c:pt>
                <c:pt idx="85">
                  <c:v>220.35183804854958</c:v>
                </c:pt>
                <c:pt idx="86">
                  <c:v>216.23064864428451</c:v>
                </c:pt>
                <c:pt idx="87">
                  <c:v>215.10090416111186</c:v>
                </c:pt>
                <c:pt idx="88">
                  <c:v>216.27111688537991</c:v>
                </c:pt>
                <c:pt idx="89">
                  <c:v>220.00485829653724</c:v>
                </c:pt>
                <c:pt idx="90">
                  <c:v>220.23219813476922</c:v>
                </c:pt>
                <c:pt idx="91">
                  <c:v>214.34820948142283</c:v>
                </c:pt>
                <c:pt idx="92">
                  <c:v>210.99454401616109</c:v>
                </c:pt>
                <c:pt idx="93">
                  <c:v>210.34559119489498</c:v>
                </c:pt>
                <c:pt idx="94">
                  <c:v>207.43965039305459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CD41-094C-BCDC-8807F586F36B}"/>
            </c:ext>
          </c:extLst>
        </c:ser>
        <c:ser>
          <c:idx val="79"/>
          <c:order val="79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frozen'!$E$81:$CU$81</c:f>
              <c:numCache>
                <c:formatCode>General</c:formatCode>
                <c:ptCount val="95"/>
                <c:pt idx="0">
                  <c:v>222.13</c:v>
                </c:pt>
                <c:pt idx="1">
                  <c:v>220.69157397037242</c:v>
                </c:pt>
                <c:pt idx="2">
                  <c:v>221.96539331613857</c:v>
                </c:pt>
                <c:pt idx="3">
                  <c:v>223.50772851659309</c:v>
                </c:pt>
                <c:pt idx="4">
                  <c:v>219.19241783671714</c:v>
                </c:pt>
                <c:pt idx="5">
                  <c:v>209.57350787714432</c:v>
                </c:pt>
                <c:pt idx="6">
                  <c:v>222.03947115105467</c:v>
                </c:pt>
                <c:pt idx="7">
                  <c:v>227.22498910764628</c:v>
                </c:pt>
                <c:pt idx="8">
                  <c:v>228.67927208412445</c:v>
                </c:pt>
                <c:pt idx="9">
                  <c:v>231.99349170081081</c:v>
                </c:pt>
                <c:pt idx="10">
                  <c:v>241.84061633449059</c:v>
                </c:pt>
                <c:pt idx="11">
                  <c:v>238.58900165261022</c:v>
                </c:pt>
                <c:pt idx="12">
                  <c:v>242.67726564766508</c:v>
                </c:pt>
                <c:pt idx="13">
                  <c:v>250.13886553448432</c:v>
                </c:pt>
                <c:pt idx="14">
                  <c:v>252.02083007795807</c:v>
                </c:pt>
                <c:pt idx="15">
                  <c:v>254.76374822842018</c:v>
                </c:pt>
                <c:pt idx="16">
                  <c:v>257.3260831588143</c:v>
                </c:pt>
                <c:pt idx="17">
                  <c:v>252.81048810284472</c:v>
                </c:pt>
                <c:pt idx="18">
                  <c:v>235.67484854748761</c:v>
                </c:pt>
                <c:pt idx="19">
                  <c:v>235.37296246022518</c:v>
                </c:pt>
                <c:pt idx="20">
                  <c:v>233.30662275291894</c:v>
                </c:pt>
                <c:pt idx="21">
                  <c:v>233.68347415934761</c:v>
                </c:pt>
                <c:pt idx="22">
                  <c:v>240.73648644918634</c:v>
                </c:pt>
                <c:pt idx="23">
                  <c:v>242.37016087309215</c:v>
                </c:pt>
                <c:pt idx="24">
                  <c:v>231.75885494071127</c:v>
                </c:pt>
                <c:pt idx="25">
                  <c:v>237.59634859488938</c:v>
                </c:pt>
                <c:pt idx="26">
                  <c:v>241.63073258764987</c:v>
                </c:pt>
                <c:pt idx="27">
                  <c:v>242.0978602140662</c:v>
                </c:pt>
                <c:pt idx="28">
                  <c:v>244.02324033930012</c:v>
                </c:pt>
                <c:pt idx="29">
                  <c:v>239.23667609982652</c:v>
                </c:pt>
                <c:pt idx="30">
                  <c:v>244.30687593418369</c:v>
                </c:pt>
                <c:pt idx="31">
                  <c:v>240.29910561397276</c:v>
                </c:pt>
                <c:pt idx="32">
                  <c:v>238.14115962542391</c:v>
                </c:pt>
                <c:pt idx="33">
                  <c:v>238.69218191604486</c:v>
                </c:pt>
                <c:pt idx="34">
                  <c:v>240.61004104017826</c:v>
                </c:pt>
                <c:pt idx="35">
                  <c:v>239.98123425655271</c:v>
                </c:pt>
                <c:pt idx="36">
                  <c:v>235.18828478776317</c:v>
                </c:pt>
                <c:pt idx="37">
                  <c:v>227.5637830690701</c:v>
                </c:pt>
                <c:pt idx="38">
                  <c:v>218.75712146063523</c:v>
                </c:pt>
                <c:pt idx="39">
                  <c:v>222.76430161421445</c:v>
                </c:pt>
                <c:pt idx="40">
                  <c:v>219.49990853448742</c:v>
                </c:pt>
                <c:pt idx="41">
                  <c:v>222.14056254048995</c:v>
                </c:pt>
                <c:pt idx="42">
                  <c:v>221.84303802883258</c:v>
                </c:pt>
                <c:pt idx="43">
                  <c:v>226.75169278563698</c:v>
                </c:pt>
                <c:pt idx="44">
                  <c:v>225.11497057366131</c:v>
                </c:pt>
                <c:pt idx="45">
                  <c:v>233.47490876162601</c:v>
                </c:pt>
                <c:pt idx="46">
                  <c:v>237.03006031546721</c:v>
                </c:pt>
                <c:pt idx="47">
                  <c:v>233.72476124730471</c:v>
                </c:pt>
                <c:pt idx="48">
                  <c:v>223.59819261432168</c:v>
                </c:pt>
                <c:pt idx="49">
                  <c:v>226.4192397665559</c:v>
                </c:pt>
                <c:pt idx="50">
                  <c:v>222.19305043851969</c:v>
                </c:pt>
                <c:pt idx="51">
                  <c:v>218.20755210543129</c:v>
                </c:pt>
                <c:pt idx="52">
                  <c:v>218.43397048691892</c:v>
                </c:pt>
                <c:pt idx="53">
                  <c:v>204.42071167367925</c:v>
                </c:pt>
                <c:pt idx="54">
                  <c:v>209.72412004799605</c:v>
                </c:pt>
                <c:pt idx="55">
                  <c:v>211.41708588540996</c:v>
                </c:pt>
                <c:pt idx="56">
                  <c:v>202.78549322227346</c:v>
                </c:pt>
                <c:pt idx="57">
                  <c:v>209.89411361228989</c:v>
                </c:pt>
                <c:pt idx="58">
                  <c:v>206.06416891053641</c:v>
                </c:pt>
                <c:pt idx="59">
                  <c:v>208.27791837024265</c:v>
                </c:pt>
                <c:pt idx="60">
                  <c:v>211.426285346513</c:v>
                </c:pt>
                <c:pt idx="61">
                  <c:v>203.33646659986027</c:v>
                </c:pt>
                <c:pt idx="62">
                  <c:v>196.26061057963653</c:v>
                </c:pt>
                <c:pt idx="63">
                  <c:v>201.22230549142441</c:v>
                </c:pt>
                <c:pt idx="64">
                  <c:v>203.07095207519677</c:v>
                </c:pt>
                <c:pt idx="65">
                  <c:v>202.61607890046054</c:v>
                </c:pt>
                <c:pt idx="66">
                  <c:v>205.01243748814235</c:v>
                </c:pt>
                <c:pt idx="67">
                  <c:v>201.09019505048303</c:v>
                </c:pt>
                <c:pt idx="68">
                  <c:v>198.60570017942473</c:v>
                </c:pt>
                <c:pt idx="69">
                  <c:v>206.01666300818536</c:v>
                </c:pt>
                <c:pt idx="70">
                  <c:v>205.24182101551787</c:v>
                </c:pt>
                <c:pt idx="71">
                  <c:v>201.10372582625723</c:v>
                </c:pt>
                <c:pt idx="72">
                  <c:v>200.09385762208117</c:v>
                </c:pt>
                <c:pt idx="73">
                  <c:v>200.45614143458869</c:v>
                </c:pt>
                <c:pt idx="74">
                  <c:v>205.86104992367629</c:v>
                </c:pt>
                <c:pt idx="75">
                  <c:v>206.33179138781196</c:v>
                </c:pt>
                <c:pt idx="76">
                  <c:v>207.91393791072389</c:v>
                </c:pt>
                <c:pt idx="77">
                  <c:v>205.51306490930406</c:v>
                </c:pt>
                <c:pt idx="78">
                  <c:v>206.33867091995967</c:v>
                </c:pt>
                <c:pt idx="79">
                  <c:v>205.2719125496036</c:v>
                </c:pt>
                <c:pt idx="80">
                  <c:v>200.85658607481901</c:v>
                </c:pt>
                <c:pt idx="81">
                  <c:v>197.80707729109801</c:v>
                </c:pt>
                <c:pt idx="82">
                  <c:v>200.22946007302158</c:v>
                </c:pt>
                <c:pt idx="83">
                  <c:v>203.48075121808259</c:v>
                </c:pt>
                <c:pt idx="84">
                  <c:v>207.1041528020433</c:v>
                </c:pt>
                <c:pt idx="85">
                  <c:v>210.6651116663013</c:v>
                </c:pt>
                <c:pt idx="86">
                  <c:v>203.78677935297765</c:v>
                </c:pt>
                <c:pt idx="87">
                  <c:v>195.06232532710428</c:v>
                </c:pt>
                <c:pt idx="88">
                  <c:v>195.53351780630797</c:v>
                </c:pt>
                <c:pt idx="89">
                  <c:v>196.99711193067776</c:v>
                </c:pt>
                <c:pt idx="90">
                  <c:v>198.32214957251662</c:v>
                </c:pt>
                <c:pt idx="91">
                  <c:v>202.56025603636152</c:v>
                </c:pt>
                <c:pt idx="92">
                  <c:v>207.67598696973349</c:v>
                </c:pt>
                <c:pt idx="93">
                  <c:v>213.36391378762124</c:v>
                </c:pt>
                <c:pt idx="94">
                  <c:v>212.0484888629754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CD41-094C-BCDC-8807F586F36B}"/>
            </c:ext>
          </c:extLst>
        </c:ser>
        <c:ser>
          <c:idx val="80"/>
          <c:order val="80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frozen'!$E$82:$CU$82</c:f>
              <c:numCache>
                <c:formatCode>General</c:formatCode>
                <c:ptCount val="95"/>
                <c:pt idx="0">
                  <c:v>222.13</c:v>
                </c:pt>
                <c:pt idx="1">
                  <c:v>217.45356013627594</c:v>
                </c:pt>
                <c:pt idx="2">
                  <c:v>210.26338992526195</c:v>
                </c:pt>
                <c:pt idx="3">
                  <c:v>209.72012339845443</c:v>
                </c:pt>
                <c:pt idx="4">
                  <c:v>216.76651713183728</c:v>
                </c:pt>
                <c:pt idx="5">
                  <c:v>212.90601886648565</c:v>
                </c:pt>
                <c:pt idx="6">
                  <c:v>218.88536173529332</c:v>
                </c:pt>
                <c:pt idx="7">
                  <c:v>233.19574880107038</c:v>
                </c:pt>
                <c:pt idx="8">
                  <c:v>244.57220611475117</c:v>
                </c:pt>
                <c:pt idx="9">
                  <c:v>249.66479555810676</c:v>
                </c:pt>
                <c:pt idx="10">
                  <c:v>255.04655034675756</c:v>
                </c:pt>
                <c:pt idx="11">
                  <c:v>248.18824526601361</c:v>
                </c:pt>
                <c:pt idx="12">
                  <c:v>267.83884470619586</c:v>
                </c:pt>
                <c:pt idx="13">
                  <c:v>261.37671172096788</c:v>
                </c:pt>
                <c:pt idx="14">
                  <c:v>259.30428289969348</c:v>
                </c:pt>
                <c:pt idx="15">
                  <c:v>256.23181663548985</c:v>
                </c:pt>
                <c:pt idx="16">
                  <c:v>253.85799941677934</c:v>
                </c:pt>
                <c:pt idx="17">
                  <c:v>264.45460980866591</c:v>
                </c:pt>
                <c:pt idx="18">
                  <c:v>264.48117412099282</c:v>
                </c:pt>
                <c:pt idx="19">
                  <c:v>269.33415516192917</c:v>
                </c:pt>
                <c:pt idx="20">
                  <c:v>264.35485203756394</c:v>
                </c:pt>
                <c:pt idx="21">
                  <c:v>275.29694598195414</c:v>
                </c:pt>
                <c:pt idx="22">
                  <c:v>272.37494466438881</c:v>
                </c:pt>
                <c:pt idx="23">
                  <c:v>272.79234211348398</c:v>
                </c:pt>
                <c:pt idx="24">
                  <c:v>270.57992124132238</c:v>
                </c:pt>
                <c:pt idx="25">
                  <c:v>260.90819153150017</c:v>
                </c:pt>
                <c:pt idx="26">
                  <c:v>260.87450024802774</c:v>
                </c:pt>
                <c:pt idx="27">
                  <c:v>264.32101713340739</c:v>
                </c:pt>
                <c:pt idx="28">
                  <c:v>258.51267885901888</c:v>
                </c:pt>
                <c:pt idx="29">
                  <c:v>254.31085191483569</c:v>
                </c:pt>
                <c:pt idx="30">
                  <c:v>247.19141382082651</c:v>
                </c:pt>
                <c:pt idx="31">
                  <c:v>241.44567381976361</c:v>
                </c:pt>
                <c:pt idx="32">
                  <c:v>246.57746255777545</c:v>
                </c:pt>
                <c:pt idx="33">
                  <c:v>235.76888011963936</c:v>
                </c:pt>
                <c:pt idx="34">
                  <c:v>228.19427592005815</c:v>
                </c:pt>
                <c:pt idx="35">
                  <c:v>236.39547177225845</c:v>
                </c:pt>
                <c:pt idx="36">
                  <c:v>245.15798991170465</c:v>
                </c:pt>
                <c:pt idx="37">
                  <c:v>250.81638336962678</c:v>
                </c:pt>
                <c:pt idx="38">
                  <c:v>237.02914656216711</c:v>
                </c:pt>
                <c:pt idx="39">
                  <c:v>241.66146854741382</c:v>
                </c:pt>
                <c:pt idx="40">
                  <c:v>240.07714962797041</c:v>
                </c:pt>
                <c:pt idx="41">
                  <c:v>247.78803479915572</c:v>
                </c:pt>
                <c:pt idx="42">
                  <c:v>257.25620466507291</c:v>
                </c:pt>
                <c:pt idx="43">
                  <c:v>260.25721349643112</c:v>
                </c:pt>
                <c:pt idx="44">
                  <c:v>253.79801012876757</c:v>
                </c:pt>
                <c:pt idx="45">
                  <c:v>250.04812276669654</c:v>
                </c:pt>
                <c:pt idx="46">
                  <c:v>251.28132409475836</c:v>
                </c:pt>
                <c:pt idx="47">
                  <c:v>247.18938815033957</c:v>
                </c:pt>
                <c:pt idx="48">
                  <c:v>240.30365567975846</c:v>
                </c:pt>
                <c:pt idx="49">
                  <c:v>244.76469342976216</c:v>
                </c:pt>
                <c:pt idx="50">
                  <c:v>248.29327733939101</c:v>
                </c:pt>
                <c:pt idx="51">
                  <c:v>257.09130759362108</c:v>
                </c:pt>
                <c:pt idx="52">
                  <c:v>252.56889119948909</c:v>
                </c:pt>
                <c:pt idx="53">
                  <c:v>265.00810510559018</c:v>
                </c:pt>
                <c:pt idx="54">
                  <c:v>269.1114142599211</c:v>
                </c:pt>
                <c:pt idx="55">
                  <c:v>269.82106152506208</c:v>
                </c:pt>
                <c:pt idx="56">
                  <c:v>277.87572982356397</c:v>
                </c:pt>
                <c:pt idx="57">
                  <c:v>277.57045356653765</c:v>
                </c:pt>
                <c:pt idx="58">
                  <c:v>278.60115474510422</c:v>
                </c:pt>
                <c:pt idx="59">
                  <c:v>270.06824679063072</c:v>
                </c:pt>
                <c:pt idx="60">
                  <c:v>274.27728706991559</c:v>
                </c:pt>
                <c:pt idx="61">
                  <c:v>279.39041463422933</c:v>
                </c:pt>
                <c:pt idx="62">
                  <c:v>275.33166584735341</c:v>
                </c:pt>
                <c:pt idx="63">
                  <c:v>280.14605927480102</c:v>
                </c:pt>
                <c:pt idx="64">
                  <c:v>287.4329343778204</c:v>
                </c:pt>
                <c:pt idx="65">
                  <c:v>292.12557792791415</c:v>
                </c:pt>
                <c:pt idx="66">
                  <c:v>283.97889649276084</c:v>
                </c:pt>
                <c:pt idx="67">
                  <c:v>281.74673822604359</c:v>
                </c:pt>
                <c:pt idx="68">
                  <c:v>278.95580378221695</c:v>
                </c:pt>
                <c:pt idx="69">
                  <c:v>289.87207892228372</c:v>
                </c:pt>
                <c:pt idx="70">
                  <c:v>293.61584861902276</c:v>
                </c:pt>
                <c:pt idx="71">
                  <c:v>294.26650053448992</c:v>
                </c:pt>
                <c:pt idx="72">
                  <c:v>298.7903965635399</c:v>
                </c:pt>
                <c:pt idx="73">
                  <c:v>297.38625870824541</c:v>
                </c:pt>
                <c:pt idx="74">
                  <c:v>295.22507008616191</c:v>
                </c:pt>
                <c:pt idx="75">
                  <c:v>298.65023173493495</c:v>
                </c:pt>
                <c:pt idx="76">
                  <c:v>299.14337611382842</c:v>
                </c:pt>
                <c:pt idx="77">
                  <c:v>293.35197328454609</c:v>
                </c:pt>
                <c:pt idx="78">
                  <c:v>299.59048563669273</c:v>
                </c:pt>
                <c:pt idx="79">
                  <c:v>291.16277660246465</c:v>
                </c:pt>
                <c:pt idx="80">
                  <c:v>289.48580083581652</c:v>
                </c:pt>
                <c:pt idx="81">
                  <c:v>294.91411918327594</c:v>
                </c:pt>
                <c:pt idx="82">
                  <c:v>289.36699757598194</c:v>
                </c:pt>
                <c:pt idx="83">
                  <c:v>289.50589851263612</c:v>
                </c:pt>
                <c:pt idx="84">
                  <c:v>292.9765743255017</c:v>
                </c:pt>
                <c:pt idx="85">
                  <c:v>291.16726716087896</c:v>
                </c:pt>
                <c:pt idx="86">
                  <c:v>283.31019836624688</c:v>
                </c:pt>
                <c:pt idx="87">
                  <c:v>268.55991840577065</c:v>
                </c:pt>
                <c:pt idx="88">
                  <c:v>274.9298538760666</c:v>
                </c:pt>
                <c:pt idx="89">
                  <c:v>278.57973729524747</c:v>
                </c:pt>
                <c:pt idx="90">
                  <c:v>282.45030862767459</c:v>
                </c:pt>
                <c:pt idx="91">
                  <c:v>284.41083024443157</c:v>
                </c:pt>
                <c:pt idx="92">
                  <c:v>275.98839056815973</c:v>
                </c:pt>
                <c:pt idx="93">
                  <c:v>287.21443001794103</c:v>
                </c:pt>
                <c:pt idx="94">
                  <c:v>285.0957008633232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CD41-094C-BCDC-8807F586F36B}"/>
            </c:ext>
          </c:extLst>
        </c:ser>
        <c:ser>
          <c:idx val="81"/>
          <c:order val="81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frozen'!$E$83:$CU$83</c:f>
              <c:numCache>
                <c:formatCode>General</c:formatCode>
                <c:ptCount val="95"/>
                <c:pt idx="0">
                  <c:v>222.13</c:v>
                </c:pt>
                <c:pt idx="1">
                  <c:v>215.34803332909726</c:v>
                </c:pt>
                <c:pt idx="2">
                  <c:v>218.34452154118719</c:v>
                </c:pt>
                <c:pt idx="3">
                  <c:v>221.20866345565574</c:v>
                </c:pt>
                <c:pt idx="4">
                  <c:v>226.84712682891987</c:v>
                </c:pt>
                <c:pt idx="5">
                  <c:v>229.37757660687581</c:v>
                </c:pt>
                <c:pt idx="6">
                  <c:v>224.98776215099156</c:v>
                </c:pt>
                <c:pt idx="7">
                  <c:v>221.81485991446846</c:v>
                </c:pt>
                <c:pt idx="8">
                  <c:v>224.16222474946827</c:v>
                </c:pt>
                <c:pt idx="9">
                  <c:v>226.13644608018527</c:v>
                </c:pt>
                <c:pt idx="10">
                  <c:v>214.20615277878821</c:v>
                </c:pt>
                <c:pt idx="11">
                  <c:v>215.2970007092396</c:v>
                </c:pt>
                <c:pt idx="12">
                  <c:v>213.8083320290902</c:v>
                </c:pt>
                <c:pt idx="13">
                  <c:v>210.43623597546664</c:v>
                </c:pt>
                <c:pt idx="14">
                  <c:v>213.94357673308596</c:v>
                </c:pt>
                <c:pt idx="15">
                  <c:v>207.62425676294862</c:v>
                </c:pt>
                <c:pt idx="16">
                  <c:v>210.9786711121863</c:v>
                </c:pt>
                <c:pt idx="17">
                  <c:v>207.44063686749618</c:v>
                </c:pt>
                <c:pt idx="18">
                  <c:v>207.82806882278965</c:v>
                </c:pt>
                <c:pt idx="19">
                  <c:v>205.63306846612295</c:v>
                </c:pt>
                <c:pt idx="20">
                  <c:v>205.93417871436171</c:v>
                </c:pt>
                <c:pt idx="21">
                  <c:v>208.51070582443745</c:v>
                </c:pt>
                <c:pt idx="22">
                  <c:v>215.53450196989311</c:v>
                </c:pt>
                <c:pt idx="23">
                  <c:v>218.1448566978427</c:v>
                </c:pt>
                <c:pt idx="24">
                  <c:v>217.37719909541474</c:v>
                </c:pt>
                <c:pt idx="25">
                  <c:v>215.73706797500947</c:v>
                </c:pt>
                <c:pt idx="26">
                  <c:v>226.59288614298487</c:v>
                </c:pt>
                <c:pt idx="27">
                  <c:v>234.31423332132979</c:v>
                </c:pt>
                <c:pt idx="28">
                  <c:v>227.71637349913584</c:v>
                </c:pt>
                <c:pt idx="29">
                  <c:v>229.57993663790313</c:v>
                </c:pt>
                <c:pt idx="30">
                  <c:v>228.7185021764362</c:v>
                </c:pt>
                <c:pt idx="31">
                  <c:v>231.9333925869164</c:v>
                </c:pt>
                <c:pt idx="32">
                  <c:v>240.28390957956168</c:v>
                </c:pt>
                <c:pt idx="33">
                  <c:v>235.9814522996343</c:v>
                </c:pt>
                <c:pt idx="34">
                  <c:v>246.71186167145387</c:v>
                </c:pt>
                <c:pt idx="35">
                  <c:v>234.21569345381567</c:v>
                </c:pt>
                <c:pt idx="36">
                  <c:v>228.78069881848415</c:v>
                </c:pt>
                <c:pt idx="37">
                  <c:v>225.85923947095321</c:v>
                </c:pt>
                <c:pt idx="38">
                  <c:v>223.87122845910639</c:v>
                </c:pt>
                <c:pt idx="39">
                  <c:v>218.1387208658106</c:v>
                </c:pt>
                <c:pt idx="40">
                  <c:v>225.27972453886844</c:v>
                </c:pt>
                <c:pt idx="41">
                  <c:v>231.92125221631312</c:v>
                </c:pt>
                <c:pt idx="42">
                  <c:v>227.6854061783275</c:v>
                </c:pt>
                <c:pt idx="43">
                  <c:v>221.22464767653159</c:v>
                </c:pt>
                <c:pt idx="44">
                  <c:v>213.13405720473264</c:v>
                </c:pt>
                <c:pt idx="45">
                  <c:v>218.85688979006622</c:v>
                </c:pt>
                <c:pt idx="46">
                  <c:v>222.6904212995764</c:v>
                </c:pt>
                <c:pt idx="47">
                  <c:v>221.48411743628597</c:v>
                </c:pt>
                <c:pt idx="48">
                  <c:v>227.07778701432034</c:v>
                </c:pt>
                <c:pt idx="49">
                  <c:v>233.14084473841135</c:v>
                </c:pt>
                <c:pt idx="50">
                  <c:v>235.25768475115072</c:v>
                </c:pt>
                <c:pt idx="51">
                  <c:v>243.65499776357868</c:v>
                </c:pt>
                <c:pt idx="52">
                  <c:v>239.90195207796472</c:v>
                </c:pt>
                <c:pt idx="53">
                  <c:v>246.7601930477291</c:v>
                </c:pt>
                <c:pt idx="54">
                  <c:v>242.85769035238371</c:v>
                </c:pt>
                <c:pt idx="55">
                  <c:v>247.23408211476314</c:v>
                </c:pt>
                <c:pt idx="56">
                  <c:v>260.56386776660798</c:v>
                </c:pt>
                <c:pt idx="57">
                  <c:v>265.2978566314257</c:v>
                </c:pt>
                <c:pt idx="58">
                  <c:v>263.83615858339368</c:v>
                </c:pt>
                <c:pt idx="59">
                  <c:v>257.4680301331407</c:v>
                </c:pt>
                <c:pt idx="60">
                  <c:v>259.6783582395887</c:v>
                </c:pt>
                <c:pt idx="61">
                  <c:v>249.08715880392788</c:v>
                </c:pt>
                <c:pt idx="62">
                  <c:v>251.69734394020705</c:v>
                </c:pt>
                <c:pt idx="63">
                  <c:v>245.97443494219505</c:v>
                </c:pt>
                <c:pt idx="64">
                  <c:v>239.62774184411182</c:v>
                </c:pt>
                <c:pt idx="65">
                  <c:v>229.91357343763067</c:v>
                </c:pt>
                <c:pt idx="66">
                  <c:v>231.85286116215181</c:v>
                </c:pt>
                <c:pt idx="67">
                  <c:v>233.56742031649185</c:v>
                </c:pt>
                <c:pt idx="68">
                  <c:v>232.82591756738259</c:v>
                </c:pt>
                <c:pt idx="69">
                  <c:v>240.61750682019618</c:v>
                </c:pt>
                <c:pt idx="70">
                  <c:v>242.52155699253484</c:v>
                </c:pt>
                <c:pt idx="71">
                  <c:v>240.60815029022922</c:v>
                </c:pt>
                <c:pt idx="72">
                  <c:v>236.76097005067197</c:v>
                </c:pt>
                <c:pt idx="73">
                  <c:v>241.66958987271022</c:v>
                </c:pt>
                <c:pt idx="74">
                  <c:v>244.52400747436346</c:v>
                </c:pt>
                <c:pt idx="75">
                  <c:v>243.0488196757621</c:v>
                </c:pt>
                <c:pt idx="76">
                  <c:v>241.4770771147208</c:v>
                </c:pt>
                <c:pt idx="77">
                  <c:v>242.36125855445619</c:v>
                </c:pt>
                <c:pt idx="78">
                  <c:v>233.80017921091107</c:v>
                </c:pt>
                <c:pt idx="79">
                  <c:v>232.45395169568462</c:v>
                </c:pt>
                <c:pt idx="80">
                  <c:v>232.09476635804631</c:v>
                </c:pt>
                <c:pt idx="81">
                  <c:v>226.28270841559018</c:v>
                </c:pt>
                <c:pt idx="82">
                  <c:v>222.26098856895081</c:v>
                </c:pt>
                <c:pt idx="83">
                  <c:v>226.65520472879126</c:v>
                </c:pt>
                <c:pt idx="84">
                  <c:v>224.57526699174906</c:v>
                </c:pt>
                <c:pt idx="85">
                  <c:v>222.90738365752549</c:v>
                </c:pt>
                <c:pt idx="86">
                  <c:v>224.36593614444919</c:v>
                </c:pt>
                <c:pt idx="87">
                  <c:v>222.79130472065626</c:v>
                </c:pt>
                <c:pt idx="88">
                  <c:v>221.65024717110231</c:v>
                </c:pt>
                <c:pt idx="89">
                  <c:v>221.12016309631215</c:v>
                </c:pt>
                <c:pt idx="90">
                  <c:v>219.08066717576418</c:v>
                </c:pt>
                <c:pt idx="91">
                  <c:v>217.2339119668051</c:v>
                </c:pt>
                <c:pt idx="92">
                  <c:v>221.3691552646753</c:v>
                </c:pt>
                <c:pt idx="93">
                  <c:v>218.4629284988707</c:v>
                </c:pt>
                <c:pt idx="94">
                  <c:v>210.44045551317245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CD41-094C-BCDC-8807F586F36B}"/>
            </c:ext>
          </c:extLst>
        </c:ser>
        <c:ser>
          <c:idx val="82"/>
          <c:order val="82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frozen'!$E$84:$CU$84</c:f>
              <c:numCache>
                <c:formatCode>General</c:formatCode>
                <c:ptCount val="95"/>
                <c:pt idx="0">
                  <c:v>222.13</c:v>
                </c:pt>
                <c:pt idx="1">
                  <c:v>229.31543337629623</c:v>
                </c:pt>
                <c:pt idx="2">
                  <c:v>217.94529371061884</c:v>
                </c:pt>
                <c:pt idx="3">
                  <c:v>225.04225107619908</c:v>
                </c:pt>
                <c:pt idx="4">
                  <c:v>235.65774920576231</c:v>
                </c:pt>
                <c:pt idx="5">
                  <c:v>243.13326938342072</c:v>
                </c:pt>
                <c:pt idx="6">
                  <c:v>242.01517853981755</c:v>
                </c:pt>
                <c:pt idx="7">
                  <c:v>234.27240243543474</c:v>
                </c:pt>
                <c:pt idx="8">
                  <c:v>236.69204047316094</c:v>
                </c:pt>
                <c:pt idx="9">
                  <c:v>243.67260061816097</c:v>
                </c:pt>
                <c:pt idx="10">
                  <c:v>256.50761579885909</c:v>
                </c:pt>
                <c:pt idx="11">
                  <c:v>252.72658836036965</c:v>
                </c:pt>
                <c:pt idx="12">
                  <c:v>236.43342801783501</c:v>
                </c:pt>
                <c:pt idx="13">
                  <c:v>237.56268982237964</c:v>
                </c:pt>
                <c:pt idx="14">
                  <c:v>235.64049356539516</c:v>
                </c:pt>
                <c:pt idx="15">
                  <c:v>228.85758284457216</c:v>
                </c:pt>
                <c:pt idx="16">
                  <c:v>235.37809330058096</c:v>
                </c:pt>
                <c:pt idx="17">
                  <c:v>242.53140594012871</c:v>
                </c:pt>
                <c:pt idx="18">
                  <c:v>237.65339433152093</c:v>
                </c:pt>
                <c:pt idx="19">
                  <c:v>229.05997803745205</c:v>
                </c:pt>
                <c:pt idx="20">
                  <c:v>230.51699061104955</c:v>
                </c:pt>
                <c:pt idx="21">
                  <c:v>234.82984013478369</c:v>
                </c:pt>
                <c:pt idx="22">
                  <c:v>237.28643568436124</c:v>
                </c:pt>
                <c:pt idx="23">
                  <c:v>227.74944230172923</c:v>
                </c:pt>
                <c:pt idx="24">
                  <c:v>222.66379714493905</c:v>
                </c:pt>
                <c:pt idx="25">
                  <c:v>221.79103343433647</c:v>
                </c:pt>
                <c:pt idx="26">
                  <c:v>214.34230434705333</c:v>
                </c:pt>
                <c:pt idx="27">
                  <c:v>214.95931637645683</c:v>
                </c:pt>
                <c:pt idx="28">
                  <c:v>219.16857261430158</c:v>
                </c:pt>
                <c:pt idx="29">
                  <c:v>215.75438198862963</c:v>
                </c:pt>
                <c:pt idx="30">
                  <c:v>216.22885852839607</c:v>
                </c:pt>
                <c:pt idx="31">
                  <c:v>215.57474505747751</c:v>
                </c:pt>
                <c:pt idx="32">
                  <c:v>216.20692319269844</c:v>
                </c:pt>
                <c:pt idx="33">
                  <c:v>222.05806310544844</c:v>
                </c:pt>
                <c:pt idx="34">
                  <c:v>217.35984245945488</c:v>
                </c:pt>
                <c:pt idx="35">
                  <c:v>210.32329263635791</c:v>
                </c:pt>
                <c:pt idx="36">
                  <c:v>219.22125826178103</c:v>
                </c:pt>
                <c:pt idx="37">
                  <c:v>220.60349770438702</c:v>
                </c:pt>
                <c:pt idx="38">
                  <c:v>212.67463178036093</c:v>
                </c:pt>
                <c:pt idx="39">
                  <c:v>216.2088610878005</c:v>
                </c:pt>
                <c:pt idx="40">
                  <c:v>205.01203715832904</c:v>
                </c:pt>
                <c:pt idx="41">
                  <c:v>207.01799830860352</c:v>
                </c:pt>
                <c:pt idx="42">
                  <c:v>202.34131160965626</c:v>
                </c:pt>
                <c:pt idx="43">
                  <c:v>196.96194822635073</c:v>
                </c:pt>
                <c:pt idx="44">
                  <c:v>198.07896166910962</c:v>
                </c:pt>
                <c:pt idx="45">
                  <c:v>192.08153240984342</c:v>
                </c:pt>
                <c:pt idx="46">
                  <c:v>187.94658275254784</c:v>
                </c:pt>
                <c:pt idx="47">
                  <c:v>183.18264082177129</c:v>
                </c:pt>
                <c:pt idx="48">
                  <c:v>181.60155920478445</c:v>
                </c:pt>
                <c:pt idx="49">
                  <c:v>179.88209310680512</c:v>
                </c:pt>
                <c:pt idx="50">
                  <c:v>177.90146643201072</c:v>
                </c:pt>
                <c:pt idx="51">
                  <c:v>169.83649412427522</c:v>
                </c:pt>
                <c:pt idx="52">
                  <c:v>171.52575404194499</c:v>
                </c:pt>
                <c:pt idx="53">
                  <c:v>167.26445468208485</c:v>
                </c:pt>
                <c:pt idx="54">
                  <c:v>167.5006920840998</c:v>
                </c:pt>
                <c:pt idx="55">
                  <c:v>159.4826689786949</c:v>
                </c:pt>
                <c:pt idx="56">
                  <c:v>162.60208123563686</c:v>
                </c:pt>
                <c:pt idx="57">
                  <c:v>160.22999573825339</c:v>
                </c:pt>
                <c:pt idx="58">
                  <c:v>159.24527988777143</c:v>
                </c:pt>
                <c:pt idx="59">
                  <c:v>157.74450975039881</c:v>
                </c:pt>
                <c:pt idx="60">
                  <c:v>155.22608370324585</c:v>
                </c:pt>
                <c:pt idx="61">
                  <c:v>155.29302091880615</c:v>
                </c:pt>
                <c:pt idx="62">
                  <c:v>155.04893223737281</c:v>
                </c:pt>
                <c:pt idx="63">
                  <c:v>159.99127131109196</c:v>
                </c:pt>
                <c:pt idx="64">
                  <c:v>159.79095771095211</c:v>
                </c:pt>
                <c:pt idx="65">
                  <c:v>159.56364023903984</c:v>
                </c:pt>
                <c:pt idx="66">
                  <c:v>158.71957129143286</c:v>
                </c:pt>
                <c:pt idx="67">
                  <c:v>159.28572353452788</c:v>
                </c:pt>
                <c:pt idx="68">
                  <c:v>160.22260841502612</c:v>
                </c:pt>
                <c:pt idx="69">
                  <c:v>160.03294982176826</c:v>
                </c:pt>
                <c:pt idx="70">
                  <c:v>158.62498314994397</c:v>
                </c:pt>
                <c:pt idx="71">
                  <c:v>157.90249520380678</c:v>
                </c:pt>
                <c:pt idx="72">
                  <c:v>155.56144126329181</c:v>
                </c:pt>
                <c:pt idx="73">
                  <c:v>153.83724877952923</c:v>
                </c:pt>
                <c:pt idx="74">
                  <c:v>156.89852738306868</c:v>
                </c:pt>
                <c:pt idx="75">
                  <c:v>156.51094574399892</c:v>
                </c:pt>
                <c:pt idx="76">
                  <c:v>150.48239027050445</c:v>
                </c:pt>
                <c:pt idx="77">
                  <c:v>151.25637299519087</c:v>
                </c:pt>
                <c:pt idx="78">
                  <c:v>149.36862959881387</c:v>
                </c:pt>
                <c:pt idx="79">
                  <c:v>153.84556474342941</c:v>
                </c:pt>
                <c:pt idx="80">
                  <c:v>154.63653923244951</c:v>
                </c:pt>
                <c:pt idx="81">
                  <c:v>152.07975481115207</c:v>
                </c:pt>
                <c:pt idx="82">
                  <c:v>150.60319718149233</c:v>
                </c:pt>
                <c:pt idx="83">
                  <c:v>153.42075372145248</c:v>
                </c:pt>
                <c:pt idx="84">
                  <c:v>156.50695910945208</c:v>
                </c:pt>
                <c:pt idx="85">
                  <c:v>158.77807296673885</c:v>
                </c:pt>
                <c:pt idx="86">
                  <c:v>160.49479166325622</c:v>
                </c:pt>
                <c:pt idx="87">
                  <c:v>160.51375500445997</c:v>
                </c:pt>
                <c:pt idx="88">
                  <c:v>158.17005912685892</c:v>
                </c:pt>
                <c:pt idx="89">
                  <c:v>160.00082314607295</c:v>
                </c:pt>
                <c:pt idx="90">
                  <c:v>161.00889924698384</c:v>
                </c:pt>
                <c:pt idx="91">
                  <c:v>154.33503059703571</c:v>
                </c:pt>
                <c:pt idx="92">
                  <c:v>159.85350404681435</c:v>
                </c:pt>
                <c:pt idx="93">
                  <c:v>165.18157956485561</c:v>
                </c:pt>
                <c:pt idx="94">
                  <c:v>167.94059888377905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CD41-094C-BCDC-8807F586F36B}"/>
            </c:ext>
          </c:extLst>
        </c:ser>
        <c:ser>
          <c:idx val="83"/>
          <c:order val="83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frozen'!$E$85:$CU$85</c:f>
              <c:numCache>
                <c:formatCode>General</c:formatCode>
                <c:ptCount val="95"/>
                <c:pt idx="0">
                  <c:v>222.13</c:v>
                </c:pt>
                <c:pt idx="1">
                  <c:v>218.61776161335627</c:v>
                </c:pt>
                <c:pt idx="2">
                  <c:v>214.58974255811941</c:v>
                </c:pt>
                <c:pt idx="3">
                  <c:v>212.5143137102971</c:v>
                </c:pt>
                <c:pt idx="4">
                  <c:v>217.42437172903237</c:v>
                </c:pt>
                <c:pt idx="5">
                  <c:v>220.88991148261934</c:v>
                </c:pt>
                <c:pt idx="6">
                  <c:v>218.16022591161186</c:v>
                </c:pt>
                <c:pt idx="7">
                  <c:v>218.62170590847609</c:v>
                </c:pt>
                <c:pt idx="8">
                  <c:v>214.19119350889332</c:v>
                </c:pt>
                <c:pt idx="9">
                  <c:v>217.77469174369972</c:v>
                </c:pt>
                <c:pt idx="10">
                  <c:v>213.40381035743761</c:v>
                </c:pt>
                <c:pt idx="11">
                  <c:v>205.75839817875152</c:v>
                </c:pt>
                <c:pt idx="12">
                  <c:v>202.47508260812731</c:v>
                </c:pt>
                <c:pt idx="13">
                  <c:v>203.77745547750496</c:v>
                </c:pt>
                <c:pt idx="14">
                  <c:v>201.81396190038336</c:v>
                </c:pt>
                <c:pt idx="15">
                  <c:v>205.61689508433491</c:v>
                </c:pt>
                <c:pt idx="16">
                  <c:v>205.13323315492545</c:v>
                </c:pt>
                <c:pt idx="17">
                  <c:v>198.72429549599318</c:v>
                </c:pt>
                <c:pt idx="18">
                  <c:v>201.06930254824528</c:v>
                </c:pt>
                <c:pt idx="19">
                  <c:v>206.78535499111203</c:v>
                </c:pt>
                <c:pt idx="20">
                  <c:v>198.96362716974289</c:v>
                </c:pt>
                <c:pt idx="21">
                  <c:v>202.48759226969784</c:v>
                </c:pt>
                <c:pt idx="22">
                  <c:v>204.23408242809015</c:v>
                </c:pt>
                <c:pt idx="23">
                  <c:v>197.50795306025682</c:v>
                </c:pt>
                <c:pt idx="24">
                  <c:v>207.66451226817892</c:v>
                </c:pt>
                <c:pt idx="25">
                  <c:v>203.84732823711082</c:v>
                </c:pt>
                <c:pt idx="26">
                  <c:v>203.39886154876947</c:v>
                </c:pt>
                <c:pt idx="27">
                  <c:v>198.62259726920422</c:v>
                </c:pt>
                <c:pt idx="28">
                  <c:v>194.22361010436495</c:v>
                </c:pt>
                <c:pt idx="29">
                  <c:v>193.91921702294863</c:v>
                </c:pt>
                <c:pt idx="30">
                  <c:v>189.9155115542263</c:v>
                </c:pt>
                <c:pt idx="31">
                  <c:v>198.07651465973282</c:v>
                </c:pt>
                <c:pt idx="32">
                  <c:v>205.78152052471063</c:v>
                </c:pt>
                <c:pt idx="33">
                  <c:v>208.72749614338809</c:v>
                </c:pt>
                <c:pt idx="34">
                  <c:v>211.61554071128916</c:v>
                </c:pt>
                <c:pt idx="35">
                  <c:v>204.03198330289166</c:v>
                </c:pt>
                <c:pt idx="36">
                  <c:v>210.53629416496364</c:v>
                </c:pt>
                <c:pt idx="37">
                  <c:v>210.55574151678104</c:v>
                </c:pt>
                <c:pt idx="38">
                  <c:v>207.81717962639655</c:v>
                </c:pt>
                <c:pt idx="39">
                  <c:v>203.56938707085141</c:v>
                </c:pt>
                <c:pt idx="40">
                  <c:v>201.14981072269833</c:v>
                </c:pt>
                <c:pt idx="41">
                  <c:v>201.52557276117619</c:v>
                </c:pt>
                <c:pt idx="42">
                  <c:v>198.18859577436399</c:v>
                </c:pt>
                <c:pt idx="43">
                  <c:v>193.72217775356341</c:v>
                </c:pt>
                <c:pt idx="44">
                  <c:v>197.20439732826091</c:v>
                </c:pt>
                <c:pt idx="45">
                  <c:v>196.1424376265104</c:v>
                </c:pt>
                <c:pt idx="46">
                  <c:v>199.85647100724475</c:v>
                </c:pt>
                <c:pt idx="47">
                  <c:v>201.66291516900716</c:v>
                </c:pt>
                <c:pt idx="48">
                  <c:v>200.58351917484728</c:v>
                </c:pt>
                <c:pt idx="49">
                  <c:v>205.98640613916439</c:v>
                </c:pt>
                <c:pt idx="50">
                  <c:v>202.80176722326061</c:v>
                </c:pt>
                <c:pt idx="51">
                  <c:v>211.97433394377299</c:v>
                </c:pt>
                <c:pt idx="52">
                  <c:v>216.63308372921921</c:v>
                </c:pt>
                <c:pt idx="53">
                  <c:v>224.38969052841472</c:v>
                </c:pt>
                <c:pt idx="54">
                  <c:v>222.38204118859719</c:v>
                </c:pt>
                <c:pt idx="55">
                  <c:v>220.86434984868029</c:v>
                </c:pt>
                <c:pt idx="56">
                  <c:v>236.61020500343892</c:v>
                </c:pt>
                <c:pt idx="57">
                  <c:v>241.85905576142619</c:v>
                </c:pt>
                <c:pt idx="58">
                  <c:v>240.13595148519269</c:v>
                </c:pt>
                <c:pt idx="59">
                  <c:v>241.32798505837661</c:v>
                </c:pt>
                <c:pt idx="60">
                  <c:v>245.59847139200005</c:v>
                </c:pt>
                <c:pt idx="61">
                  <c:v>251.72348181944997</c:v>
                </c:pt>
                <c:pt idx="62">
                  <c:v>255.9172863328065</c:v>
                </c:pt>
                <c:pt idx="63">
                  <c:v>254.20996165988663</c:v>
                </c:pt>
                <c:pt idx="64">
                  <c:v>255.22162944761973</c:v>
                </c:pt>
                <c:pt idx="65">
                  <c:v>252.24885700563874</c:v>
                </c:pt>
                <c:pt idx="66">
                  <c:v>247.2376235769209</c:v>
                </c:pt>
                <c:pt idx="67">
                  <c:v>250.97630732260549</c:v>
                </c:pt>
                <c:pt idx="68">
                  <c:v>255.04971849959023</c:v>
                </c:pt>
                <c:pt idx="69">
                  <c:v>262.13173192144086</c:v>
                </c:pt>
                <c:pt idx="70">
                  <c:v>266.73619539975266</c:v>
                </c:pt>
                <c:pt idx="71">
                  <c:v>263.023989293738</c:v>
                </c:pt>
                <c:pt idx="72">
                  <c:v>274.9797167544092</c:v>
                </c:pt>
                <c:pt idx="73">
                  <c:v>282.11212129799429</c:v>
                </c:pt>
                <c:pt idx="74">
                  <c:v>287.30867736560236</c:v>
                </c:pt>
                <c:pt idx="75">
                  <c:v>285.57836307748914</c:v>
                </c:pt>
                <c:pt idx="76">
                  <c:v>293.50374229282494</c:v>
                </c:pt>
                <c:pt idx="77">
                  <c:v>296.40470797106968</c:v>
                </c:pt>
                <c:pt idx="78">
                  <c:v>310.99352280654659</c:v>
                </c:pt>
                <c:pt idx="79">
                  <c:v>316.89525108916746</c:v>
                </c:pt>
                <c:pt idx="80">
                  <c:v>308.09104265003441</c:v>
                </c:pt>
                <c:pt idx="81">
                  <c:v>319.34440325508046</c:v>
                </c:pt>
                <c:pt idx="82">
                  <c:v>318.87611840109207</c:v>
                </c:pt>
                <c:pt idx="83">
                  <c:v>332.21693580291122</c:v>
                </c:pt>
                <c:pt idx="84">
                  <c:v>342.08528630104104</c:v>
                </c:pt>
                <c:pt idx="85">
                  <c:v>342.79836392899045</c:v>
                </c:pt>
                <c:pt idx="86">
                  <c:v>339.91148350022377</c:v>
                </c:pt>
                <c:pt idx="87">
                  <c:v>331.94977647354574</c:v>
                </c:pt>
                <c:pt idx="88">
                  <c:v>339.06274662223598</c:v>
                </c:pt>
                <c:pt idx="89">
                  <c:v>343.19619152557453</c:v>
                </c:pt>
                <c:pt idx="90">
                  <c:v>340.96897261957798</c:v>
                </c:pt>
                <c:pt idx="91">
                  <c:v>338.40566754371633</c:v>
                </c:pt>
                <c:pt idx="92">
                  <c:v>337.20642813074875</c:v>
                </c:pt>
                <c:pt idx="93">
                  <c:v>336.21178717684353</c:v>
                </c:pt>
                <c:pt idx="94">
                  <c:v>344.45844334402921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CD41-094C-BCDC-8807F586F36B}"/>
            </c:ext>
          </c:extLst>
        </c:ser>
        <c:ser>
          <c:idx val="84"/>
          <c:order val="84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frozen'!$E$86:$CU$86</c:f>
              <c:numCache>
                <c:formatCode>General</c:formatCode>
                <c:ptCount val="95"/>
                <c:pt idx="0">
                  <c:v>222.13</c:v>
                </c:pt>
                <c:pt idx="1">
                  <c:v>219.33672476850813</c:v>
                </c:pt>
                <c:pt idx="2">
                  <c:v>227.71280331091927</c:v>
                </c:pt>
                <c:pt idx="3">
                  <c:v>226.97582128119495</c:v>
                </c:pt>
                <c:pt idx="4">
                  <c:v>216.02273543250746</c:v>
                </c:pt>
                <c:pt idx="5">
                  <c:v>209.12036192592089</c:v>
                </c:pt>
                <c:pt idx="6">
                  <c:v>217.90318854545416</c:v>
                </c:pt>
                <c:pt idx="7">
                  <c:v>214.69243875743462</c:v>
                </c:pt>
                <c:pt idx="8">
                  <c:v>211.21291779715756</c:v>
                </c:pt>
                <c:pt idx="9">
                  <c:v>211.46774737818944</c:v>
                </c:pt>
                <c:pt idx="10">
                  <c:v>206.34419355415531</c:v>
                </c:pt>
                <c:pt idx="11">
                  <c:v>207.59919617713095</c:v>
                </c:pt>
                <c:pt idx="12">
                  <c:v>211.69748380765219</c:v>
                </c:pt>
                <c:pt idx="13">
                  <c:v>211.11533430193964</c:v>
                </c:pt>
                <c:pt idx="14">
                  <c:v>215.56985873165999</c:v>
                </c:pt>
                <c:pt idx="15">
                  <c:v>218.27967665243602</c:v>
                </c:pt>
                <c:pt idx="16">
                  <c:v>215.19388700529439</c:v>
                </c:pt>
                <c:pt idx="17">
                  <c:v>211.84328345798997</c:v>
                </c:pt>
                <c:pt idx="18">
                  <c:v>206.00290155248348</c:v>
                </c:pt>
                <c:pt idx="19">
                  <c:v>207.59044123329898</c:v>
                </c:pt>
                <c:pt idx="20">
                  <c:v>208.32856868224104</c:v>
                </c:pt>
                <c:pt idx="21">
                  <c:v>207.10621530583276</c:v>
                </c:pt>
                <c:pt idx="22">
                  <c:v>207.8967433357451</c:v>
                </c:pt>
                <c:pt idx="23">
                  <c:v>214.17795422748287</c:v>
                </c:pt>
                <c:pt idx="24">
                  <c:v>208.47438140687512</c:v>
                </c:pt>
                <c:pt idx="25">
                  <c:v>213.84698465043604</c:v>
                </c:pt>
                <c:pt idx="26">
                  <c:v>206.45472832995594</c:v>
                </c:pt>
                <c:pt idx="27">
                  <c:v>204.2699945033423</c:v>
                </c:pt>
                <c:pt idx="28">
                  <c:v>208.65358266937474</c:v>
                </c:pt>
                <c:pt idx="29">
                  <c:v>218.21613717548007</c:v>
                </c:pt>
                <c:pt idx="30">
                  <c:v>222.44455143906876</c:v>
                </c:pt>
                <c:pt idx="31">
                  <c:v>216.52570532235526</c:v>
                </c:pt>
                <c:pt idx="32">
                  <c:v>219.63985166726818</c:v>
                </c:pt>
                <c:pt idx="33">
                  <c:v>215.8918547256192</c:v>
                </c:pt>
                <c:pt idx="34">
                  <c:v>216.8189652845364</c:v>
                </c:pt>
                <c:pt idx="35">
                  <c:v>218.0869344073821</c:v>
                </c:pt>
                <c:pt idx="36">
                  <c:v>220.57410428855019</c:v>
                </c:pt>
                <c:pt idx="37">
                  <c:v>220.38341345654905</c:v>
                </c:pt>
                <c:pt idx="38">
                  <c:v>213.0480173893923</c:v>
                </c:pt>
                <c:pt idx="39">
                  <c:v>216.9462744250111</c:v>
                </c:pt>
                <c:pt idx="40">
                  <c:v>221.45975444430223</c:v>
                </c:pt>
                <c:pt idx="41">
                  <c:v>223.17910938590319</c:v>
                </c:pt>
                <c:pt idx="42">
                  <c:v>218.89748937714754</c:v>
                </c:pt>
                <c:pt idx="43">
                  <c:v>225.44582150760561</c:v>
                </c:pt>
                <c:pt idx="44">
                  <c:v>234.311154605604</c:v>
                </c:pt>
                <c:pt idx="45">
                  <c:v>236.45016284174503</c:v>
                </c:pt>
                <c:pt idx="46">
                  <c:v>238.6383332118524</c:v>
                </c:pt>
                <c:pt idx="47">
                  <c:v>246.06939927763199</c:v>
                </c:pt>
                <c:pt idx="48">
                  <c:v>238.47629969457512</c:v>
                </c:pt>
                <c:pt idx="49">
                  <c:v>237.42645839730358</c:v>
                </c:pt>
                <c:pt idx="50">
                  <c:v>239.23599575812904</c:v>
                </c:pt>
                <c:pt idx="51">
                  <c:v>226.32910436844148</c:v>
                </c:pt>
                <c:pt idx="52">
                  <c:v>235.7041546475144</c:v>
                </c:pt>
                <c:pt idx="53">
                  <c:v>233.69824690458952</c:v>
                </c:pt>
                <c:pt idx="54">
                  <c:v>226.86676288344907</c:v>
                </c:pt>
                <c:pt idx="55">
                  <c:v>223.20575103600169</c:v>
                </c:pt>
                <c:pt idx="56">
                  <c:v>225.29934343874976</c:v>
                </c:pt>
                <c:pt idx="57">
                  <c:v>224.3629075589468</c:v>
                </c:pt>
                <c:pt idx="58">
                  <c:v>226.58389952672192</c:v>
                </c:pt>
                <c:pt idx="59">
                  <c:v>222.98326673828427</c:v>
                </c:pt>
                <c:pt idx="60">
                  <c:v>229.06644371870973</c:v>
                </c:pt>
                <c:pt idx="61">
                  <c:v>228.53607443297125</c:v>
                </c:pt>
                <c:pt idx="62">
                  <c:v>240.03651389086653</c:v>
                </c:pt>
                <c:pt idx="63">
                  <c:v>239.37970626352887</c:v>
                </c:pt>
                <c:pt idx="64">
                  <c:v>251.97047437933387</c:v>
                </c:pt>
                <c:pt idx="65">
                  <c:v>251.47523782938114</c:v>
                </c:pt>
                <c:pt idx="66">
                  <c:v>250.39315794684433</c:v>
                </c:pt>
                <c:pt idx="67">
                  <c:v>246.79740068797258</c:v>
                </c:pt>
                <c:pt idx="68">
                  <c:v>248.4681751135073</c:v>
                </c:pt>
                <c:pt idx="69">
                  <c:v>240.83407847596493</c:v>
                </c:pt>
                <c:pt idx="70">
                  <c:v>245.9945768685397</c:v>
                </c:pt>
                <c:pt idx="71">
                  <c:v>234.2868497641845</c:v>
                </c:pt>
                <c:pt idx="72">
                  <c:v>235.35121183783301</c:v>
                </c:pt>
                <c:pt idx="73">
                  <c:v>222.48707469315391</c:v>
                </c:pt>
                <c:pt idx="74">
                  <c:v>222.84683594040888</c:v>
                </c:pt>
                <c:pt idx="75">
                  <c:v>225.69136716677716</c:v>
                </c:pt>
                <c:pt idx="76">
                  <c:v>220.11195402067202</c:v>
                </c:pt>
                <c:pt idx="77">
                  <c:v>219.36544895694416</c:v>
                </c:pt>
                <c:pt idx="78">
                  <c:v>216.31808182547698</c:v>
                </c:pt>
                <c:pt idx="79">
                  <c:v>217.23183369759579</c:v>
                </c:pt>
                <c:pt idx="80">
                  <c:v>220.52657827742178</c:v>
                </c:pt>
                <c:pt idx="81">
                  <c:v>228.59627700157995</c:v>
                </c:pt>
                <c:pt idx="82">
                  <c:v>218.43722315845767</c:v>
                </c:pt>
                <c:pt idx="83">
                  <c:v>211.77193810218961</c:v>
                </c:pt>
                <c:pt idx="84">
                  <c:v>210.55221920651138</c:v>
                </c:pt>
                <c:pt idx="85">
                  <c:v>209.09905391382861</c:v>
                </c:pt>
                <c:pt idx="86">
                  <c:v>195.99674385842155</c:v>
                </c:pt>
                <c:pt idx="87">
                  <c:v>189.12951479940892</c:v>
                </c:pt>
                <c:pt idx="88">
                  <c:v>193.58453279721437</c:v>
                </c:pt>
                <c:pt idx="89">
                  <c:v>183.65875937405042</c:v>
                </c:pt>
                <c:pt idx="90">
                  <c:v>184.53097223035394</c:v>
                </c:pt>
                <c:pt idx="91">
                  <c:v>187.81309544306177</c:v>
                </c:pt>
                <c:pt idx="92">
                  <c:v>187.74026130124619</c:v>
                </c:pt>
                <c:pt idx="93">
                  <c:v>187.31331435315343</c:v>
                </c:pt>
                <c:pt idx="94">
                  <c:v>193.66222596949657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CD41-094C-BCDC-8807F586F36B}"/>
            </c:ext>
          </c:extLst>
        </c:ser>
        <c:ser>
          <c:idx val="85"/>
          <c:order val="85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frozen'!$E$87:$CU$87</c:f>
              <c:numCache>
                <c:formatCode>General</c:formatCode>
                <c:ptCount val="95"/>
                <c:pt idx="0">
                  <c:v>222.13</c:v>
                </c:pt>
                <c:pt idx="1">
                  <c:v>225.28495157549759</c:v>
                </c:pt>
                <c:pt idx="2">
                  <c:v>223.78367983923343</c:v>
                </c:pt>
                <c:pt idx="3">
                  <c:v>228.22105954773053</c:v>
                </c:pt>
                <c:pt idx="4">
                  <c:v>225.66909893568345</c:v>
                </c:pt>
                <c:pt idx="5">
                  <c:v>234.04230631353045</c:v>
                </c:pt>
                <c:pt idx="6">
                  <c:v>235.63491708590135</c:v>
                </c:pt>
                <c:pt idx="7">
                  <c:v>243.50552299483124</c:v>
                </c:pt>
                <c:pt idx="8">
                  <c:v>244.67252151141267</c:v>
                </c:pt>
                <c:pt idx="9">
                  <c:v>249.3822515712238</c:v>
                </c:pt>
                <c:pt idx="10">
                  <c:v>241.52431418974578</c:v>
                </c:pt>
                <c:pt idx="11">
                  <c:v>249.90235891150886</c:v>
                </c:pt>
                <c:pt idx="12">
                  <c:v>249.29086994873643</c:v>
                </c:pt>
                <c:pt idx="13">
                  <c:v>239.03701997688373</c:v>
                </c:pt>
                <c:pt idx="14">
                  <c:v>234.32542009771763</c:v>
                </c:pt>
                <c:pt idx="15">
                  <c:v>231.23818934647861</c:v>
                </c:pt>
                <c:pt idx="16">
                  <c:v>220.24496372894947</c:v>
                </c:pt>
                <c:pt idx="17">
                  <c:v>215.24659244680083</c:v>
                </c:pt>
                <c:pt idx="18">
                  <c:v>216.3212042492587</c:v>
                </c:pt>
                <c:pt idx="19">
                  <c:v>212.34325028788436</c:v>
                </c:pt>
                <c:pt idx="20">
                  <c:v>216.52462337960301</c:v>
                </c:pt>
                <c:pt idx="21">
                  <c:v>209.26989974575412</c:v>
                </c:pt>
                <c:pt idx="22">
                  <c:v>208.30486157863007</c:v>
                </c:pt>
                <c:pt idx="23">
                  <c:v>202.91725169934477</c:v>
                </c:pt>
                <c:pt idx="24">
                  <c:v>202.02408064317879</c:v>
                </c:pt>
                <c:pt idx="25">
                  <c:v>198.99992675080458</c:v>
                </c:pt>
                <c:pt idx="26">
                  <c:v>201.27941355442033</c:v>
                </c:pt>
                <c:pt idx="27">
                  <c:v>203.72358532664697</c:v>
                </c:pt>
                <c:pt idx="28">
                  <c:v>201.13811556909127</c:v>
                </c:pt>
                <c:pt idx="29">
                  <c:v>202.90460524571873</c:v>
                </c:pt>
                <c:pt idx="30">
                  <c:v>196.74456462632185</c:v>
                </c:pt>
                <c:pt idx="31">
                  <c:v>197.72980203873041</c:v>
                </c:pt>
                <c:pt idx="32">
                  <c:v>198.49759478942016</c:v>
                </c:pt>
                <c:pt idx="33">
                  <c:v>196.2827105542878</c:v>
                </c:pt>
                <c:pt idx="34">
                  <c:v>203.662213967257</c:v>
                </c:pt>
                <c:pt idx="35">
                  <c:v>196.2272324595869</c:v>
                </c:pt>
                <c:pt idx="36">
                  <c:v>199.22288037182943</c:v>
                </c:pt>
                <c:pt idx="37">
                  <c:v>197.95674025734988</c:v>
                </c:pt>
                <c:pt idx="38">
                  <c:v>202.90077782009777</c:v>
                </c:pt>
                <c:pt idx="39">
                  <c:v>204.37359991482401</c:v>
                </c:pt>
                <c:pt idx="40">
                  <c:v>203.85282976600928</c:v>
                </c:pt>
                <c:pt idx="41">
                  <c:v>200.60159131133071</c:v>
                </c:pt>
                <c:pt idx="42">
                  <c:v>196.80250088922048</c:v>
                </c:pt>
                <c:pt idx="43">
                  <c:v>189.26679681365906</c:v>
                </c:pt>
                <c:pt idx="44">
                  <c:v>201.52629655190458</c:v>
                </c:pt>
                <c:pt idx="45">
                  <c:v>205.16428673472925</c:v>
                </c:pt>
                <c:pt idx="46">
                  <c:v>204.06945426786473</c:v>
                </c:pt>
                <c:pt idx="47">
                  <c:v>200.85139447005474</c:v>
                </c:pt>
                <c:pt idx="48">
                  <c:v>199.97469519261196</c:v>
                </c:pt>
                <c:pt idx="49">
                  <c:v>189.8829618355764</c:v>
                </c:pt>
                <c:pt idx="50">
                  <c:v>198.78381192826726</c:v>
                </c:pt>
                <c:pt idx="51">
                  <c:v>195.05493029814943</c:v>
                </c:pt>
                <c:pt idx="52">
                  <c:v>199.61097682933982</c:v>
                </c:pt>
                <c:pt idx="53">
                  <c:v>209.25825907876037</c:v>
                </c:pt>
                <c:pt idx="54">
                  <c:v>221.71290468428114</c:v>
                </c:pt>
                <c:pt idx="55">
                  <c:v>215.9899516104482</c:v>
                </c:pt>
                <c:pt idx="56">
                  <c:v>215.53254369813391</c:v>
                </c:pt>
                <c:pt idx="57">
                  <c:v>224.11445321475662</c:v>
                </c:pt>
                <c:pt idx="58">
                  <c:v>224.9969776764182</c:v>
                </c:pt>
                <c:pt idx="59">
                  <c:v>225.05436672976538</c:v>
                </c:pt>
                <c:pt idx="60">
                  <c:v>221.27974398170323</c:v>
                </c:pt>
                <c:pt idx="61">
                  <c:v>218.0537403430086</c:v>
                </c:pt>
                <c:pt idx="62">
                  <c:v>227.50822402816789</c:v>
                </c:pt>
                <c:pt idx="63">
                  <c:v>227.88573753625508</c:v>
                </c:pt>
                <c:pt idx="64">
                  <c:v>225.88571030648924</c:v>
                </c:pt>
                <c:pt idx="65">
                  <c:v>227.35560708811593</c:v>
                </c:pt>
                <c:pt idx="66">
                  <c:v>237.32421286470458</c:v>
                </c:pt>
                <c:pt idx="67">
                  <c:v>234.62121164693701</c:v>
                </c:pt>
                <c:pt idx="68">
                  <c:v>242.96976623614202</c:v>
                </c:pt>
                <c:pt idx="69">
                  <c:v>237.94563253291369</c:v>
                </c:pt>
                <c:pt idx="70">
                  <c:v>234.50765434407228</c:v>
                </c:pt>
                <c:pt idx="71">
                  <c:v>237.93719458163665</c:v>
                </c:pt>
                <c:pt idx="72">
                  <c:v>243.38303754226573</c:v>
                </c:pt>
                <c:pt idx="73">
                  <c:v>254.70779788695586</c:v>
                </c:pt>
                <c:pt idx="74">
                  <c:v>246.01827087842094</c:v>
                </c:pt>
                <c:pt idx="75">
                  <c:v>243.61116267078546</c:v>
                </c:pt>
                <c:pt idx="76">
                  <c:v>239.01045144137336</c:v>
                </c:pt>
                <c:pt idx="77">
                  <c:v>237.96302532148917</c:v>
                </c:pt>
                <c:pt idx="78">
                  <c:v>244.18093555810518</c:v>
                </c:pt>
                <c:pt idx="79">
                  <c:v>247.64723453600095</c:v>
                </c:pt>
                <c:pt idx="80">
                  <c:v>241.54305248202127</c:v>
                </c:pt>
                <c:pt idx="81">
                  <c:v>240.74093180637948</c:v>
                </c:pt>
                <c:pt idx="82">
                  <c:v>237.97248575565496</c:v>
                </c:pt>
                <c:pt idx="83">
                  <c:v>238.23701688444217</c:v>
                </c:pt>
                <c:pt idx="84">
                  <c:v>231.16166770856509</c:v>
                </c:pt>
                <c:pt idx="85">
                  <c:v>237.77710213617044</c:v>
                </c:pt>
                <c:pt idx="86">
                  <c:v>232.83613650136991</c:v>
                </c:pt>
                <c:pt idx="87">
                  <c:v>225.25153323633435</c:v>
                </c:pt>
                <c:pt idx="88">
                  <c:v>227.17612517350079</c:v>
                </c:pt>
                <c:pt idx="89">
                  <c:v>226.40685243192766</c:v>
                </c:pt>
                <c:pt idx="90">
                  <c:v>221.24248512979213</c:v>
                </c:pt>
                <c:pt idx="91">
                  <c:v>224.23903621451311</c:v>
                </c:pt>
                <c:pt idx="92">
                  <c:v>227.91811491192115</c:v>
                </c:pt>
                <c:pt idx="93">
                  <c:v>228.22605507217185</c:v>
                </c:pt>
                <c:pt idx="94">
                  <c:v>231.88671336558906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CD41-094C-BCDC-8807F586F36B}"/>
            </c:ext>
          </c:extLst>
        </c:ser>
        <c:ser>
          <c:idx val="86"/>
          <c:order val="86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frozen'!$E$88:$CU$88</c:f>
              <c:numCache>
                <c:formatCode>General</c:formatCode>
                <c:ptCount val="95"/>
                <c:pt idx="0">
                  <c:v>222.13</c:v>
                </c:pt>
                <c:pt idx="1">
                  <c:v>222.63843478701816</c:v>
                </c:pt>
                <c:pt idx="2">
                  <c:v>227.18411914685913</c:v>
                </c:pt>
                <c:pt idx="3">
                  <c:v>227.00072437088576</c:v>
                </c:pt>
                <c:pt idx="4">
                  <c:v>225.89626478859918</c:v>
                </c:pt>
                <c:pt idx="5">
                  <c:v>223.9346099798681</c:v>
                </c:pt>
                <c:pt idx="6">
                  <c:v>217.83280323889096</c:v>
                </c:pt>
                <c:pt idx="7">
                  <c:v>215.09602332544097</c:v>
                </c:pt>
                <c:pt idx="8">
                  <c:v>213.33696897376177</c:v>
                </c:pt>
                <c:pt idx="9">
                  <c:v>213.35405830700557</c:v>
                </c:pt>
                <c:pt idx="10">
                  <c:v>205.08826529590993</c:v>
                </c:pt>
                <c:pt idx="11">
                  <c:v>201.23429541920922</c:v>
                </c:pt>
                <c:pt idx="12">
                  <c:v>196.48997546233659</c:v>
                </c:pt>
                <c:pt idx="13">
                  <c:v>199.88940884527844</c:v>
                </c:pt>
                <c:pt idx="14">
                  <c:v>200.75650929867075</c:v>
                </c:pt>
                <c:pt idx="15">
                  <c:v>203.93378786566132</c:v>
                </c:pt>
                <c:pt idx="16">
                  <c:v>203.84436798175989</c:v>
                </c:pt>
                <c:pt idx="17">
                  <c:v>213.05263113087506</c:v>
                </c:pt>
                <c:pt idx="18">
                  <c:v>215.04645756235013</c:v>
                </c:pt>
                <c:pt idx="19">
                  <c:v>204.81004724632217</c:v>
                </c:pt>
                <c:pt idx="20">
                  <c:v>198.4460475537808</c:v>
                </c:pt>
                <c:pt idx="21">
                  <c:v>200.93586121862955</c:v>
                </c:pt>
                <c:pt idx="22">
                  <c:v>194.89842362675887</c:v>
                </c:pt>
                <c:pt idx="23">
                  <c:v>202.59403497790734</c:v>
                </c:pt>
                <c:pt idx="24">
                  <c:v>201.55809162342419</c:v>
                </c:pt>
                <c:pt idx="25">
                  <c:v>214.12893748961349</c:v>
                </c:pt>
                <c:pt idx="26">
                  <c:v>224.05255016982878</c:v>
                </c:pt>
                <c:pt idx="27">
                  <c:v>225.2748814900101</c:v>
                </c:pt>
                <c:pt idx="28">
                  <c:v>226.73808749420897</c:v>
                </c:pt>
                <c:pt idx="29">
                  <c:v>221.73132419304869</c:v>
                </c:pt>
                <c:pt idx="30">
                  <c:v>222.73749213082664</c:v>
                </c:pt>
                <c:pt idx="31">
                  <c:v>225.16486517038462</c:v>
                </c:pt>
                <c:pt idx="32">
                  <c:v>220.29017142164778</c:v>
                </c:pt>
                <c:pt idx="33">
                  <c:v>219.82015727125219</c:v>
                </c:pt>
                <c:pt idx="34">
                  <c:v>226.18471342678731</c:v>
                </c:pt>
                <c:pt idx="35">
                  <c:v>226.17414461658046</c:v>
                </c:pt>
                <c:pt idx="36">
                  <c:v>215.77795217564255</c:v>
                </c:pt>
                <c:pt idx="37">
                  <c:v>221.53299661818897</c:v>
                </c:pt>
                <c:pt idx="38">
                  <c:v>220.80341570549817</c:v>
                </c:pt>
                <c:pt idx="39">
                  <c:v>217.87831834811368</c:v>
                </c:pt>
                <c:pt idx="40">
                  <c:v>219.60408064133364</c:v>
                </c:pt>
                <c:pt idx="41">
                  <c:v>233.21577107367389</c:v>
                </c:pt>
                <c:pt idx="42">
                  <c:v>231.3787007913667</c:v>
                </c:pt>
                <c:pt idx="43">
                  <c:v>233.17593317800001</c:v>
                </c:pt>
                <c:pt idx="44">
                  <c:v>231.88857642821338</c:v>
                </c:pt>
                <c:pt idx="45">
                  <c:v>236.11071894854396</c:v>
                </c:pt>
                <c:pt idx="46">
                  <c:v>232.27366609666927</c:v>
                </c:pt>
                <c:pt idx="47">
                  <c:v>240.75831615538345</c:v>
                </c:pt>
                <c:pt idx="48">
                  <c:v>236.29440019185182</c:v>
                </c:pt>
                <c:pt idx="49">
                  <c:v>245.59818446478036</c:v>
                </c:pt>
                <c:pt idx="50">
                  <c:v>260.13240144028691</c:v>
                </c:pt>
                <c:pt idx="51">
                  <c:v>261.42524929219718</c:v>
                </c:pt>
                <c:pt idx="52">
                  <c:v>261.63204238447486</c:v>
                </c:pt>
                <c:pt idx="53">
                  <c:v>257.92037276751529</c:v>
                </c:pt>
                <c:pt idx="54">
                  <c:v>257.86740754914047</c:v>
                </c:pt>
                <c:pt idx="55">
                  <c:v>259.29849007281712</c:v>
                </c:pt>
                <c:pt idx="56">
                  <c:v>255.42099285265809</c:v>
                </c:pt>
                <c:pt idx="57">
                  <c:v>257.56242653287956</c:v>
                </c:pt>
                <c:pt idx="58">
                  <c:v>254.13518496058202</c:v>
                </c:pt>
                <c:pt idx="59">
                  <c:v>249.06425403454691</c:v>
                </c:pt>
                <c:pt idx="60">
                  <c:v>253.325122350312</c:v>
                </c:pt>
                <c:pt idx="61">
                  <c:v>242.21022140401871</c:v>
                </c:pt>
                <c:pt idx="62">
                  <c:v>231.16460160012954</c:v>
                </c:pt>
                <c:pt idx="63">
                  <c:v>237.83660924650226</c:v>
                </c:pt>
                <c:pt idx="64">
                  <c:v>238.16129182476149</c:v>
                </c:pt>
                <c:pt idx="65">
                  <c:v>236.93010105962259</c:v>
                </c:pt>
                <c:pt idx="66">
                  <c:v>235.88007044168157</c:v>
                </c:pt>
                <c:pt idx="67">
                  <c:v>226.95242096433213</c:v>
                </c:pt>
                <c:pt idx="68">
                  <c:v>244.80963164416849</c:v>
                </c:pt>
                <c:pt idx="69">
                  <c:v>234.82127927405477</c:v>
                </c:pt>
                <c:pt idx="70">
                  <c:v>240.8895538064674</c:v>
                </c:pt>
                <c:pt idx="71">
                  <c:v>235.41805053943997</c:v>
                </c:pt>
                <c:pt idx="72">
                  <c:v>242.55612447111304</c:v>
                </c:pt>
                <c:pt idx="73">
                  <c:v>247.31822955908748</c:v>
                </c:pt>
                <c:pt idx="74">
                  <c:v>246.81174482193049</c:v>
                </c:pt>
                <c:pt idx="75">
                  <c:v>252.14144009138823</c:v>
                </c:pt>
                <c:pt idx="76">
                  <c:v>246.11565116855658</c:v>
                </c:pt>
                <c:pt idx="77">
                  <c:v>246.26722568994802</c:v>
                </c:pt>
                <c:pt idx="78">
                  <c:v>240.41618427968947</c:v>
                </c:pt>
                <c:pt idx="79">
                  <c:v>236.32284241113905</c:v>
                </c:pt>
                <c:pt idx="80">
                  <c:v>244.55041830030734</c:v>
                </c:pt>
                <c:pt idx="81">
                  <c:v>251.32603378749525</c:v>
                </c:pt>
                <c:pt idx="82">
                  <c:v>256.71468325938599</c:v>
                </c:pt>
                <c:pt idx="83">
                  <c:v>256.87894237168081</c:v>
                </c:pt>
                <c:pt idx="84">
                  <c:v>259.10478718376112</c:v>
                </c:pt>
                <c:pt idx="85">
                  <c:v>265.56248560826828</c:v>
                </c:pt>
                <c:pt idx="86">
                  <c:v>270.78121312028583</c:v>
                </c:pt>
                <c:pt idx="87">
                  <c:v>278.38414984018169</c:v>
                </c:pt>
                <c:pt idx="88">
                  <c:v>282.35857280917907</c:v>
                </c:pt>
                <c:pt idx="89">
                  <c:v>288.58538691989816</c:v>
                </c:pt>
                <c:pt idx="90">
                  <c:v>282.48658092708644</c:v>
                </c:pt>
                <c:pt idx="91">
                  <c:v>279.63814753584677</c:v>
                </c:pt>
                <c:pt idx="92">
                  <c:v>274.05509746107504</c:v>
                </c:pt>
                <c:pt idx="93">
                  <c:v>269.02021695467408</c:v>
                </c:pt>
                <c:pt idx="94">
                  <c:v>269.11778186369867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CD41-094C-BCDC-8807F586F36B}"/>
            </c:ext>
          </c:extLst>
        </c:ser>
        <c:ser>
          <c:idx val="87"/>
          <c:order val="87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frozen'!$E$89:$CU$89</c:f>
              <c:numCache>
                <c:formatCode>General</c:formatCode>
                <c:ptCount val="95"/>
                <c:pt idx="0">
                  <c:v>222.13</c:v>
                </c:pt>
                <c:pt idx="1">
                  <c:v>228.41346223976592</c:v>
                </c:pt>
                <c:pt idx="2">
                  <c:v>229.55205188365753</c:v>
                </c:pt>
                <c:pt idx="3">
                  <c:v>241.0004365670018</c:v>
                </c:pt>
                <c:pt idx="4">
                  <c:v>238.29572450491349</c:v>
                </c:pt>
                <c:pt idx="5">
                  <c:v>242.96206327021051</c:v>
                </c:pt>
                <c:pt idx="6">
                  <c:v>244.77856091679092</c:v>
                </c:pt>
                <c:pt idx="7">
                  <c:v>255.628607181473</c:v>
                </c:pt>
                <c:pt idx="8">
                  <c:v>252.60074274612239</c:v>
                </c:pt>
                <c:pt idx="9">
                  <c:v>250.42281177199737</c:v>
                </c:pt>
                <c:pt idx="10">
                  <c:v>246.6765980901539</c:v>
                </c:pt>
                <c:pt idx="11">
                  <c:v>242.70198169525605</c:v>
                </c:pt>
                <c:pt idx="12">
                  <c:v>254.88233031816063</c:v>
                </c:pt>
                <c:pt idx="13">
                  <c:v>241.79548874141153</c:v>
                </c:pt>
                <c:pt idx="14">
                  <c:v>236.02096831892797</c:v>
                </c:pt>
                <c:pt idx="15">
                  <c:v>232.80691808363176</c:v>
                </c:pt>
                <c:pt idx="16">
                  <c:v>223.36660065521207</c:v>
                </c:pt>
                <c:pt idx="17">
                  <c:v>220.90452874799436</c:v>
                </c:pt>
                <c:pt idx="18">
                  <c:v>224.73650542796244</c:v>
                </c:pt>
                <c:pt idx="19">
                  <c:v>226.86229466567238</c:v>
                </c:pt>
                <c:pt idx="20">
                  <c:v>228.02971525068099</c:v>
                </c:pt>
                <c:pt idx="21">
                  <c:v>223.50108464936062</c:v>
                </c:pt>
                <c:pt idx="22">
                  <c:v>225.58636116073748</c:v>
                </c:pt>
                <c:pt idx="23">
                  <c:v>229.35214595823635</c:v>
                </c:pt>
                <c:pt idx="24">
                  <c:v>227.34687609063673</c:v>
                </c:pt>
                <c:pt idx="25">
                  <c:v>219.30123841084259</c:v>
                </c:pt>
                <c:pt idx="26">
                  <c:v>230.32065170776349</c:v>
                </c:pt>
                <c:pt idx="27">
                  <c:v>226.76119126417902</c:v>
                </c:pt>
                <c:pt idx="28">
                  <c:v>228.44235962421897</c:v>
                </c:pt>
                <c:pt idx="29">
                  <c:v>218.6154018831721</c:v>
                </c:pt>
                <c:pt idx="30">
                  <c:v>216.24431573994227</c:v>
                </c:pt>
                <c:pt idx="31">
                  <c:v>210.16192111199456</c:v>
                </c:pt>
                <c:pt idx="32">
                  <c:v>207.86607348678277</c:v>
                </c:pt>
                <c:pt idx="33">
                  <c:v>207.86675272368964</c:v>
                </c:pt>
                <c:pt idx="34">
                  <c:v>202.66273143525834</c:v>
                </c:pt>
                <c:pt idx="35">
                  <c:v>202.85312989040207</c:v>
                </c:pt>
                <c:pt idx="36">
                  <c:v>197.64978249661996</c:v>
                </c:pt>
                <c:pt idx="37">
                  <c:v>195.03651750691856</c:v>
                </c:pt>
                <c:pt idx="38">
                  <c:v>202.64169093011603</c:v>
                </c:pt>
                <c:pt idx="39">
                  <c:v>200.23865292525221</c:v>
                </c:pt>
                <c:pt idx="40">
                  <c:v>203.16923165961347</c:v>
                </c:pt>
                <c:pt idx="41">
                  <c:v>202.04860357821397</c:v>
                </c:pt>
                <c:pt idx="42">
                  <c:v>197.33421709176437</c:v>
                </c:pt>
                <c:pt idx="43">
                  <c:v>196.1843704996574</c:v>
                </c:pt>
                <c:pt idx="44">
                  <c:v>201.67662962168447</c:v>
                </c:pt>
                <c:pt idx="45">
                  <c:v>204.56074653664808</c:v>
                </c:pt>
                <c:pt idx="46">
                  <c:v>213.05144339132352</c:v>
                </c:pt>
                <c:pt idx="47">
                  <c:v>208.63660424075002</c:v>
                </c:pt>
                <c:pt idx="48">
                  <c:v>204.20477667586599</c:v>
                </c:pt>
                <c:pt idx="49">
                  <c:v>207.94344460430648</c:v>
                </c:pt>
                <c:pt idx="50">
                  <c:v>220.59243085912533</c:v>
                </c:pt>
                <c:pt idx="51">
                  <c:v>222.57933784627571</c:v>
                </c:pt>
                <c:pt idx="52">
                  <c:v>213.29423073835505</c:v>
                </c:pt>
                <c:pt idx="53">
                  <c:v>214.75193034551742</c:v>
                </c:pt>
                <c:pt idx="54">
                  <c:v>213.79233515712352</c:v>
                </c:pt>
                <c:pt idx="55">
                  <c:v>215.02878351384823</c:v>
                </c:pt>
                <c:pt idx="56">
                  <c:v>218.81254968221361</c:v>
                </c:pt>
                <c:pt idx="57">
                  <c:v>218.44899653408862</c:v>
                </c:pt>
                <c:pt idx="58">
                  <c:v>216.94242424163988</c:v>
                </c:pt>
                <c:pt idx="59">
                  <c:v>215.79190657522349</c:v>
                </c:pt>
                <c:pt idx="60">
                  <c:v>217.31628837264387</c:v>
                </c:pt>
                <c:pt idx="61">
                  <c:v>209.64714263432768</c:v>
                </c:pt>
                <c:pt idx="62">
                  <c:v>204.49007191609672</c:v>
                </c:pt>
                <c:pt idx="63">
                  <c:v>194.25919881933163</c:v>
                </c:pt>
                <c:pt idx="64">
                  <c:v>195.86006889768638</c:v>
                </c:pt>
                <c:pt idx="65">
                  <c:v>199.94892145669562</c:v>
                </c:pt>
                <c:pt idx="66">
                  <c:v>208.44570520350098</c:v>
                </c:pt>
                <c:pt idx="67">
                  <c:v>204.16579554182812</c:v>
                </c:pt>
                <c:pt idx="68">
                  <c:v>213.48078316140112</c:v>
                </c:pt>
                <c:pt idx="69">
                  <c:v>212.72621810345842</c:v>
                </c:pt>
                <c:pt idx="70">
                  <c:v>216.87148235805327</c:v>
                </c:pt>
                <c:pt idx="71">
                  <c:v>224.03828229492041</c:v>
                </c:pt>
                <c:pt idx="72">
                  <c:v>221.99784026799978</c:v>
                </c:pt>
                <c:pt idx="73">
                  <c:v>218.34237929372367</c:v>
                </c:pt>
                <c:pt idx="74">
                  <c:v>214.2090886021561</c:v>
                </c:pt>
                <c:pt idx="75">
                  <c:v>209.75044147416921</c:v>
                </c:pt>
                <c:pt idx="76">
                  <c:v>212.70441107943071</c:v>
                </c:pt>
                <c:pt idx="77">
                  <c:v>217.05633869047111</c:v>
                </c:pt>
                <c:pt idx="78">
                  <c:v>217.80541302267395</c:v>
                </c:pt>
                <c:pt idx="79">
                  <c:v>222.80702142273108</c:v>
                </c:pt>
                <c:pt idx="80">
                  <c:v>222.14971300501335</c:v>
                </c:pt>
                <c:pt idx="81">
                  <c:v>219.2040577695729</c:v>
                </c:pt>
                <c:pt idx="82">
                  <c:v>221.34837805317207</c:v>
                </c:pt>
                <c:pt idx="83">
                  <c:v>219.93610357972472</c:v>
                </c:pt>
                <c:pt idx="84">
                  <c:v>222.22169631061055</c:v>
                </c:pt>
                <c:pt idx="85">
                  <c:v>226.41109754266998</c:v>
                </c:pt>
                <c:pt idx="86">
                  <c:v>228.37930497785214</c:v>
                </c:pt>
                <c:pt idx="87">
                  <c:v>236.13345396564486</c:v>
                </c:pt>
                <c:pt idx="88">
                  <c:v>237.2239895070318</c:v>
                </c:pt>
                <c:pt idx="89">
                  <c:v>228.95992048284188</c:v>
                </c:pt>
                <c:pt idx="90">
                  <c:v>233.48213858089389</c:v>
                </c:pt>
                <c:pt idx="91">
                  <c:v>231.36141187073156</c:v>
                </c:pt>
                <c:pt idx="92">
                  <c:v>231.45264298164486</c:v>
                </c:pt>
                <c:pt idx="93">
                  <c:v>234.29938584705636</c:v>
                </c:pt>
                <c:pt idx="94">
                  <c:v>243.69236300461174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CD41-094C-BCDC-8807F586F36B}"/>
            </c:ext>
          </c:extLst>
        </c:ser>
        <c:ser>
          <c:idx val="88"/>
          <c:order val="88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frozen'!$E$90:$CU$90</c:f>
              <c:numCache>
                <c:formatCode>General</c:formatCode>
                <c:ptCount val="95"/>
                <c:pt idx="0">
                  <c:v>222.13</c:v>
                </c:pt>
                <c:pt idx="1">
                  <c:v>222.58205415433537</c:v>
                </c:pt>
                <c:pt idx="2">
                  <c:v>224.30451318818018</c:v>
                </c:pt>
                <c:pt idx="3">
                  <c:v>233.02551498847947</c:v>
                </c:pt>
                <c:pt idx="4">
                  <c:v>231.38158712607827</c:v>
                </c:pt>
                <c:pt idx="5">
                  <c:v>227.09407562387798</c:v>
                </c:pt>
                <c:pt idx="6">
                  <c:v>229.01462928208264</c:v>
                </c:pt>
                <c:pt idx="7">
                  <c:v>230.33521948583936</c:v>
                </c:pt>
                <c:pt idx="8">
                  <c:v>234.34142250898606</c:v>
                </c:pt>
                <c:pt idx="9">
                  <c:v>236.95313544098599</c:v>
                </c:pt>
                <c:pt idx="10">
                  <c:v>241.86801827585347</c:v>
                </c:pt>
                <c:pt idx="11">
                  <c:v>244.68146160895208</c:v>
                </c:pt>
                <c:pt idx="12">
                  <c:v>247.50482541815231</c:v>
                </c:pt>
                <c:pt idx="13">
                  <c:v>247.51751096959373</c:v>
                </c:pt>
                <c:pt idx="14">
                  <c:v>243.84491139785274</c:v>
                </c:pt>
                <c:pt idx="15">
                  <c:v>252.28749873329892</c:v>
                </c:pt>
                <c:pt idx="16">
                  <c:v>246.69688726356634</c:v>
                </c:pt>
                <c:pt idx="17">
                  <c:v>249.28840361006107</c:v>
                </c:pt>
                <c:pt idx="18">
                  <c:v>255.28111144153095</c:v>
                </c:pt>
                <c:pt idx="19">
                  <c:v>245.182745053171</c:v>
                </c:pt>
                <c:pt idx="20">
                  <c:v>252.95821602683944</c:v>
                </c:pt>
                <c:pt idx="21">
                  <c:v>244.08088306202254</c:v>
                </c:pt>
                <c:pt idx="22">
                  <c:v>248.26182703105982</c:v>
                </c:pt>
                <c:pt idx="23">
                  <c:v>245.21848839293619</c:v>
                </c:pt>
                <c:pt idx="24">
                  <c:v>236.5457165444835</c:v>
                </c:pt>
                <c:pt idx="25">
                  <c:v>243.96666103360405</c:v>
                </c:pt>
                <c:pt idx="26">
                  <c:v>244.1338351941055</c:v>
                </c:pt>
                <c:pt idx="27">
                  <c:v>248.09003343650915</c:v>
                </c:pt>
                <c:pt idx="28">
                  <c:v>246.25913591878421</c:v>
                </c:pt>
                <c:pt idx="29">
                  <c:v>249.11964064257367</c:v>
                </c:pt>
                <c:pt idx="30">
                  <c:v>247.20221697105799</c:v>
                </c:pt>
                <c:pt idx="31">
                  <c:v>245.45327850216029</c:v>
                </c:pt>
                <c:pt idx="32">
                  <c:v>241.7092976420434</c:v>
                </c:pt>
                <c:pt idx="33">
                  <c:v>245.48083813173207</c:v>
                </c:pt>
                <c:pt idx="34">
                  <c:v>245.17400761951131</c:v>
                </c:pt>
                <c:pt idx="35">
                  <c:v>254.99729219228917</c:v>
                </c:pt>
                <c:pt idx="36">
                  <c:v>250.88384805870294</c:v>
                </c:pt>
                <c:pt idx="37">
                  <c:v>251.56952931655167</c:v>
                </c:pt>
                <c:pt idx="38">
                  <c:v>249.94654677424757</c:v>
                </c:pt>
                <c:pt idx="39">
                  <c:v>260.58466113022411</c:v>
                </c:pt>
                <c:pt idx="40">
                  <c:v>258.57472522952452</c:v>
                </c:pt>
                <c:pt idx="41">
                  <c:v>266.3305375663258</c:v>
                </c:pt>
                <c:pt idx="42">
                  <c:v>266.61537108823546</c:v>
                </c:pt>
                <c:pt idx="43">
                  <c:v>268.33975284742382</c:v>
                </c:pt>
                <c:pt idx="44">
                  <c:v>267.58010754215206</c:v>
                </c:pt>
                <c:pt idx="45">
                  <c:v>264.97034693732746</c:v>
                </c:pt>
                <c:pt idx="46">
                  <c:v>263.31223091747154</c:v>
                </c:pt>
                <c:pt idx="47">
                  <c:v>271.77286631625685</c:v>
                </c:pt>
                <c:pt idx="48">
                  <c:v>268.36093092715339</c:v>
                </c:pt>
                <c:pt idx="49">
                  <c:v>263.99097429697315</c:v>
                </c:pt>
                <c:pt idx="50">
                  <c:v>258.59041405832204</c:v>
                </c:pt>
                <c:pt idx="51">
                  <c:v>253.91011241766486</c:v>
                </c:pt>
                <c:pt idx="52">
                  <c:v>248.55933332649414</c:v>
                </c:pt>
                <c:pt idx="53">
                  <c:v>251.9650984726394</c:v>
                </c:pt>
                <c:pt idx="54">
                  <c:v>256.45535085810832</c:v>
                </c:pt>
                <c:pt idx="55">
                  <c:v>248.03574355159731</c:v>
                </c:pt>
                <c:pt idx="56">
                  <c:v>256.02199592726976</c:v>
                </c:pt>
                <c:pt idx="57">
                  <c:v>257.1074485398542</c:v>
                </c:pt>
                <c:pt idx="58">
                  <c:v>248.13828656687218</c:v>
                </c:pt>
                <c:pt idx="59">
                  <c:v>243.05154924292506</c:v>
                </c:pt>
                <c:pt idx="60">
                  <c:v>238.43261636036607</c:v>
                </c:pt>
                <c:pt idx="61">
                  <c:v>238.15032119097123</c:v>
                </c:pt>
                <c:pt idx="62">
                  <c:v>233.24953468075938</c:v>
                </c:pt>
                <c:pt idx="63">
                  <c:v>231.60734937037043</c:v>
                </c:pt>
                <c:pt idx="64">
                  <c:v>237.27831577336474</c:v>
                </c:pt>
                <c:pt idx="65">
                  <c:v>237.05863579839595</c:v>
                </c:pt>
                <c:pt idx="66">
                  <c:v>239.4387406847685</c:v>
                </c:pt>
                <c:pt idx="67">
                  <c:v>235.30076651902826</c:v>
                </c:pt>
                <c:pt idx="68">
                  <c:v>230.79804842402541</c:v>
                </c:pt>
                <c:pt idx="69">
                  <c:v>241.41781520847704</c:v>
                </c:pt>
                <c:pt idx="70">
                  <c:v>240.88456819038066</c:v>
                </c:pt>
                <c:pt idx="71">
                  <c:v>245.8968418658024</c:v>
                </c:pt>
                <c:pt idx="72">
                  <c:v>246.61550377419314</c:v>
                </c:pt>
                <c:pt idx="73">
                  <c:v>248.06418011781329</c:v>
                </c:pt>
                <c:pt idx="74">
                  <c:v>256.95039399435422</c:v>
                </c:pt>
                <c:pt idx="75">
                  <c:v>262.66327181380882</c:v>
                </c:pt>
                <c:pt idx="76">
                  <c:v>261.70159725974997</c:v>
                </c:pt>
                <c:pt idx="77">
                  <c:v>259.34326145513529</c:v>
                </c:pt>
                <c:pt idx="78">
                  <c:v>261.83575572543123</c:v>
                </c:pt>
                <c:pt idx="79">
                  <c:v>266.5362984226436</c:v>
                </c:pt>
                <c:pt idx="80">
                  <c:v>267.28013983183848</c:v>
                </c:pt>
                <c:pt idx="81">
                  <c:v>269.49635302700489</c:v>
                </c:pt>
                <c:pt idx="82">
                  <c:v>272.62870044559673</c:v>
                </c:pt>
                <c:pt idx="83">
                  <c:v>271.72901716648335</c:v>
                </c:pt>
                <c:pt idx="84">
                  <c:v>262.29524198015656</c:v>
                </c:pt>
                <c:pt idx="85">
                  <c:v>259.00908902211734</c:v>
                </c:pt>
                <c:pt idx="86">
                  <c:v>260.14759875125492</c:v>
                </c:pt>
                <c:pt idx="87">
                  <c:v>258.79448394729616</c:v>
                </c:pt>
                <c:pt idx="88">
                  <c:v>260.91744762777938</c:v>
                </c:pt>
                <c:pt idx="89">
                  <c:v>251.9698257378663</c:v>
                </c:pt>
                <c:pt idx="90">
                  <c:v>253.10494478486868</c:v>
                </c:pt>
                <c:pt idx="91">
                  <c:v>260.04745581552191</c:v>
                </c:pt>
                <c:pt idx="92">
                  <c:v>261.70356253449364</c:v>
                </c:pt>
                <c:pt idx="93">
                  <c:v>263.43070649070074</c:v>
                </c:pt>
                <c:pt idx="94">
                  <c:v>262.08243220058131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CD41-094C-BCDC-8807F586F36B}"/>
            </c:ext>
          </c:extLst>
        </c:ser>
        <c:ser>
          <c:idx val="89"/>
          <c:order val="89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frozen'!$E$91:$CU$91</c:f>
              <c:numCache>
                <c:formatCode>General</c:formatCode>
                <c:ptCount val="95"/>
                <c:pt idx="0">
                  <c:v>222.13</c:v>
                </c:pt>
                <c:pt idx="1">
                  <c:v>219.84374610802107</c:v>
                </c:pt>
                <c:pt idx="2">
                  <c:v>224.94076247941371</c:v>
                </c:pt>
                <c:pt idx="3">
                  <c:v>221.47962544572812</c:v>
                </c:pt>
                <c:pt idx="4">
                  <c:v>225.97138306268096</c:v>
                </c:pt>
                <c:pt idx="5">
                  <c:v>219.33622778356516</c:v>
                </c:pt>
                <c:pt idx="6">
                  <c:v>207.58690225072502</c:v>
                </c:pt>
                <c:pt idx="7">
                  <c:v>199.1968513834664</c:v>
                </c:pt>
                <c:pt idx="8">
                  <c:v>194.98861095164807</c:v>
                </c:pt>
                <c:pt idx="9">
                  <c:v>194.13267835570682</c:v>
                </c:pt>
                <c:pt idx="10">
                  <c:v>192.23759751066265</c:v>
                </c:pt>
                <c:pt idx="11">
                  <c:v>187.06552814586277</c:v>
                </c:pt>
                <c:pt idx="12">
                  <c:v>182.7622192898304</c:v>
                </c:pt>
                <c:pt idx="13">
                  <c:v>193.4270078048655</c:v>
                </c:pt>
                <c:pt idx="14">
                  <c:v>186.89908193184897</c:v>
                </c:pt>
                <c:pt idx="15">
                  <c:v>188.57595177812081</c:v>
                </c:pt>
                <c:pt idx="16">
                  <c:v>194.81187663858739</c:v>
                </c:pt>
                <c:pt idx="17">
                  <c:v>188.791602549326</c:v>
                </c:pt>
                <c:pt idx="18">
                  <c:v>190.44578323861577</c:v>
                </c:pt>
                <c:pt idx="19">
                  <c:v>189.30606176602936</c:v>
                </c:pt>
                <c:pt idx="20">
                  <c:v>179.03756816936863</c:v>
                </c:pt>
                <c:pt idx="21">
                  <c:v>182.75090183429657</c:v>
                </c:pt>
                <c:pt idx="22">
                  <c:v>182.12821395159966</c:v>
                </c:pt>
                <c:pt idx="23">
                  <c:v>185.31870961760012</c:v>
                </c:pt>
                <c:pt idx="24">
                  <c:v>190.66903264654994</c:v>
                </c:pt>
                <c:pt idx="25">
                  <c:v>194.36726500161447</c:v>
                </c:pt>
                <c:pt idx="26">
                  <c:v>199.83720908715642</c:v>
                </c:pt>
                <c:pt idx="27">
                  <c:v>196.54226473771192</c:v>
                </c:pt>
                <c:pt idx="28">
                  <c:v>194.76651711883696</c:v>
                </c:pt>
                <c:pt idx="29">
                  <c:v>191.05373666146113</c:v>
                </c:pt>
                <c:pt idx="30">
                  <c:v>191.30724239521888</c:v>
                </c:pt>
                <c:pt idx="31">
                  <c:v>190.58571233313009</c:v>
                </c:pt>
                <c:pt idx="32">
                  <c:v>193.05257173484571</c:v>
                </c:pt>
                <c:pt idx="33">
                  <c:v>194.23003911640802</c:v>
                </c:pt>
                <c:pt idx="34">
                  <c:v>192.17754575775049</c:v>
                </c:pt>
                <c:pt idx="35">
                  <c:v>202.71260869835203</c:v>
                </c:pt>
                <c:pt idx="36">
                  <c:v>198.18517417122121</c:v>
                </c:pt>
                <c:pt idx="37">
                  <c:v>205.6354426175435</c:v>
                </c:pt>
                <c:pt idx="38">
                  <c:v>203.38134834177046</c:v>
                </c:pt>
                <c:pt idx="39">
                  <c:v>205.8152121076003</c:v>
                </c:pt>
                <c:pt idx="40">
                  <c:v>207.25110001357405</c:v>
                </c:pt>
                <c:pt idx="41">
                  <c:v>206.2247571682021</c:v>
                </c:pt>
                <c:pt idx="42">
                  <c:v>203.10558049631433</c:v>
                </c:pt>
                <c:pt idx="43">
                  <c:v>206.67311569250231</c:v>
                </c:pt>
                <c:pt idx="44">
                  <c:v>208.16803611261597</c:v>
                </c:pt>
                <c:pt idx="45">
                  <c:v>194.64974660358885</c:v>
                </c:pt>
                <c:pt idx="46">
                  <c:v>199.81062645970954</c:v>
                </c:pt>
                <c:pt idx="47">
                  <c:v>201.51016673716592</c:v>
                </c:pt>
                <c:pt idx="48">
                  <c:v>202.18748331755995</c:v>
                </c:pt>
                <c:pt idx="49">
                  <c:v>197.15116085421903</c:v>
                </c:pt>
                <c:pt idx="50">
                  <c:v>202.27819577462444</c:v>
                </c:pt>
                <c:pt idx="51">
                  <c:v>194.05665532637445</c:v>
                </c:pt>
                <c:pt idx="52">
                  <c:v>195.04260201497524</c:v>
                </c:pt>
                <c:pt idx="53">
                  <c:v>192.50945663831374</c:v>
                </c:pt>
                <c:pt idx="54">
                  <c:v>189.20638165635995</c:v>
                </c:pt>
                <c:pt idx="55">
                  <c:v>186.75956042037902</c:v>
                </c:pt>
                <c:pt idx="56">
                  <c:v>182.79670829459241</c:v>
                </c:pt>
                <c:pt idx="57">
                  <c:v>182.68851316193224</c:v>
                </c:pt>
                <c:pt idx="58">
                  <c:v>179.67485565343134</c:v>
                </c:pt>
                <c:pt idx="59">
                  <c:v>178.07095732933269</c:v>
                </c:pt>
                <c:pt idx="60">
                  <c:v>180.2707580079483</c:v>
                </c:pt>
                <c:pt idx="61">
                  <c:v>173.88153242975631</c:v>
                </c:pt>
                <c:pt idx="62">
                  <c:v>171.04383873374471</c:v>
                </c:pt>
                <c:pt idx="63">
                  <c:v>173.35393146182426</c:v>
                </c:pt>
                <c:pt idx="64">
                  <c:v>172.54242722593091</c:v>
                </c:pt>
                <c:pt idx="65">
                  <c:v>169.57680982870363</c:v>
                </c:pt>
                <c:pt idx="66">
                  <c:v>162.98140823122199</c:v>
                </c:pt>
                <c:pt idx="67">
                  <c:v>154.56332528584244</c:v>
                </c:pt>
                <c:pt idx="68">
                  <c:v>150.1376748528493</c:v>
                </c:pt>
                <c:pt idx="69">
                  <c:v>155.49590243425567</c:v>
                </c:pt>
                <c:pt idx="70">
                  <c:v>149.71319322327471</c:v>
                </c:pt>
                <c:pt idx="71">
                  <c:v>152.52169871033942</c:v>
                </c:pt>
                <c:pt idx="72">
                  <c:v>150.32056437887817</c:v>
                </c:pt>
                <c:pt idx="73">
                  <c:v>150.56126302612088</c:v>
                </c:pt>
                <c:pt idx="74">
                  <c:v>151.36645589160855</c:v>
                </c:pt>
                <c:pt idx="75">
                  <c:v>162.40511906769439</c:v>
                </c:pt>
                <c:pt idx="76">
                  <c:v>158.83223865966957</c:v>
                </c:pt>
                <c:pt idx="77">
                  <c:v>158.33711338660811</c:v>
                </c:pt>
                <c:pt idx="78">
                  <c:v>167.36315467036692</c:v>
                </c:pt>
                <c:pt idx="79">
                  <c:v>163.58888977597701</c:v>
                </c:pt>
                <c:pt idx="80">
                  <c:v>164.22212837466856</c:v>
                </c:pt>
                <c:pt idx="81">
                  <c:v>159.625342910547</c:v>
                </c:pt>
                <c:pt idx="82">
                  <c:v>158.60526416671271</c:v>
                </c:pt>
                <c:pt idx="83">
                  <c:v>160.89413021737889</c:v>
                </c:pt>
                <c:pt idx="84">
                  <c:v>162.87085746942711</c:v>
                </c:pt>
                <c:pt idx="85">
                  <c:v>159.98866537494138</c:v>
                </c:pt>
                <c:pt idx="86">
                  <c:v>156.62436908110411</c:v>
                </c:pt>
                <c:pt idx="87">
                  <c:v>159.78749404285821</c:v>
                </c:pt>
                <c:pt idx="88">
                  <c:v>158.06054026827726</c:v>
                </c:pt>
                <c:pt idx="89">
                  <c:v>155.37951004619282</c:v>
                </c:pt>
                <c:pt idx="90">
                  <c:v>151.73923060380892</c:v>
                </c:pt>
                <c:pt idx="91">
                  <c:v>158.79309431455368</c:v>
                </c:pt>
                <c:pt idx="92">
                  <c:v>157.28784915408374</c:v>
                </c:pt>
                <c:pt idx="93">
                  <c:v>161.80665949325765</c:v>
                </c:pt>
                <c:pt idx="94">
                  <c:v>155.35381175923695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CD41-094C-BCDC-8807F586F36B}"/>
            </c:ext>
          </c:extLst>
        </c:ser>
        <c:ser>
          <c:idx val="90"/>
          <c:order val="90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frozen'!$E$92:$CU$92</c:f>
              <c:numCache>
                <c:formatCode>General</c:formatCode>
                <c:ptCount val="95"/>
                <c:pt idx="0">
                  <c:v>222.13</c:v>
                </c:pt>
                <c:pt idx="1">
                  <c:v>216.78760545427087</c:v>
                </c:pt>
                <c:pt idx="2">
                  <c:v>214.9022400731765</c:v>
                </c:pt>
                <c:pt idx="3">
                  <c:v>213.34887598894369</c:v>
                </c:pt>
                <c:pt idx="4">
                  <c:v>212.40300142913887</c:v>
                </c:pt>
                <c:pt idx="5">
                  <c:v>216.83661372198023</c:v>
                </c:pt>
                <c:pt idx="6">
                  <c:v>214.82674869874324</c:v>
                </c:pt>
                <c:pt idx="7">
                  <c:v>211.80375432985156</c:v>
                </c:pt>
                <c:pt idx="8">
                  <c:v>212.79396850452065</c:v>
                </c:pt>
                <c:pt idx="9">
                  <c:v>218.90801704181115</c:v>
                </c:pt>
                <c:pt idx="10">
                  <c:v>220.16496755464698</c:v>
                </c:pt>
                <c:pt idx="11">
                  <c:v>214.45090190014983</c:v>
                </c:pt>
                <c:pt idx="12">
                  <c:v>213.36165115395858</c:v>
                </c:pt>
                <c:pt idx="13">
                  <c:v>223.6901713514205</c:v>
                </c:pt>
                <c:pt idx="14">
                  <c:v>225.69068295689493</c:v>
                </c:pt>
                <c:pt idx="15">
                  <c:v>216.36343565330213</c:v>
                </c:pt>
                <c:pt idx="16">
                  <c:v>218.73052214402202</c:v>
                </c:pt>
                <c:pt idx="17">
                  <c:v>215.70307168779604</c:v>
                </c:pt>
                <c:pt idx="18">
                  <c:v>217.49952012070881</c:v>
                </c:pt>
                <c:pt idx="19">
                  <c:v>210.46753944010251</c:v>
                </c:pt>
                <c:pt idx="20">
                  <c:v>215.99423120727624</c:v>
                </c:pt>
                <c:pt idx="21">
                  <c:v>218.16625088014848</c:v>
                </c:pt>
                <c:pt idx="22">
                  <c:v>214.70106714481659</c:v>
                </c:pt>
                <c:pt idx="23">
                  <c:v>211.53322535436396</c:v>
                </c:pt>
                <c:pt idx="24">
                  <c:v>220.65631108898512</c:v>
                </c:pt>
                <c:pt idx="25">
                  <c:v>216.93769347019835</c:v>
                </c:pt>
                <c:pt idx="26">
                  <c:v>210.10619810379472</c:v>
                </c:pt>
                <c:pt idx="27">
                  <c:v>205.34046130205832</c:v>
                </c:pt>
                <c:pt idx="28">
                  <c:v>197.29502700288435</c:v>
                </c:pt>
                <c:pt idx="29">
                  <c:v>193.71819893225714</c:v>
                </c:pt>
                <c:pt idx="30">
                  <c:v>200.85883259515532</c:v>
                </c:pt>
                <c:pt idx="31">
                  <c:v>202.71483862107777</c:v>
                </c:pt>
                <c:pt idx="32">
                  <c:v>200.52915130949066</c:v>
                </c:pt>
                <c:pt idx="33">
                  <c:v>201.51074297241462</c:v>
                </c:pt>
                <c:pt idx="34">
                  <c:v>203.07559871785773</c:v>
                </c:pt>
                <c:pt idx="35">
                  <c:v>201.64322442633838</c:v>
                </c:pt>
                <c:pt idx="36">
                  <c:v>207.50991356060703</c:v>
                </c:pt>
                <c:pt idx="37">
                  <c:v>202.27857518798675</c:v>
                </c:pt>
                <c:pt idx="38">
                  <c:v>196.30988051269213</c:v>
                </c:pt>
                <c:pt idx="39">
                  <c:v>191.85376852817731</c:v>
                </c:pt>
                <c:pt idx="40">
                  <c:v>192.66866024066877</c:v>
                </c:pt>
                <c:pt idx="41">
                  <c:v>190.39619941986859</c:v>
                </c:pt>
                <c:pt idx="42">
                  <c:v>184.87215536859327</c:v>
                </c:pt>
                <c:pt idx="43">
                  <c:v>185.06234236090089</c:v>
                </c:pt>
                <c:pt idx="44">
                  <c:v>177.74268645476496</c:v>
                </c:pt>
                <c:pt idx="45">
                  <c:v>181.80573259595812</c:v>
                </c:pt>
                <c:pt idx="46">
                  <c:v>177.74319544444558</c:v>
                </c:pt>
                <c:pt idx="47">
                  <c:v>178.25538917643379</c:v>
                </c:pt>
                <c:pt idx="48">
                  <c:v>172.87596621200854</c:v>
                </c:pt>
                <c:pt idx="49">
                  <c:v>174.97846435843252</c:v>
                </c:pt>
                <c:pt idx="50">
                  <c:v>171.47898700944253</c:v>
                </c:pt>
                <c:pt idx="51">
                  <c:v>166.62316383993473</c:v>
                </c:pt>
                <c:pt idx="52">
                  <c:v>167.79670129492334</c:v>
                </c:pt>
                <c:pt idx="53">
                  <c:v>169.96772425464883</c:v>
                </c:pt>
                <c:pt idx="54">
                  <c:v>164.81049792238392</c:v>
                </c:pt>
                <c:pt idx="55">
                  <c:v>162.56425303814919</c:v>
                </c:pt>
                <c:pt idx="56">
                  <c:v>161.67174998801678</c:v>
                </c:pt>
                <c:pt idx="57">
                  <c:v>158.46884021955458</c:v>
                </c:pt>
                <c:pt idx="58">
                  <c:v>164.47565354204016</c:v>
                </c:pt>
                <c:pt idx="59">
                  <c:v>160.92375338314196</c:v>
                </c:pt>
                <c:pt idx="60">
                  <c:v>156.02003288005253</c:v>
                </c:pt>
                <c:pt idx="61">
                  <c:v>152.23832188174936</c:v>
                </c:pt>
                <c:pt idx="62">
                  <c:v>151.55827184550452</c:v>
                </c:pt>
                <c:pt idx="63">
                  <c:v>150.4966421467181</c:v>
                </c:pt>
                <c:pt idx="64">
                  <c:v>153.10128161587028</c:v>
                </c:pt>
                <c:pt idx="65">
                  <c:v>149.45414955560125</c:v>
                </c:pt>
                <c:pt idx="66">
                  <c:v>147.74204294452983</c:v>
                </c:pt>
                <c:pt idx="67">
                  <c:v>141.65492083653916</c:v>
                </c:pt>
                <c:pt idx="68">
                  <c:v>143.00681681530739</c:v>
                </c:pt>
                <c:pt idx="69">
                  <c:v>149.35927754618305</c:v>
                </c:pt>
                <c:pt idx="70">
                  <c:v>148.27978565407477</c:v>
                </c:pt>
                <c:pt idx="71">
                  <c:v>148.0697603817276</c:v>
                </c:pt>
                <c:pt idx="72">
                  <c:v>154.619565710541</c:v>
                </c:pt>
                <c:pt idx="73">
                  <c:v>157.32628186831775</c:v>
                </c:pt>
                <c:pt idx="74">
                  <c:v>158.26788248937231</c:v>
                </c:pt>
                <c:pt idx="75">
                  <c:v>156.02354790317017</c:v>
                </c:pt>
                <c:pt idx="76">
                  <c:v>150.02958331722186</c:v>
                </c:pt>
                <c:pt idx="77">
                  <c:v>146.21815148132183</c:v>
                </c:pt>
                <c:pt idx="78">
                  <c:v>145.18759775342244</c:v>
                </c:pt>
                <c:pt idx="79">
                  <c:v>142.59555739849498</c:v>
                </c:pt>
                <c:pt idx="80">
                  <c:v>140.07489681350262</c:v>
                </c:pt>
                <c:pt idx="81">
                  <c:v>146.51310478964476</c:v>
                </c:pt>
                <c:pt idx="82">
                  <c:v>145.95145409385185</c:v>
                </c:pt>
                <c:pt idx="83">
                  <c:v>142.40064226393892</c:v>
                </c:pt>
                <c:pt idx="84">
                  <c:v>145.0458417792789</c:v>
                </c:pt>
                <c:pt idx="85">
                  <c:v>144.56867164629514</c:v>
                </c:pt>
                <c:pt idx="86">
                  <c:v>140.64087692403785</c:v>
                </c:pt>
                <c:pt idx="87">
                  <c:v>137.64080243865439</c:v>
                </c:pt>
                <c:pt idx="88">
                  <c:v>132.40649621268565</c:v>
                </c:pt>
                <c:pt idx="89">
                  <c:v>132.81898383957923</c:v>
                </c:pt>
                <c:pt idx="90">
                  <c:v>133.03029917979188</c:v>
                </c:pt>
                <c:pt idx="91">
                  <c:v>131.8252201823272</c:v>
                </c:pt>
                <c:pt idx="92">
                  <c:v>134.8133663700292</c:v>
                </c:pt>
                <c:pt idx="93">
                  <c:v>131.59200828119825</c:v>
                </c:pt>
                <c:pt idx="94">
                  <c:v>135.58627864488653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CD41-094C-BCDC-8807F586F36B}"/>
            </c:ext>
          </c:extLst>
        </c:ser>
        <c:ser>
          <c:idx val="91"/>
          <c:order val="91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frozen'!$E$93:$CU$93</c:f>
              <c:numCache>
                <c:formatCode>General</c:formatCode>
                <c:ptCount val="95"/>
                <c:pt idx="0">
                  <c:v>222.13</c:v>
                </c:pt>
                <c:pt idx="1">
                  <c:v>221.48060821414444</c:v>
                </c:pt>
                <c:pt idx="2">
                  <c:v>224.93341777017031</c:v>
                </c:pt>
                <c:pt idx="3">
                  <c:v>222.69710547151792</c:v>
                </c:pt>
                <c:pt idx="4">
                  <c:v>216.15617383237114</c:v>
                </c:pt>
                <c:pt idx="5">
                  <c:v>214.59464637951527</c:v>
                </c:pt>
                <c:pt idx="6">
                  <c:v>210.56911503614489</c:v>
                </c:pt>
                <c:pt idx="7">
                  <c:v>205.7100590750627</c:v>
                </c:pt>
                <c:pt idx="8">
                  <c:v>198.97234102757108</c:v>
                </c:pt>
                <c:pt idx="9">
                  <c:v>190.53841727166881</c:v>
                </c:pt>
                <c:pt idx="10">
                  <c:v>188.07005083197689</c:v>
                </c:pt>
                <c:pt idx="11">
                  <c:v>183.66099582770724</c:v>
                </c:pt>
                <c:pt idx="12">
                  <c:v>183.5960556970326</c:v>
                </c:pt>
                <c:pt idx="13">
                  <c:v>185.41826767153006</c:v>
                </c:pt>
                <c:pt idx="14">
                  <c:v>185.52398233187742</c:v>
                </c:pt>
                <c:pt idx="15">
                  <c:v>187.92383121513907</c:v>
                </c:pt>
                <c:pt idx="16">
                  <c:v>192.53339717940054</c:v>
                </c:pt>
                <c:pt idx="17">
                  <c:v>193.76819168834692</c:v>
                </c:pt>
                <c:pt idx="18">
                  <c:v>195.00461985855347</c:v>
                </c:pt>
                <c:pt idx="19">
                  <c:v>190.59889366876584</c:v>
                </c:pt>
                <c:pt idx="20">
                  <c:v>177.45842894085959</c:v>
                </c:pt>
                <c:pt idx="21">
                  <c:v>178.63840715814368</c:v>
                </c:pt>
                <c:pt idx="22">
                  <c:v>174.61225442000875</c:v>
                </c:pt>
                <c:pt idx="23">
                  <c:v>178.74697149415994</c:v>
                </c:pt>
                <c:pt idx="24">
                  <c:v>177.959893124546</c:v>
                </c:pt>
                <c:pt idx="25">
                  <c:v>174.9365107267366</c:v>
                </c:pt>
                <c:pt idx="26">
                  <c:v>175.26716180693231</c:v>
                </c:pt>
                <c:pt idx="27">
                  <c:v>170.18268578223427</c:v>
                </c:pt>
                <c:pt idx="28">
                  <c:v>168.88746810116828</c:v>
                </c:pt>
                <c:pt idx="29">
                  <c:v>171.62912789427924</c:v>
                </c:pt>
                <c:pt idx="30">
                  <c:v>165.64262245896845</c:v>
                </c:pt>
                <c:pt idx="31">
                  <c:v>166.96945898794849</c:v>
                </c:pt>
                <c:pt idx="32">
                  <c:v>163.68477643668953</c:v>
                </c:pt>
                <c:pt idx="33">
                  <c:v>162.62171084308596</c:v>
                </c:pt>
                <c:pt idx="34">
                  <c:v>165.12170821977392</c:v>
                </c:pt>
                <c:pt idx="35">
                  <c:v>164.66399781170296</c:v>
                </c:pt>
                <c:pt idx="36">
                  <c:v>171.64504217010017</c:v>
                </c:pt>
                <c:pt idx="37">
                  <c:v>171.80145545469432</c:v>
                </c:pt>
                <c:pt idx="38">
                  <c:v>169.89677026706266</c:v>
                </c:pt>
                <c:pt idx="39">
                  <c:v>171.77811014030701</c:v>
                </c:pt>
                <c:pt idx="40">
                  <c:v>172.66306455338207</c:v>
                </c:pt>
                <c:pt idx="41">
                  <c:v>170.2384096586222</c:v>
                </c:pt>
                <c:pt idx="42">
                  <c:v>173.06565815471956</c:v>
                </c:pt>
                <c:pt idx="43">
                  <c:v>173.61016682059397</c:v>
                </c:pt>
                <c:pt idx="44">
                  <c:v>175.77617557351647</c:v>
                </c:pt>
                <c:pt idx="45">
                  <c:v>167.43540368349733</c:v>
                </c:pt>
                <c:pt idx="46">
                  <c:v>165.88814437862632</c:v>
                </c:pt>
                <c:pt idx="47">
                  <c:v>167.44598282009738</c:v>
                </c:pt>
                <c:pt idx="48">
                  <c:v>168.37545462447486</c:v>
                </c:pt>
                <c:pt idx="49">
                  <c:v>170.30181559051343</c:v>
                </c:pt>
                <c:pt idx="50">
                  <c:v>169.47441726266663</c:v>
                </c:pt>
                <c:pt idx="51">
                  <c:v>164.19058367519912</c:v>
                </c:pt>
                <c:pt idx="52">
                  <c:v>168.02925426421004</c:v>
                </c:pt>
                <c:pt idx="53">
                  <c:v>162.69977750590078</c:v>
                </c:pt>
                <c:pt idx="54">
                  <c:v>163.91671747914049</c:v>
                </c:pt>
                <c:pt idx="55">
                  <c:v>167.32118941858636</c:v>
                </c:pt>
                <c:pt idx="56">
                  <c:v>166.72369475557002</c:v>
                </c:pt>
                <c:pt idx="57">
                  <c:v>165.73417702816886</c:v>
                </c:pt>
                <c:pt idx="58">
                  <c:v>171.76157497626195</c:v>
                </c:pt>
                <c:pt idx="59">
                  <c:v>169.63892062218076</c:v>
                </c:pt>
                <c:pt idx="60">
                  <c:v>168.55272528829391</c:v>
                </c:pt>
                <c:pt idx="61">
                  <c:v>163.70699036631902</c:v>
                </c:pt>
                <c:pt idx="62">
                  <c:v>163.20258929097801</c:v>
                </c:pt>
                <c:pt idx="63">
                  <c:v>169.76219042064497</c:v>
                </c:pt>
                <c:pt idx="64">
                  <c:v>169.30870547118806</c:v>
                </c:pt>
                <c:pt idx="65">
                  <c:v>167.17568668716001</c:v>
                </c:pt>
                <c:pt idx="66">
                  <c:v>167.87709833045832</c:v>
                </c:pt>
                <c:pt idx="67">
                  <c:v>168.81095599691366</c:v>
                </c:pt>
                <c:pt idx="68">
                  <c:v>164.30837852722979</c:v>
                </c:pt>
                <c:pt idx="69">
                  <c:v>165.5674492036361</c:v>
                </c:pt>
                <c:pt idx="70">
                  <c:v>166.16925633673856</c:v>
                </c:pt>
                <c:pt idx="71">
                  <c:v>168.33200004688362</c:v>
                </c:pt>
                <c:pt idx="72">
                  <c:v>168.17409106871787</c:v>
                </c:pt>
                <c:pt idx="73">
                  <c:v>166.64524677014916</c:v>
                </c:pt>
                <c:pt idx="74">
                  <c:v>167.89930467731779</c:v>
                </c:pt>
                <c:pt idx="75">
                  <c:v>174.1702950963334</c:v>
                </c:pt>
                <c:pt idx="76">
                  <c:v>173.92440724850189</c:v>
                </c:pt>
                <c:pt idx="77">
                  <c:v>177.18219526121874</c:v>
                </c:pt>
                <c:pt idx="78">
                  <c:v>181.54779476580023</c:v>
                </c:pt>
                <c:pt idx="79">
                  <c:v>178.5500224018065</c:v>
                </c:pt>
                <c:pt idx="80">
                  <c:v>177.20557152258249</c:v>
                </c:pt>
                <c:pt idx="81">
                  <c:v>168.08241684073431</c:v>
                </c:pt>
                <c:pt idx="82">
                  <c:v>172.48995732545117</c:v>
                </c:pt>
                <c:pt idx="83">
                  <c:v>169.50434886003239</c:v>
                </c:pt>
                <c:pt idx="84">
                  <c:v>165.02021092070186</c:v>
                </c:pt>
                <c:pt idx="85">
                  <c:v>164.89665807842675</c:v>
                </c:pt>
                <c:pt idx="86">
                  <c:v>170.03242427646822</c:v>
                </c:pt>
                <c:pt idx="87">
                  <c:v>167.79984639193336</c:v>
                </c:pt>
                <c:pt idx="88">
                  <c:v>177.01801264814162</c:v>
                </c:pt>
                <c:pt idx="89">
                  <c:v>180.67891861157918</c:v>
                </c:pt>
                <c:pt idx="90">
                  <c:v>179.94061376890454</c:v>
                </c:pt>
                <c:pt idx="91">
                  <c:v>179.35877874498075</c:v>
                </c:pt>
                <c:pt idx="92">
                  <c:v>176.96047635975054</c:v>
                </c:pt>
                <c:pt idx="93">
                  <c:v>178.51656106992803</c:v>
                </c:pt>
                <c:pt idx="94">
                  <c:v>189.70310085568781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CD41-094C-BCDC-8807F586F36B}"/>
            </c:ext>
          </c:extLst>
        </c:ser>
        <c:ser>
          <c:idx val="92"/>
          <c:order val="92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frozen'!$E$94:$CU$94</c:f>
              <c:numCache>
                <c:formatCode>General</c:formatCode>
                <c:ptCount val="95"/>
                <c:pt idx="0">
                  <c:v>222.13</c:v>
                </c:pt>
                <c:pt idx="1">
                  <c:v>226.88856176038746</c:v>
                </c:pt>
                <c:pt idx="2">
                  <c:v>226.61479641289969</c:v>
                </c:pt>
                <c:pt idx="3">
                  <c:v>226.95599977136678</c:v>
                </c:pt>
                <c:pt idx="4">
                  <c:v>220.99074204089854</c:v>
                </c:pt>
                <c:pt idx="5">
                  <c:v>219.57597898168495</c:v>
                </c:pt>
                <c:pt idx="6">
                  <c:v>219.25054288076424</c:v>
                </c:pt>
                <c:pt idx="7">
                  <c:v>217.34398004775193</c:v>
                </c:pt>
                <c:pt idx="8">
                  <c:v>213.73330537325543</c:v>
                </c:pt>
                <c:pt idx="9">
                  <c:v>209.83056948649167</c:v>
                </c:pt>
                <c:pt idx="10">
                  <c:v>209.97023801177446</c:v>
                </c:pt>
                <c:pt idx="11">
                  <c:v>210.71889385182473</c:v>
                </c:pt>
                <c:pt idx="12">
                  <c:v>210.13606964980562</c:v>
                </c:pt>
                <c:pt idx="13">
                  <c:v>212.39132209471163</c:v>
                </c:pt>
                <c:pt idx="14">
                  <c:v>214.2492481655608</c:v>
                </c:pt>
                <c:pt idx="15">
                  <c:v>204.86042974458613</c:v>
                </c:pt>
                <c:pt idx="16">
                  <c:v>209.46101004243383</c:v>
                </c:pt>
                <c:pt idx="17">
                  <c:v>213.46399768161785</c:v>
                </c:pt>
                <c:pt idx="18">
                  <c:v>218.19373430267643</c:v>
                </c:pt>
                <c:pt idx="19">
                  <c:v>214.32227628788655</c:v>
                </c:pt>
                <c:pt idx="20">
                  <c:v>220.69747650505175</c:v>
                </c:pt>
                <c:pt idx="21">
                  <c:v>219.6465843830471</c:v>
                </c:pt>
                <c:pt idx="22">
                  <c:v>227.89586636178529</c:v>
                </c:pt>
                <c:pt idx="23">
                  <c:v>223.80229174891451</c:v>
                </c:pt>
                <c:pt idx="24">
                  <c:v>225.34656285038071</c:v>
                </c:pt>
                <c:pt idx="25">
                  <c:v>215.65319510674607</c:v>
                </c:pt>
                <c:pt idx="26">
                  <c:v>215.6672994634408</c:v>
                </c:pt>
                <c:pt idx="27">
                  <c:v>204.64094369460139</c:v>
                </c:pt>
                <c:pt idx="28">
                  <c:v>199.72926725173039</c:v>
                </c:pt>
                <c:pt idx="29">
                  <c:v>194.20299541918794</c:v>
                </c:pt>
                <c:pt idx="30">
                  <c:v>186.78857563528959</c:v>
                </c:pt>
                <c:pt idx="31">
                  <c:v>190.41917044893253</c:v>
                </c:pt>
                <c:pt idx="32">
                  <c:v>188.06267268405068</c:v>
                </c:pt>
                <c:pt idx="33">
                  <c:v>181.57054609241973</c:v>
                </c:pt>
                <c:pt idx="34">
                  <c:v>178.78358360507491</c:v>
                </c:pt>
                <c:pt idx="35">
                  <c:v>183.44200982456937</c:v>
                </c:pt>
                <c:pt idx="36">
                  <c:v>184.670506062405</c:v>
                </c:pt>
                <c:pt idx="37">
                  <c:v>174.73605887795478</c:v>
                </c:pt>
                <c:pt idx="38">
                  <c:v>172.37157672564564</c:v>
                </c:pt>
                <c:pt idx="39">
                  <c:v>168.85177115866213</c:v>
                </c:pt>
                <c:pt idx="40">
                  <c:v>171.54645640860662</c:v>
                </c:pt>
                <c:pt idx="41">
                  <c:v>170.07829653593402</c:v>
                </c:pt>
                <c:pt idx="42">
                  <c:v>173.60822978319356</c:v>
                </c:pt>
                <c:pt idx="43">
                  <c:v>177.3758659230048</c:v>
                </c:pt>
                <c:pt idx="44">
                  <c:v>176.62843759845279</c:v>
                </c:pt>
                <c:pt idx="45">
                  <c:v>179.50437886001731</c:v>
                </c:pt>
                <c:pt idx="46">
                  <c:v>178.27571897171134</c:v>
                </c:pt>
                <c:pt idx="47">
                  <c:v>180.85333084322312</c:v>
                </c:pt>
                <c:pt idx="48">
                  <c:v>173.74152643863704</c:v>
                </c:pt>
                <c:pt idx="49">
                  <c:v>174.72920205799136</c:v>
                </c:pt>
                <c:pt idx="50">
                  <c:v>183.48828125189169</c:v>
                </c:pt>
                <c:pt idx="51">
                  <c:v>183.92232352627641</c:v>
                </c:pt>
                <c:pt idx="52">
                  <c:v>184.57170645050329</c:v>
                </c:pt>
                <c:pt idx="53">
                  <c:v>187.25219684254128</c:v>
                </c:pt>
                <c:pt idx="54">
                  <c:v>190.25470375043233</c:v>
                </c:pt>
                <c:pt idx="55">
                  <c:v>190.09149018730696</c:v>
                </c:pt>
                <c:pt idx="56">
                  <c:v>190.92886574575462</c:v>
                </c:pt>
                <c:pt idx="57">
                  <c:v>198.68245600506407</c:v>
                </c:pt>
                <c:pt idx="58">
                  <c:v>195.19474942918112</c:v>
                </c:pt>
                <c:pt idx="59">
                  <c:v>203.58294698930419</c:v>
                </c:pt>
                <c:pt idx="60">
                  <c:v>205.99656584910349</c:v>
                </c:pt>
                <c:pt idx="61">
                  <c:v>213.97650316762619</c:v>
                </c:pt>
                <c:pt idx="62">
                  <c:v>204.94029551221749</c:v>
                </c:pt>
                <c:pt idx="63">
                  <c:v>205.46259721177873</c:v>
                </c:pt>
                <c:pt idx="64">
                  <c:v>204.05501505905443</c:v>
                </c:pt>
                <c:pt idx="65">
                  <c:v>198.65432676857023</c:v>
                </c:pt>
                <c:pt idx="66">
                  <c:v>197.59959204673387</c:v>
                </c:pt>
                <c:pt idx="67">
                  <c:v>190.09226487404629</c:v>
                </c:pt>
                <c:pt idx="68">
                  <c:v>185.86734378955344</c:v>
                </c:pt>
                <c:pt idx="69">
                  <c:v>188.02008570496469</c:v>
                </c:pt>
                <c:pt idx="70">
                  <c:v>195.05366995252606</c:v>
                </c:pt>
                <c:pt idx="71">
                  <c:v>198.87990713697002</c:v>
                </c:pt>
                <c:pt idx="72">
                  <c:v>204.06812791832945</c:v>
                </c:pt>
                <c:pt idx="73">
                  <c:v>206.19024674736579</c:v>
                </c:pt>
                <c:pt idx="74">
                  <c:v>209.30747930942053</c:v>
                </c:pt>
                <c:pt idx="75">
                  <c:v>214.43390654932981</c:v>
                </c:pt>
                <c:pt idx="76">
                  <c:v>216.7779139189546</c:v>
                </c:pt>
                <c:pt idx="77">
                  <c:v>218.82287392428228</c:v>
                </c:pt>
                <c:pt idx="78">
                  <c:v>210.94414435967767</c:v>
                </c:pt>
                <c:pt idx="79">
                  <c:v>212.55929394783149</c:v>
                </c:pt>
                <c:pt idx="80">
                  <c:v>218.46272588606664</c:v>
                </c:pt>
                <c:pt idx="81">
                  <c:v>229.28848017857393</c:v>
                </c:pt>
                <c:pt idx="82">
                  <c:v>231.03977338714643</c:v>
                </c:pt>
                <c:pt idx="83">
                  <c:v>229.10570677693039</c:v>
                </c:pt>
                <c:pt idx="84">
                  <c:v>229.63629134107765</c:v>
                </c:pt>
                <c:pt idx="85">
                  <c:v>229.69272940779931</c:v>
                </c:pt>
                <c:pt idx="86">
                  <c:v>230.8845671974278</c:v>
                </c:pt>
                <c:pt idx="87">
                  <c:v>237.27295367189603</c:v>
                </c:pt>
                <c:pt idx="88">
                  <c:v>231.07759844720746</c:v>
                </c:pt>
                <c:pt idx="89">
                  <c:v>234.8544911683517</c:v>
                </c:pt>
                <c:pt idx="90">
                  <c:v>235.46942651153603</c:v>
                </c:pt>
                <c:pt idx="91">
                  <c:v>228.74087336272771</c:v>
                </c:pt>
                <c:pt idx="92">
                  <c:v>229.25001109840488</c:v>
                </c:pt>
                <c:pt idx="93">
                  <c:v>227.13775733153636</c:v>
                </c:pt>
                <c:pt idx="94">
                  <c:v>222.17665739118974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CD41-094C-BCDC-8807F586F36B}"/>
            </c:ext>
          </c:extLst>
        </c:ser>
        <c:ser>
          <c:idx val="93"/>
          <c:order val="93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frozen'!$E$95:$CU$95</c:f>
              <c:numCache>
                <c:formatCode>General</c:formatCode>
                <c:ptCount val="95"/>
                <c:pt idx="0">
                  <c:v>222.13</c:v>
                </c:pt>
                <c:pt idx="1">
                  <c:v>223.58769311260937</c:v>
                </c:pt>
                <c:pt idx="2">
                  <c:v>230.25309702747757</c:v>
                </c:pt>
                <c:pt idx="3">
                  <c:v>228.39377442532202</c:v>
                </c:pt>
                <c:pt idx="4">
                  <c:v>227.41822900764251</c:v>
                </c:pt>
                <c:pt idx="5">
                  <c:v>221.32272995603395</c:v>
                </c:pt>
                <c:pt idx="6">
                  <c:v>223.6861248582693</c:v>
                </c:pt>
                <c:pt idx="7">
                  <c:v>222.94248242282754</c:v>
                </c:pt>
                <c:pt idx="8">
                  <c:v>220.59490040073314</c:v>
                </c:pt>
                <c:pt idx="9">
                  <c:v>231.65102493518674</c:v>
                </c:pt>
                <c:pt idx="10">
                  <c:v>230.17158637073686</c:v>
                </c:pt>
                <c:pt idx="11">
                  <c:v>225.03704362023714</c:v>
                </c:pt>
                <c:pt idx="12">
                  <c:v>225.14724790929597</c:v>
                </c:pt>
                <c:pt idx="13">
                  <c:v>216.18049806888143</c:v>
                </c:pt>
                <c:pt idx="14">
                  <c:v>209.44138350126101</c:v>
                </c:pt>
                <c:pt idx="15">
                  <c:v>208.85857728341583</c:v>
                </c:pt>
                <c:pt idx="16">
                  <c:v>204.30786486866654</c:v>
                </c:pt>
                <c:pt idx="17">
                  <c:v>209.85687953700167</c:v>
                </c:pt>
                <c:pt idx="18">
                  <c:v>213.93268479405677</c:v>
                </c:pt>
                <c:pt idx="19">
                  <c:v>213.90804675918938</c:v>
                </c:pt>
                <c:pt idx="20">
                  <c:v>209.74321251377876</c:v>
                </c:pt>
                <c:pt idx="21">
                  <c:v>213.99300582846675</c:v>
                </c:pt>
                <c:pt idx="22">
                  <c:v>214.03157789752387</c:v>
                </c:pt>
                <c:pt idx="23">
                  <c:v>217.42461832651827</c:v>
                </c:pt>
                <c:pt idx="24">
                  <c:v>218.75489777251983</c:v>
                </c:pt>
                <c:pt idx="25">
                  <c:v>220.87006081421316</c:v>
                </c:pt>
                <c:pt idx="26">
                  <c:v>223.90142680662873</c:v>
                </c:pt>
                <c:pt idx="27">
                  <c:v>225.85794470870971</c:v>
                </c:pt>
                <c:pt idx="28">
                  <c:v>216.88117801838635</c:v>
                </c:pt>
                <c:pt idx="29">
                  <c:v>200.7069013566086</c:v>
                </c:pt>
                <c:pt idx="30">
                  <c:v>202.95888729811449</c:v>
                </c:pt>
                <c:pt idx="31">
                  <c:v>200.71755247887884</c:v>
                </c:pt>
                <c:pt idx="32">
                  <c:v>202.17564228255392</c:v>
                </c:pt>
                <c:pt idx="33">
                  <c:v>195.47800359620288</c:v>
                </c:pt>
                <c:pt idx="34">
                  <c:v>192.72715690556001</c:v>
                </c:pt>
                <c:pt idx="35">
                  <c:v>191.65561056514358</c:v>
                </c:pt>
                <c:pt idx="36">
                  <c:v>186.52683135910746</c:v>
                </c:pt>
                <c:pt idx="37">
                  <c:v>181.17587987057607</c:v>
                </c:pt>
                <c:pt idx="38">
                  <c:v>189.51385225166692</c:v>
                </c:pt>
                <c:pt idx="39">
                  <c:v>190.31175377070457</c:v>
                </c:pt>
                <c:pt idx="40">
                  <c:v>187.13659159514322</c:v>
                </c:pt>
                <c:pt idx="41">
                  <c:v>189.02777990353957</c:v>
                </c:pt>
                <c:pt idx="42">
                  <c:v>192.6002187010333</c:v>
                </c:pt>
                <c:pt idx="43">
                  <c:v>192.72692478230235</c:v>
                </c:pt>
                <c:pt idx="44">
                  <c:v>189.31330855770264</c:v>
                </c:pt>
                <c:pt idx="45">
                  <c:v>192.43089029666544</c:v>
                </c:pt>
                <c:pt idx="46">
                  <c:v>192.31206100622859</c:v>
                </c:pt>
                <c:pt idx="47">
                  <c:v>190.32660301574555</c:v>
                </c:pt>
                <c:pt idx="48">
                  <c:v>193.57801709619764</c:v>
                </c:pt>
                <c:pt idx="49">
                  <c:v>199.20616212239361</c:v>
                </c:pt>
                <c:pt idx="50">
                  <c:v>188.89193509660402</c:v>
                </c:pt>
                <c:pt idx="51">
                  <c:v>182.25293718780145</c:v>
                </c:pt>
                <c:pt idx="52">
                  <c:v>182.06583847347832</c:v>
                </c:pt>
                <c:pt idx="53">
                  <c:v>184.35382080265703</c:v>
                </c:pt>
                <c:pt idx="54">
                  <c:v>187.25868771540496</c:v>
                </c:pt>
                <c:pt idx="55">
                  <c:v>191.39311740364641</c:v>
                </c:pt>
                <c:pt idx="56">
                  <c:v>191.44177305068163</c:v>
                </c:pt>
                <c:pt idx="57">
                  <c:v>195.22780381923664</c:v>
                </c:pt>
                <c:pt idx="58">
                  <c:v>202.54009028636486</c:v>
                </c:pt>
                <c:pt idx="59">
                  <c:v>198.02918824768204</c:v>
                </c:pt>
                <c:pt idx="60">
                  <c:v>191.20980756060851</c:v>
                </c:pt>
                <c:pt idx="61">
                  <c:v>191.12672576443188</c:v>
                </c:pt>
                <c:pt idx="62">
                  <c:v>187.79590384861589</c:v>
                </c:pt>
                <c:pt idx="63">
                  <c:v>192.95512228877882</c:v>
                </c:pt>
                <c:pt idx="64">
                  <c:v>194.1844535839281</c:v>
                </c:pt>
                <c:pt idx="65">
                  <c:v>195.38694956261267</c:v>
                </c:pt>
                <c:pt idx="66">
                  <c:v>194.30758764336073</c:v>
                </c:pt>
                <c:pt idx="67">
                  <c:v>187.71037826151505</c:v>
                </c:pt>
                <c:pt idx="68">
                  <c:v>191.71780838647049</c:v>
                </c:pt>
                <c:pt idx="69">
                  <c:v>188.39983892504731</c:v>
                </c:pt>
                <c:pt idx="70">
                  <c:v>187.4191852383542</c:v>
                </c:pt>
                <c:pt idx="71">
                  <c:v>192.09821086685551</c:v>
                </c:pt>
                <c:pt idx="72">
                  <c:v>192.06279057243444</c:v>
                </c:pt>
                <c:pt idx="73">
                  <c:v>192.00936636778408</c:v>
                </c:pt>
                <c:pt idx="74">
                  <c:v>194.338672890749</c:v>
                </c:pt>
                <c:pt idx="75">
                  <c:v>190.63558308382133</c:v>
                </c:pt>
                <c:pt idx="76">
                  <c:v>190.67777826675527</c:v>
                </c:pt>
                <c:pt idx="77">
                  <c:v>187.32909866288153</c:v>
                </c:pt>
                <c:pt idx="78">
                  <c:v>187.52259152824891</c:v>
                </c:pt>
                <c:pt idx="79">
                  <c:v>185.86880353234898</c:v>
                </c:pt>
                <c:pt idx="80">
                  <c:v>182.36214211632864</c:v>
                </c:pt>
                <c:pt idx="81">
                  <c:v>179.26914367049329</c:v>
                </c:pt>
                <c:pt idx="82">
                  <c:v>173.59902811351395</c:v>
                </c:pt>
                <c:pt idx="83">
                  <c:v>172.5189292721011</c:v>
                </c:pt>
                <c:pt idx="84">
                  <c:v>172.02520834225319</c:v>
                </c:pt>
                <c:pt idx="85">
                  <c:v>166.53344126265443</c:v>
                </c:pt>
                <c:pt idx="86">
                  <c:v>166.39814977891569</c:v>
                </c:pt>
                <c:pt idx="87">
                  <c:v>165.61865470645947</c:v>
                </c:pt>
                <c:pt idx="88">
                  <c:v>166.3883584395478</c:v>
                </c:pt>
                <c:pt idx="89">
                  <c:v>162.58742342636214</c:v>
                </c:pt>
                <c:pt idx="90">
                  <c:v>159.14541199357939</c:v>
                </c:pt>
                <c:pt idx="91">
                  <c:v>156.18035548499444</c:v>
                </c:pt>
                <c:pt idx="92">
                  <c:v>151.61533252585659</c:v>
                </c:pt>
                <c:pt idx="93">
                  <c:v>154.53128834430223</c:v>
                </c:pt>
                <c:pt idx="94">
                  <c:v>157.13871812395362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CD41-094C-BCDC-8807F586F36B}"/>
            </c:ext>
          </c:extLst>
        </c:ser>
        <c:ser>
          <c:idx val="94"/>
          <c:order val="94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frozen'!$E$96:$CU$96</c:f>
              <c:numCache>
                <c:formatCode>General</c:formatCode>
                <c:ptCount val="95"/>
                <c:pt idx="0">
                  <c:v>222.13</c:v>
                </c:pt>
                <c:pt idx="1">
                  <c:v>232.2804966479506</c:v>
                </c:pt>
                <c:pt idx="2">
                  <c:v>231.44065954749752</c:v>
                </c:pt>
                <c:pt idx="3">
                  <c:v>229.65359298483378</c:v>
                </c:pt>
                <c:pt idx="4">
                  <c:v>225.40710655856458</c:v>
                </c:pt>
                <c:pt idx="5">
                  <c:v>225.21820017366073</c:v>
                </c:pt>
                <c:pt idx="6">
                  <c:v>230.63436362122064</c:v>
                </c:pt>
                <c:pt idx="7">
                  <c:v>233.1686500047357</c:v>
                </c:pt>
                <c:pt idx="8">
                  <c:v>230.48479473939841</c:v>
                </c:pt>
                <c:pt idx="9">
                  <c:v>231.91694312292137</c:v>
                </c:pt>
                <c:pt idx="10">
                  <c:v>238.39490372940773</c:v>
                </c:pt>
                <c:pt idx="11">
                  <c:v>231.86275593979212</c:v>
                </c:pt>
                <c:pt idx="12">
                  <c:v>223.70171950281937</c:v>
                </c:pt>
                <c:pt idx="13">
                  <c:v>219.26168063479341</c:v>
                </c:pt>
                <c:pt idx="14">
                  <c:v>229.88832731841143</c:v>
                </c:pt>
                <c:pt idx="15">
                  <c:v>232.85713820066579</c:v>
                </c:pt>
                <c:pt idx="16">
                  <c:v>235.21288592671772</c:v>
                </c:pt>
                <c:pt idx="17">
                  <c:v>240.92446358002474</c:v>
                </c:pt>
                <c:pt idx="18">
                  <c:v>236.08335175854228</c:v>
                </c:pt>
                <c:pt idx="19">
                  <c:v>237.25514273528259</c:v>
                </c:pt>
                <c:pt idx="20">
                  <c:v>243.88307299988998</c:v>
                </c:pt>
                <c:pt idx="21">
                  <c:v>247.99386605436885</c:v>
                </c:pt>
                <c:pt idx="22">
                  <c:v>260.81929626598253</c:v>
                </c:pt>
                <c:pt idx="23">
                  <c:v>261.58082270672503</c:v>
                </c:pt>
                <c:pt idx="24">
                  <c:v>269.42357081401826</c:v>
                </c:pt>
                <c:pt idx="25">
                  <c:v>264.06585271545617</c:v>
                </c:pt>
                <c:pt idx="26">
                  <c:v>266.7704032897451</c:v>
                </c:pt>
                <c:pt idx="27">
                  <c:v>261.24378628893999</c:v>
                </c:pt>
                <c:pt idx="28">
                  <c:v>258.93302295143923</c:v>
                </c:pt>
                <c:pt idx="29">
                  <c:v>246.94347687894165</c:v>
                </c:pt>
                <c:pt idx="30">
                  <c:v>251.34323832561074</c:v>
                </c:pt>
                <c:pt idx="31">
                  <c:v>255.43029771216328</c:v>
                </c:pt>
                <c:pt idx="32">
                  <c:v>254.0671558943051</c:v>
                </c:pt>
                <c:pt idx="33">
                  <c:v>257.30362825361851</c:v>
                </c:pt>
                <c:pt idx="34">
                  <c:v>265.25683667424096</c:v>
                </c:pt>
                <c:pt idx="35">
                  <c:v>267.22990971543175</c:v>
                </c:pt>
                <c:pt idx="36">
                  <c:v>263.77926104612709</c:v>
                </c:pt>
                <c:pt idx="37">
                  <c:v>262.42552283801137</c:v>
                </c:pt>
                <c:pt idx="38">
                  <c:v>265.52609834479614</c:v>
                </c:pt>
                <c:pt idx="39">
                  <c:v>257.27241774954962</c:v>
                </c:pt>
                <c:pt idx="40">
                  <c:v>257.96455471710357</c:v>
                </c:pt>
                <c:pt idx="41">
                  <c:v>258.26967372741473</c:v>
                </c:pt>
                <c:pt idx="42">
                  <c:v>251.13152206963431</c:v>
                </c:pt>
                <c:pt idx="43">
                  <c:v>252.31048570469056</c:v>
                </c:pt>
                <c:pt idx="44">
                  <c:v>258.71577827647889</c:v>
                </c:pt>
                <c:pt idx="45">
                  <c:v>266.26469233823559</c:v>
                </c:pt>
                <c:pt idx="46">
                  <c:v>259.1092028439727</c:v>
                </c:pt>
                <c:pt idx="47">
                  <c:v>257.21388383633575</c:v>
                </c:pt>
                <c:pt idx="48">
                  <c:v>243.22403720785522</c:v>
                </c:pt>
                <c:pt idx="49">
                  <c:v>243.60120668749903</c:v>
                </c:pt>
                <c:pt idx="50">
                  <c:v>245.04963914505842</c:v>
                </c:pt>
                <c:pt idx="51">
                  <c:v>240.96259033972419</c:v>
                </c:pt>
                <c:pt idx="52">
                  <c:v>237.97067713119881</c:v>
                </c:pt>
                <c:pt idx="53">
                  <c:v>228.22673353369564</c:v>
                </c:pt>
                <c:pt idx="54">
                  <c:v>224.13454344159527</c:v>
                </c:pt>
                <c:pt idx="55">
                  <c:v>223.70715944090563</c:v>
                </c:pt>
                <c:pt idx="56">
                  <c:v>226.44949418805285</c:v>
                </c:pt>
                <c:pt idx="57">
                  <c:v>226.20598693707228</c:v>
                </c:pt>
                <c:pt idx="58">
                  <c:v>229.03402251095412</c:v>
                </c:pt>
                <c:pt idx="59">
                  <c:v>234.53794767613223</c:v>
                </c:pt>
                <c:pt idx="60">
                  <c:v>232.4222327628392</c:v>
                </c:pt>
                <c:pt idx="61">
                  <c:v>235.97440190461984</c:v>
                </c:pt>
                <c:pt idx="62">
                  <c:v>240.61267037283523</c:v>
                </c:pt>
                <c:pt idx="63">
                  <c:v>245.9098228821972</c:v>
                </c:pt>
                <c:pt idx="64">
                  <c:v>239.55200541739705</c:v>
                </c:pt>
                <c:pt idx="65">
                  <c:v>240.58543161782961</c:v>
                </c:pt>
                <c:pt idx="66">
                  <c:v>248.0556625560354</c:v>
                </c:pt>
                <c:pt idx="67">
                  <c:v>251.96576391935852</c:v>
                </c:pt>
                <c:pt idx="68">
                  <c:v>235.86697445712323</c:v>
                </c:pt>
                <c:pt idx="69">
                  <c:v>228.98576631359751</c:v>
                </c:pt>
                <c:pt idx="70">
                  <c:v>231.68086538492292</c:v>
                </c:pt>
                <c:pt idx="71">
                  <c:v>226.69225606189667</c:v>
                </c:pt>
                <c:pt idx="72">
                  <c:v>227.50787955467584</c:v>
                </c:pt>
                <c:pt idx="73">
                  <c:v>229.37006218440715</c:v>
                </c:pt>
                <c:pt idx="74">
                  <c:v>242.49799036248865</c:v>
                </c:pt>
                <c:pt idx="75">
                  <c:v>249.03100121399618</c:v>
                </c:pt>
                <c:pt idx="76">
                  <c:v>250.44953558793009</c:v>
                </c:pt>
                <c:pt idx="77">
                  <c:v>251.59221207510396</c:v>
                </c:pt>
                <c:pt idx="78">
                  <c:v>249.67927872827124</c:v>
                </c:pt>
                <c:pt idx="79">
                  <c:v>249.10086533615197</c:v>
                </c:pt>
                <c:pt idx="80">
                  <c:v>244.06264624702058</c:v>
                </c:pt>
                <c:pt idx="81">
                  <c:v>248.06569097278387</c:v>
                </c:pt>
                <c:pt idx="82">
                  <c:v>257.13881304493037</c:v>
                </c:pt>
                <c:pt idx="83">
                  <c:v>249.77080530189102</c:v>
                </c:pt>
                <c:pt idx="84">
                  <c:v>245.86361711824077</c:v>
                </c:pt>
                <c:pt idx="85">
                  <c:v>247.9372156512668</c:v>
                </c:pt>
                <c:pt idx="86">
                  <c:v>236.83501768786689</c:v>
                </c:pt>
                <c:pt idx="87">
                  <c:v>237.32574457689381</c:v>
                </c:pt>
                <c:pt idx="88">
                  <c:v>236.92044431138399</c:v>
                </c:pt>
                <c:pt idx="89">
                  <c:v>245.38519576615161</c:v>
                </c:pt>
                <c:pt idx="90">
                  <c:v>245.28806603949212</c:v>
                </c:pt>
                <c:pt idx="91">
                  <c:v>239.67511557586212</c:v>
                </c:pt>
                <c:pt idx="92">
                  <c:v>248.76338289826575</c:v>
                </c:pt>
                <c:pt idx="93">
                  <c:v>247.17468239376288</c:v>
                </c:pt>
                <c:pt idx="94">
                  <c:v>243.22438851844257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CD41-094C-BCDC-8807F586F36B}"/>
            </c:ext>
          </c:extLst>
        </c:ser>
        <c:ser>
          <c:idx val="95"/>
          <c:order val="95"/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frozen'!$E$97:$CU$97</c:f>
              <c:numCache>
                <c:formatCode>General</c:formatCode>
                <c:ptCount val="95"/>
                <c:pt idx="0">
                  <c:v>222.13</c:v>
                </c:pt>
                <c:pt idx="1">
                  <c:v>224.03408227092015</c:v>
                </c:pt>
                <c:pt idx="2">
                  <c:v>222.02714238986246</c:v>
                </c:pt>
                <c:pt idx="3">
                  <c:v>223.24362508505365</c:v>
                </c:pt>
                <c:pt idx="4">
                  <c:v>221.69457423316686</c:v>
                </c:pt>
                <c:pt idx="5">
                  <c:v>225.97323698383877</c:v>
                </c:pt>
                <c:pt idx="6">
                  <c:v>223.66751556986017</c:v>
                </c:pt>
                <c:pt idx="7">
                  <c:v>218.62712969538154</c:v>
                </c:pt>
                <c:pt idx="8">
                  <c:v>216.06635167327158</c:v>
                </c:pt>
                <c:pt idx="9">
                  <c:v>210.9159970014297</c:v>
                </c:pt>
                <c:pt idx="10">
                  <c:v>204.74971098959423</c:v>
                </c:pt>
                <c:pt idx="11">
                  <c:v>208.00200474031823</c:v>
                </c:pt>
                <c:pt idx="12">
                  <c:v>211.49243629308324</c:v>
                </c:pt>
                <c:pt idx="13">
                  <c:v>204.07152443917039</c:v>
                </c:pt>
                <c:pt idx="14">
                  <c:v>205.7624740801912</c:v>
                </c:pt>
                <c:pt idx="15">
                  <c:v>216.68753171521513</c:v>
                </c:pt>
                <c:pt idx="16">
                  <c:v>215.36309374560463</c:v>
                </c:pt>
                <c:pt idx="17">
                  <c:v>214.63103221230486</c:v>
                </c:pt>
                <c:pt idx="18">
                  <c:v>206.85944036609274</c:v>
                </c:pt>
                <c:pt idx="19">
                  <c:v>212.72011548511003</c:v>
                </c:pt>
                <c:pt idx="20">
                  <c:v>213.48442192359175</c:v>
                </c:pt>
                <c:pt idx="21">
                  <c:v>214.38654524661496</c:v>
                </c:pt>
                <c:pt idx="22">
                  <c:v>211.35424510084337</c:v>
                </c:pt>
                <c:pt idx="23">
                  <c:v>210.281232424232</c:v>
                </c:pt>
                <c:pt idx="24">
                  <c:v>210.67456627363609</c:v>
                </c:pt>
                <c:pt idx="25">
                  <c:v>215.61425817034345</c:v>
                </c:pt>
                <c:pt idx="26">
                  <c:v>212.0322150059045</c:v>
                </c:pt>
                <c:pt idx="27">
                  <c:v>209.71828961795188</c:v>
                </c:pt>
                <c:pt idx="28">
                  <c:v>212.21809991967029</c:v>
                </c:pt>
                <c:pt idx="29">
                  <c:v>218.66601092761391</c:v>
                </c:pt>
                <c:pt idx="30">
                  <c:v>224.06588900897037</c:v>
                </c:pt>
                <c:pt idx="31">
                  <c:v>223.5288126441468</c:v>
                </c:pt>
                <c:pt idx="32">
                  <c:v>219.39453581966509</c:v>
                </c:pt>
                <c:pt idx="33">
                  <c:v>222.34467646613982</c:v>
                </c:pt>
                <c:pt idx="34">
                  <c:v>219.02089023645104</c:v>
                </c:pt>
                <c:pt idx="35">
                  <c:v>224.36315307219635</c:v>
                </c:pt>
                <c:pt idx="36">
                  <c:v>225.17313606504956</c:v>
                </c:pt>
                <c:pt idx="37">
                  <c:v>221.08967894069377</c:v>
                </c:pt>
                <c:pt idx="38">
                  <c:v>220.62152114188402</c:v>
                </c:pt>
                <c:pt idx="39">
                  <c:v>234.06755598936118</c:v>
                </c:pt>
                <c:pt idx="40">
                  <c:v>242.11011214763516</c:v>
                </c:pt>
                <c:pt idx="41">
                  <c:v>237.72380835779259</c:v>
                </c:pt>
                <c:pt idx="42">
                  <c:v>246.70400730861212</c:v>
                </c:pt>
                <c:pt idx="43">
                  <c:v>245.89899772403433</c:v>
                </c:pt>
                <c:pt idx="44">
                  <c:v>249.5624914884404</c:v>
                </c:pt>
                <c:pt idx="45">
                  <c:v>251.39844263721469</c:v>
                </c:pt>
                <c:pt idx="46">
                  <c:v>252.6847972192314</c:v>
                </c:pt>
                <c:pt idx="47">
                  <c:v>262.21713901996645</c:v>
                </c:pt>
                <c:pt idx="48">
                  <c:v>274.24015238048116</c:v>
                </c:pt>
                <c:pt idx="49">
                  <c:v>267.87066727373758</c:v>
                </c:pt>
                <c:pt idx="50">
                  <c:v>265.38310102839523</c:v>
                </c:pt>
                <c:pt idx="51">
                  <c:v>273.18730573633064</c:v>
                </c:pt>
                <c:pt idx="52">
                  <c:v>272.08724181945081</c:v>
                </c:pt>
                <c:pt idx="53">
                  <c:v>262.7795544607186</c:v>
                </c:pt>
                <c:pt idx="54">
                  <c:v>263.5415931880986</c:v>
                </c:pt>
                <c:pt idx="55">
                  <c:v>250.90624708260205</c:v>
                </c:pt>
                <c:pt idx="56">
                  <c:v>244.54555214719883</c:v>
                </c:pt>
                <c:pt idx="57">
                  <c:v>239.68724257391889</c:v>
                </c:pt>
                <c:pt idx="58">
                  <c:v>240.21598664643091</c:v>
                </c:pt>
                <c:pt idx="59">
                  <c:v>246.02245152697674</c:v>
                </c:pt>
                <c:pt idx="60">
                  <c:v>243.53339106275465</c:v>
                </c:pt>
                <c:pt idx="61">
                  <c:v>248.09007035844365</c:v>
                </c:pt>
                <c:pt idx="62">
                  <c:v>252.73626329613396</c:v>
                </c:pt>
                <c:pt idx="63">
                  <c:v>252.94626447627809</c:v>
                </c:pt>
                <c:pt idx="64">
                  <c:v>252.04103544099203</c:v>
                </c:pt>
                <c:pt idx="65">
                  <c:v>249.86981693322886</c:v>
                </c:pt>
                <c:pt idx="66">
                  <c:v>251.53644357097738</c:v>
                </c:pt>
                <c:pt idx="67">
                  <c:v>255.41912130128395</c:v>
                </c:pt>
                <c:pt idx="68">
                  <c:v>259.91181038954255</c:v>
                </c:pt>
                <c:pt idx="69">
                  <c:v>256.26400052290199</c:v>
                </c:pt>
                <c:pt idx="70">
                  <c:v>262.98440833489258</c:v>
                </c:pt>
                <c:pt idx="71">
                  <c:v>261.30681549595801</c:v>
                </c:pt>
                <c:pt idx="72">
                  <c:v>258.58125699133404</c:v>
                </c:pt>
                <c:pt idx="73">
                  <c:v>258.55902252715356</c:v>
                </c:pt>
                <c:pt idx="74">
                  <c:v>259.50765722712384</c:v>
                </c:pt>
                <c:pt idx="75">
                  <c:v>253.83094064543207</c:v>
                </c:pt>
                <c:pt idx="76">
                  <c:v>259.92943592382539</c:v>
                </c:pt>
                <c:pt idx="77">
                  <c:v>253.30662848113411</c:v>
                </c:pt>
                <c:pt idx="78">
                  <c:v>246.07357682622111</c:v>
                </c:pt>
                <c:pt idx="79">
                  <c:v>252.61584807447525</c:v>
                </c:pt>
                <c:pt idx="80">
                  <c:v>247.98734904687038</c:v>
                </c:pt>
                <c:pt idx="81">
                  <c:v>258.47938374007254</c:v>
                </c:pt>
                <c:pt idx="82">
                  <c:v>257.34148268461843</c:v>
                </c:pt>
                <c:pt idx="83">
                  <c:v>260.07695892836853</c:v>
                </c:pt>
                <c:pt idx="84">
                  <c:v>261.28732580901726</c:v>
                </c:pt>
                <c:pt idx="85">
                  <c:v>250.73962048231101</c:v>
                </c:pt>
                <c:pt idx="86">
                  <c:v>242.74079761801372</c:v>
                </c:pt>
                <c:pt idx="87">
                  <c:v>244.11536702742703</c:v>
                </c:pt>
                <c:pt idx="88">
                  <c:v>238.80401280643741</c:v>
                </c:pt>
                <c:pt idx="89">
                  <c:v>241.75001728428271</c:v>
                </c:pt>
                <c:pt idx="90">
                  <c:v>247.15073357206776</c:v>
                </c:pt>
                <c:pt idx="91">
                  <c:v>238.61755981271301</c:v>
                </c:pt>
                <c:pt idx="92">
                  <c:v>239.13353939192567</c:v>
                </c:pt>
                <c:pt idx="93">
                  <c:v>243.25584016440905</c:v>
                </c:pt>
                <c:pt idx="94">
                  <c:v>231.30183749380691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CD41-094C-BCDC-8807F586F36B}"/>
            </c:ext>
          </c:extLst>
        </c:ser>
        <c:ser>
          <c:idx val="96"/>
          <c:order val="96"/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frozen'!$E$98:$CU$98</c:f>
              <c:numCache>
                <c:formatCode>General</c:formatCode>
                <c:ptCount val="95"/>
                <c:pt idx="0">
                  <c:v>222.13</c:v>
                </c:pt>
                <c:pt idx="1">
                  <c:v>217.48834006730203</c:v>
                </c:pt>
                <c:pt idx="2">
                  <c:v>216.79746928497565</c:v>
                </c:pt>
                <c:pt idx="3">
                  <c:v>220.44363064195426</c:v>
                </c:pt>
                <c:pt idx="4">
                  <c:v>222.90460174803837</c:v>
                </c:pt>
                <c:pt idx="5">
                  <c:v>226.02741446922593</c:v>
                </c:pt>
                <c:pt idx="6">
                  <c:v>231.99253089595342</c:v>
                </c:pt>
                <c:pt idx="7">
                  <c:v>235.21352504448376</c:v>
                </c:pt>
                <c:pt idx="8">
                  <c:v>239.03419002042966</c:v>
                </c:pt>
                <c:pt idx="9">
                  <c:v>243.83644416659547</c:v>
                </c:pt>
                <c:pt idx="10">
                  <c:v>244.39751163037863</c:v>
                </c:pt>
                <c:pt idx="11">
                  <c:v>245.05380085410181</c:v>
                </c:pt>
                <c:pt idx="12">
                  <c:v>250.27925763565514</c:v>
                </c:pt>
                <c:pt idx="13">
                  <c:v>245.40328144254474</c:v>
                </c:pt>
                <c:pt idx="14">
                  <c:v>242.61579975426872</c:v>
                </c:pt>
                <c:pt idx="15">
                  <c:v>249.12680053745598</c:v>
                </c:pt>
                <c:pt idx="16">
                  <c:v>255.89594247106243</c:v>
                </c:pt>
                <c:pt idx="17">
                  <c:v>253.91763893413696</c:v>
                </c:pt>
                <c:pt idx="18">
                  <c:v>243.24005871450413</c:v>
                </c:pt>
                <c:pt idx="19">
                  <c:v>246.30827131505407</c:v>
                </c:pt>
                <c:pt idx="20">
                  <c:v>248.37931804309605</c:v>
                </c:pt>
                <c:pt idx="21">
                  <c:v>249.80543180032825</c:v>
                </c:pt>
                <c:pt idx="22">
                  <c:v>246.84922290084</c:v>
                </c:pt>
                <c:pt idx="23">
                  <c:v>230.14529994590799</c:v>
                </c:pt>
                <c:pt idx="24">
                  <c:v>229.60084225786031</c:v>
                </c:pt>
                <c:pt idx="25">
                  <c:v>231.65997914757313</c:v>
                </c:pt>
                <c:pt idx="26">
                  <c:v>225.13784755989874</c:v>
                </c:pt>
                <c:pt idx="27">
                  <c:v>218.46509813165986</c:v>
                </c:pt>
                <c:pt idx="28">
                  <c:v>212.67732838035246</c:v>
                </c:pt>
                <c:pt idx="29">
                  <c:v>209.01437985815721</c:v>
                </c:pt>
                <c:pt idx="30">
                  <c:v>211.56527539057859</c:v>
                </c:pt>
                <c:pt idx="31">
                  <c:v>212.77549726317392</c:v>
                </c:pt>
                <c:pt idx="32">
                  <c:v>211.8870270811293</c:v>
                </c:pt>
                <c:pt idx="33">
                  <c:v>215.92099681828029</c:v>
                </c:pt>
                <c:pt idx="34">
                  <c:v>216.09061077374037</c:v>
                </c:pt>
                <c:pt idx="35">
                  <c:v>222.89938140703995</c:v>
                </c:pt>
                <c:pt idx="36">
                  <c:v>224.35803482609177</c:v>
                </c:pt>
                <c:pt idx="37">
                  <c:v>217.25937653044031</c:v>
                </c:pt>
                <c:pt idx="38">
                  <c:v>220.78592841912806</c:v>
                </c:pt>
                <c:pt idx="39">
                  <c:v>225.01512124937656</c:v>
                </c:pt>
                <c:pt idx="40">
                  <c:v>225.43490654317895</c:v>
                </c:pt>
                <c:pt idx="41">
                  <c:v>228.00949635504779</c:v>
                </c:pt>
                <c:pt idx="42">
                  <c:v>221.07885506291285</c:v>
                </c:pt>
                <c:pt idx="43">
                  <c:v>215.64650135214299</c:v>
                </c:pt>
                <c:pt idx="44">
                  <c:v>209.29207643139478</c:v>
                </c:pt>
                <c:pt idx="45">
                  <c:v>215.87901011307142</c:v>
                </c:pt>
                <c:pt idx="46">
                  <c:v>222.26161175395779</c:v>
                </c:pt>
                <c:pt idx="47">
                  <c:v>224.23808434809933</c:v>
                </c:pt>
                <c:pt idx="48">
                  <c:v>223.01819110097995</c:v>
                </c:pt>
                <c:pt idx="49">
                  <c:v>221.71435173039544</c:v>
                </c:pt>
                <c:pt idx="50">
                  <c:v>229.05482669178281</c:v>
                </c:pt>
                <c:pt idx="51">
                  <c:v>221.07169256070435</c:v>
                </c:pt>
                <c:pt idx="52">
                  <c:v>223.8859306438286</c:v>
                </c:pt>
                <c:pt idx="53">
                  <c:v>227.92495930748268</c:v>
                </c:pt>
                <c:pt idx="54">
                  <c:v>229.27156524202036</c:v>
                </c:pt>
                <c:pt idx="55">
                  <c:v>235.63098181577402</c:v>
                </c:pt>
                <c:pt idx="56">
                  <c:v>232.82822851031816</c:v>
                </c:pt>
                <c:pt idx="57">
                  <c:v>239.18823792779585</c:v>
                </c:pt>
                <c:pt idx="58">
                  <c:v>231.33260366108902</c:v>
                </c:pt>
                <c:pt idx="59">
                  <c:v>234.32920850269701</c:v>
                </c:pt>
                <c:pt idx="60">
                  <c:v>227.39592656978363</c:v>
                </c:pt>
                <c:pt idx="61">
                  <c:v>221.46395780139449</c:v>
                </c:pt>
                <c:pt idx="62">
                  <c:v>217.21702948391305</c:v>
                </c:pt>
                <c:pt idx="63">
                  <c:v>208.46858011555111</c:v>
                </c:pt>
                <c:pt idx="64">
                  <c:v>207.58900658486965</c:v>
                </c:pt>
                <c:pt idx="65">
                  <c:v>212.20797044263563</c:v>
                </c:pt>
                <c:pt idx="66">
                  <c:v>212.97492058130084</c:v>
                </c:pt>
                <c:pt idx="67">
                  <c:v>221.21761243372978</c:v>
                </c:pt>
                <c:pt idx="68">
                  <c:v>210.36350264417422</c:v>
                </c:pt>
                <c:pt idx="69">
                  <c:v>215.74484089051057</c:v>
                </c:pt>
                <c:pt idx="70">
                  <c:v>215.05767908675574</c:v>
                </c:pt>
                <c:pt idx="71">
                  <c:v>213.13981134413183</c:v>
                </c:pt>
                <c:pt idx="72">
                  <c:v>213.28291352117679</c:v>
                </c:pt>
                <c:pt idx="73">
                  <c:v>213.45452647168108</c:v>
                </c:pt>
                <c:pt idx="74">
                  <c:v>211.50906071933204</c:v>
                </c:pt>
                <c:pt idx="75">
                  <c:v>211.78473242050606</c:v>
                </c:pt>
                <c:pt idx="76">
                  <c:v>211.45519517330982</c:v>
                </c:pt>
                <c:pt idx="77">
                  <c:v>207.0649215756988</c:v>
                </c:pt>
                <c:pt idx="78">
                  <c:v>205.18772604292431</c:v>
                </c:pt>
                <c:pt idx="79">
                  <c:v>208.37096644336611</c:v>
                </c:pt>
                <c:pt idx="80">
                  <c:v>207.42545715423063</c:v>
                </c:pt>
                <c:pt idx="81">
                  <c:v>203.83707491881034</c:v>
                </c:pt>
                <c:pt idx="82">
                  <c:v>201.86409629441818</c:v>
                </c:pt>
                <c:pt idx="83">
                  <c:v>196.40837944429165</c:v>
                </c:pt>
                <c:pt idx="84">
                  <c:v>192.7733399111471</c:v>
                </c:pt>
                <c:pt idx="85">
                  <c:v>197.09644292820136</c:v>
                </c:pt>
                <c:pt idx="86">
                  <c:v>185.81643847149221</c:v>
                </c:pt>
                <c:pt idx="87">
                  <c:v>191.23264229201286</c:v>
                </c:pt>
                <c:pt idx="88">
                  <c:v>193.88358527152411</c:v>
                </c:pt>
                <c:pt idx="89">
                  <c:v>187.34509443930577</c:v>
                </c:pt>
                <c:pt idx="90">
                  <c:v>184.92641416153225</c:v>
                </c:pt>
                <c:pt idx="91">
                  <c:v>182.13340324608143</c:v>
                </c:pt>
                <c:pt idx="92">
                  <c:v>184.01821279037574</c:v>
                </c:pt>
                <c:pt idx="93">
                  <c:v>183.66364812938772</c:v>
                </c:pt>
                <c:pt idx="94">
                  <c:v>190.92415763427587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CD41-094C-BCDC-8807F586F36B}"/>
            </c:ext>
          </c:extLst>
        </c:ser>
        <c:ser>
          <c:idx val="97"/>
          <c:order val="97"/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frozen'!$E$99:$CU$99</c:f>
              <c:numCache>
                <c:formatCode>General</c:formatCode>
                <c:ptCount val="95"/>
                <c:pt idx="0">
                  <c:v>222.13</c:v>
                </c:pt>
                <c:pt idx="1">
                  <c:v>223.19713103936874</c:v>
                </c:pt>
                <c:pt idx="2">
                  <c:v>222.5687373846344</c:v>
                </c:pt>
                <c:pt idx="3">
                  <c:v>222.36952558451082</c:v>
                </c:pt>
                <c:pt idx="4">
                  <c:v>230.71297159411037</c:v>
                </c:pt>
                <c:pt idx="5">
                  <c:v>228.06364771031826</c:v>
                </c:pt>
                <c:pt idx="6">
                  <c:v>220.7908694880764</c:v>
                </c:pt>
                <c:pt idx="7">
                  <c:v>225.5655071201256</c:v>
                </c:pt>
                <c:pt idx="8">
                  <c:v>216.13062013953325</c:v>
                </c:pt>
                <c:pt idx="9">
                  <c:v>222.49909230049676</c:v>
                </c:pt>
                <c:pt idx="10">
                  <c:v>211.43791885310318</c:v>
                </c:pt>
                <c:pt idx="11">
                  <c:v>208.91337088897112</c:v>
                </c:pt>
                <c:pt idx="12">
                  <c:v>206.85427848080792</c:v>
                </c:pt>
                <c:pt idx="13">
                  <c:v>203.89956787473901</c:v>
                </c:pt>
                <c:pt idx="14">
                  <c:v>208.95412754507686</c:v>
                </c:pt>
                <c:pt idx="15">
                  <c:v>209.48660174702971</c:v>
                </c:pt>
                <c:pt idx="16">
                  <c:v>200.06206319704987</c:v>
                </c:pt>
                <c:pt idx="17">
                  <c:v>199.37224921604854</c:v>
                </c:pt>
                <c:pt idx="18">
                  <c:v>203.16886660102867</c:v>
                </c:pt>
                <c:pt idx="19">
                  <c:v>201.09206303436198</c:v>
                </c:pt>
                <c:pt idx="20">
                  <c:v>206.88515905951718</c:v>
                </c:pt>
                <c:pt idx="21">
                  <c:v>215.30437778156698</c:v>
                </c:pt>
                <c:pt idx="22">
                  <c:v>214.49097237359464</c:v>
                </c:pt>
                <c:pt idx="23">
                  <c:v>206.11369911153534</c:v>
                </c:pt>
                <c:pt idx="24">
                  <c:v>206.12193065063343</c:v>
                </c:pt>
                <c:pt idx="25">
                  <c:v>205.74550349442271</c:v>
                </c:pt>
                <c:pt idx="26">
                  <c:v>212.15461149949476</c:v>
                </c:pt>
                <c:pt idx="27">
                  <c:v>219.88169185729197</c:v>
                </c:pt>
                <c:pt idx="28">
                  <c:v>219.41989819526935</c:v>
                </c:pt>
                <c:pt idx="29">
                  <c:v>210.36542640941846</c:v>
                </c:pt>
                <c:pt idx="30">
                  <c:v>206.04661995283024</c:v>
                </c:pt>
                <c:pt idx="31">
                  <c:v>208.53979453435153</c:v>
                </c:pt>
                <c:pt idx="32">
                  <c:v>206.17692292548307</c:v>
                </c:pt>
                <c:pt idx="33">
                  <c:v>210.30022256005253</c:v>
                </c:pt>
                <c:pt idx="34">
                  <c:v>203.76059300313045</c:v>
                </c:pt>
                <c:pt idx="35">
                  <c:v>195.48790914695002</c:v>
                </c:pt>
                <c:pt idx="36">
                  <c:v>192.36309440362712</c:v>
                </c:pt>
                <c:pt idx="37">
                  <c:v>191.13976075643569</c:v>
                </c:pt>
                <c:pt idx="38">
                  <c:v>187.30965760817881</c:v>
                </c:pt>
                <c:pt idx="39">
                  <c:v>185.47237703691741</c:v>
                </c:pt>
                <c:pt idx="40">
                  <c:v>183.7934075163657</c:v>
                </c:pt>
                <c:pt idx="41">
                  <c:v>184.42198743898751</c:v>
                </c:pt>
                <c:pt idx="42">
                  <c:v>186.84898118903126</c:v>
                </c:pt>
                <c:pt idx="43">
                  <c:v>189.1179728400945</c:v>
                </c:pt>
                <c:pt idx="44">
                  <c:v>192.23018998248639</c:v>
                </c:pt>
                <c:pt idx="45">
                  <c:v>203.24275217680668</c:v>
                </c:pt>
                <c:pt idx="46">
                  <c:v>196.36784380223082</c:v>
                </c:pt>
                <c:pt idx="47">
                  <c:v>198.04027660712308</c:v>
                </c:pt>
                <c:pt idx="48">
                  <c:v>193.86937372968464</c:v>
                </c:pt>
                <c:pt idx="49">
                  <c:v>201.43094517357687</c:v>
                </c:pt>
                <c:pt idx="50">
                  <c:v>195.33003661489062</c:v>
                </c:pt>
                <c:pt idx="51">
                  <c:v>203.89495949207162</c:v>
                </c:pt>
                <c:pt idx="52">
                  <c:v>205.19705742125072</c:v>
                </c:pt>
                <c:pt idx="53">
                  <c:v>204.86291057846213</c:v>
                </c:pt>
                <c:pt idx="54">
                  <c:v>207.25687078440328</c:v>
                </c:pt>
                <c:pt idx="55">
                  <c:v>209.43217204574228</c:v>
                </c:pt>
                <c:pt idx="56">
                  <c:v>211.67884309518183</c:v>
                </c:pt>
                <c:pt idx="57">
                  <c:v>207.97984997678429</c:v>
                </c:pt>
                <c:pt idx="58">
                  <c:v>206.29315266833436</c:v>
                </c:pt>
                <c:pt idx="59">
                  <c:v>214.16399775671408</c:v>
                </c:pt>
                <c:pt idx="60">
                  <c:v>215.84092608685694</c:v>
                </c:pt>
                <c:pt idx="61">
                  <c:v>207.43393537096776</c:v>
                </c:pt>
                <c:pt idx="62">
                  <c:v>204.2083083004691</c:v>
                </c:pt>
                <c:pt idx="63">
                  <c:v>199.52202316600884</c:v>
                </c:pt>
                <c:pt idx="64">
                  <c:v>200.76503573427141</c:v>
                </c:pt>
                <c:pt idx="65">
                  <c:v>203.38833255013006</c:v>
                </c:pt>
                <c:pt idx="66">
                  <c:v>204.73364245549647</c:v>
                </c:pt>
                <c:pt idx="67">
                  <c:v>212.54597805357693</c:v>
                </c:pt>
                <c:pt idx="68">
                  <c:v>205.25287800815994</c:v>
                </c:pt>
                <c:pt idx="69">
                  <c:v>211.0964257243175</c:v>
                </c:pt>
                <c:pt idx="70">
                  <c:v>204.89745424689244</c:v>
                </c:pt>
                <c:pt idx="71">
                  <c:v>215.65308901079635</c:v>
                </c:pt>
                <c:pt idx="72">
                  <c:v>214.43572188005149</c:v>
                </c:pt>
                <c:pt idx="73">
                  <c:v>222.04044834302337</c:v>
                </c:pt>
                <c:pt idx="74">
                  <c:v>213.20101334781293</c:v>
                </c:pt>
                <c:pt idx="75">
                  <c:v>208.12084024437473</c:v>
                </c:pt>
                <c:pt idx="76">
                  <c:v>207.18492731437425</c:v>
                </c:pt>
                <c:pt idx="77">
                  <c:v>204.70004157022657</c:v>
                </c:pt>
                <c:pt idx="78">
                  <c:v>200.70309153118419</c:v>
                </c:pt>
                <c:pt idx="79">
                  <c:v>194.63839237895721</c:v>
                </c:pt>
                <c:pt idx="80">
                  <c:v>200.9524776818555</c:v>
                </c:pt>
                <c:pt idx="81">
                  <c:v>196.22028563890609</c:v>
                </c:pt>
                <c:pt idx="82">
                  <c:v>198.11198145124158</c:v>
                </c:pt>
                <c:pt idx="83">
                  <c:v>204.13100976612856</c:v>
                </c:pt>
                <c:pt idx="84">
                  <c:v>205.83804815374202</c:v>
                </c:pt>
                <c:pt idx="85">
                  <c:v>207.67662782649379</c:v>
                </c:pt>
                <c:pt idx="86">
                  <c:v>207.02092339840803</c:v>
                </c:pt>
                <c:pt idx="87">
                  <c:v>200.75419652187202</c:v>
                </c:pt>
                <c:pt idx="88">
                  <c:v>197.32559195833724</c:v>
                </c:pt>
                <c:pt idx="89">
                  <c:v>202.27999214622974</c:v>
                </c:pt>
                <c:pt idx="90">
                  <c:v>206.46722276243111</c:v>
                </c:pt>
                <c:pt idx="91">
                  <c:v>212.09213582512004</c:v>
                </c:pt>
                <c:pt idx="92">
                  <c:v>214.90143949452289</c:v>
                </c:pt>
                <c:pt idx="93">
                  <c:v>220.95049968668857</c:v>
                </c:pt>
                <c:pt idx="94">
                  <c:v>217.78307886305299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CD41-094C-BCDC-8807F586F36B}"/>
            </c:ext>
          </c:extLst>
        </c:ser>
        <c:ser>
          <c:idx val="98"/>
          <c:order val="98"/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frozen'!$E$100:$CU$100</c:f>
              <c:numCache>
                <c:formatCode>General</c:formatCode>
                <c:ptCount val="95"/>
                <c:pt idx="0">
                  <c:v>222.13</c:v>
                </c:pt>
                <c:pt idx="1">
                  <c:v>215.8422975685132</c:v>
                </c:pt>
                <c:pt idx="2">
                  <c:v>218.96549431611959</c:v>
                </c:pt>
                <c:pt idx="3">
                  <c:v>229.87851929946865</c:v>
                </c:pt>
                <c:pt idx="4">
                  <c:v>230.8947162211239</c:v>
                </c:pt>
                <c:pt idx="5">
                  <c:v>229.79548002571161</c:v>
                </c:pt>
                <c:pt idx="6">
                  <c:v>227.05655725557043</c:v>
                </c:pt>
                <c:pt idx="7">
                  <c:v>231.6387574649292</c:v>
                </c:pt>
                <c:pt idx="8">
                  <c:v>221.6175929446259</c:v>
                </c:pt>
                <c:pt idx="9">
                  <c:v>226.60077556247015</c:v>
                </c:pt>
                <c:pt idx="10">
                  <c:v>206.55257511262528</c:v>
                </c:pt>
                <c:pt idx="11">
                  <c:v>211.02271450404913</c:v>
                </c:pt>
                <c:pt idx="12">
                  <c:v>217.37123022057665</c:v>
                </c:pt>
                <c:pt idx="13">
                  <c:v>218.79849525458613</c:v>
                </c:pt>
                <c:pt idx="14">
                  <c:v>213.54041164703941</c:v>
                </c:pt>
                <c:pt idx="15">
                  <c:v>217.22995453514724</c:v>
                </c:pt>
                <c:pt idx="16">
                  <c:v>215.02871782667032</c:v>
                </c:pt>
                <c:pt idx="17">
                  <c:v>221.98132123022202</c:v>
                </c:pt>
                <c:pt idx="18">
                  <c:v>222.86730728712755</c:v>
                </c:pt>
                <c:pt idx="19">
                  <c:v>234.86295890548749</c:v>
                </c:pt>
                <c:pt idx="20">
                  <c:v>234.31055036406804</c:v>
                </c:pt>
                <c:pt idx="21">
                  <c:v>238.82361514661395</c:v>
                </c:pt>
                <c:pt idx="22">
                  <c:v>227.49113697819126</c:v>
                </c:pt>
                <c:pt idx="23">
                  <c:v>232.09871172479319</c:v>
                </c:pt>
                <c:pt idx="24">
                  <c:v>239.10382271373695</c:v>
                </c:pt>
                <c:pt idx="25">
                  <c:v>243.12268777229309</c:v>
                </c:pt>
                <c:pt idx="26">
                  <c:v>242.25655400180912</c:v>
                </c:pt>
                <c:pt idx="27">
                  <c:v>241.22926645120026</c:v>
                </c:pt>
                <c:pt idx="28">
                  <c:v>234.32407368746439</c:v>
                </c:pt>
                <c:pt idx="29">
                  <c:v>239.56715123260969</c:v>
                </c:pt>
                <c:pt idx="30">
                  <c:v>239.92463436566419</c:v>
                </c:pt>
                <c:pt idx="31">
                  <c:v>241.03315532598697</c:v>
                </c:pt>
                <c:pt idx="32">
                  <c:v>247.42080029967482</c:v>
                </c:pt>
                <c:pt idx="33">
                  <c:v>250.52616483464183</c:v>
                </c:pt>
                <c:pt idx="34">
                  <c:v>247.08574371576992</c:v>
                </c:pt>
                <c:pt idx="35">
                  <c:v>250.47808224282144</c:v>
                </c:pt>
                <c:pt idx="36">
                  <c:v>251.40616130653225</c:v>
                </c:pt>
                <c:pt idx="37">
                  <c:v>253.02073032939663</c:v>
                </c:pt>
                <c:pt idx="38">
                  <c:v>253.59988326741066</c:v>
                </c:pt>
                <c:pt idx="39">
                  <c:v>251.17673858294438</c:v>
                </c:pt>
                <c:pt idx="40">
                  <c:v>258.62934775245679</c:v>
                </c:pt>
                <c:pt idx="41">
                  <c:v>260.57189797530259</c:v>
                </c:pt>
                <c:pt idx="42">
                  <c:v>260.31182583728378</c:v>
                </c:pt>
                <c:pt idx="43">
                  <c:v>263.30235314360056</c:v>
                </c:pt>
                <c:pt idx="44">
                  <c:v>265.53041667611018</c:v>
                </c:pt>
                <c:pt idx="45">
                  <c:v>257.92606657035606</c:v>
                </c:pt>
                <c:pt idx="46">
                  <c:v>256.24971897466247</c:v>
                </c:pt>
                <c:pt idx="47">
                  <c:v>254.73241013317963</c:v>
                </c:pt>
                <c:pt idx="48">
                  <c:v>257.54799624085246</c:v>
                </c:pt>
                <c:pt idx="49">
                  <c:v>251.76856000544541</c:v>
                </c:pt>
                <c:pt idx="50">
                  <c:v>251.88712672139079</c:v>
                </c:pt>
                <c:pt idx="51">
                  <c:v>246.08158303891639</c:v>
                </c:pt>
                <c:pt idx="52">
                  <c:v>239.66917496728607</c:v>
                </c:pt>
                <c:pt idx="53">
                  <c:v>241.96889248268366</c:v>
                </c:pt>
                <c:pt idx="54">
                  <c:v>243.60113307331486</c:v>
                </c:pt>
                <c:pt idx="55">
                  <c:v>232.69619737928761</c:v>
                </c:pt>
                <c:pt idx="56">
                  <c:v>243.32497080974892</c:v>
                </c:pt>
                <c:pt idx="57">
                  <c:v>249.01391916027438</c:v>
                </c:pt>
                <c:pt idx="58">
                  <c:v>244.4975168773293</c:v>
                </c:pt>
                <c:pt idx="59">
                  <c:v>249.99314743184365</c:v>
                </c:pt>
                <c:pt idx="60">
                  <c:v>245.34081405690443</c:v>
                </c:pt>
                <c:pt idx="61">
                  <c:v>249.26660544466324</c:v>
                </c:pt>
                <c:pt idx="62">
                  <c:v>253.59771507888834</c:v>
                </c:pt>
                <c:pt idx="63">
                  <c:v>254.26062719219382</c:v>
                </c:pt>
                <c:pt idx="64">
                  <c:v>255.31648831449849</c:v>
                </c:pt>
                <c:pt idx="65">
                  <c:v>256.0592687209724</c:v>
                </c:pt>
                <c:pt idx="66">
                  <c:v>260.91946312330521</c:v>
                </c:pt>
                <c:pt idx="67">
                  <c:v>268.58711957595665</c:v>
                </c:pt>
                <c:pt idx="68">
                  <c:v>274.58624800306745</c:v>
                </c:pt>
                <c:pt idx="69">
                  <c:v>274.01997371547913</c:v>
                </c:pt>
                <c:pt idx="70">
                  <c:v>263.35394044875312</c:v>
                </c:pt>
                <c:pt idx="71">
                  <c:v>277.7742345996038</c:v>
                </c:pt>
                <c:pt idx="72">
                  <c:v>282.95480496458498</c:v>
                </c:pt>
                <c:pt idx="73">
                  <c:v>285.4078813765168</c:v>
                </c:pt>
                <c:pt idx="74">
                  <c:v>291.76559191398144</c:v>
                </c:pt>
                <c:pt idx="75">
                  <c:v>279.89304586594841</c:v>
                </c:pt>
                <c:pt idx="76">
                  <c:v>287.08068048489724</c:v>
                </c:pt>
                <c:pt idx="77">
                  <c:v>282.48509981553002</c:v>
                </c:pt>
                <c:pt idx="78">
                  <c:v>280.93615385839416</c:v>
                </c:pt>
                <c:pt idx="79">
                  <c:v>274.26807309962174</c:v>
                </c:pt>
                <c:pt idx="80">
                  <c:v>271.8747051748752</c:v>
                </c:pt>
                <c:pt idx="81">
                  <c:v>263.02570217358283</c:v>
                </c:pt>
                <c:pt idx="82">
                  <c:v>269.88979043598624</c:v>
                </c:pt>
                <c:pt idx="83">
                  <c:v>262.09343548245715</c:v>
                </c:pt>
                <c:pt idx="84">
                  <c:v>261.35414836661965</c:v>
                </c:pt>
                <c:pt idx="85">
                  <c:v>252.80931392198849</c:v>
                </c:pt>
                <c:pt idx="86">
                  <c:v>251.53446095707034</c:v>
                </c:pt>
                <c:pt idx="87">
                  <c:v>252.55531591088527</c:v>
                </c:pt>
                <c:pt idx="88">
                  <c:v>254.26898921004474</c:v>
                </c:pt>
                <c:pt idx="89">
                  <c:v>254.25517385116569</c:v>
                </c:pt>
                <c:pt idx="90">
                  <c:v>257.35468759790825</c:v>
                </c:pt>
                <c:pt idx="91">
                  <c:v>265.96635680391245</c:v>
                </c:pt>
                <c:pt idx="92">
                  <c:v>265.40777493208742</c:v>
                </c:pt>
                <c:pt idx="93">
                  <c:v>256.94040664041938</c:v>
                </c:pt>
                <c:pt idx="94">
                  <c:v>253.50323823177422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CD41-094C-BCDC-8807F586F36B}"/>
            </c:ext>
          </c:extLst>
        </c:ser>
        <c:ser>
          <c:idx val="99"/>
          <c:order val="99"/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'Simulation results frozen'!$E$1:$CU$1</c:f>
              <c:numCache>
                <c:formatCode>General</c:formatCode>
                <c:ptCount val="9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</c:numCache>
            </c:numRef>
          </c:cat>
          <c:val>
            <c:numRef>
              <c:f>'Simulation results frozen'!$E$101:$CU$101</c:f>
              <c:numCache>
                <c:formatCode>General</c:formatCode>
                <c:ptCount val="95"/>
                <c:pt idx="0">
                  <c:v>222.13</c:v>
                </c:pt>
                <c:pt idx="1">
                  <c:v>221.59707577843102</c:v>
                </c:pt>
                <c:pt idx="2">
                  <c:v>223.37747688445771</c:v>
                </c:pt>
                <c:pt idx="3">
                  <c:v>225.74027661790532</c:v>
                </c:pt>
                <c:pt idx="4">
                  <c:v>213.05827679990333</c:v>
                </c:pt>
                <c:pt idx="5">
                  <c:v>215.70406026710833</c:v>
                </c:pt>
                <c:pt idx="6">
                  <c:v>215.07282746929107</c:v>
                </c:pt>
                <c:pt idx="7">
                  <c:v>208.83138521085101</c:v>
                </c:pt>
                <c:pt idx="8">
                  <c:v>213.24642488748177</c:v>
                </c:pt>
                <c:pt idx="9">
                  <c:v>217.85477414257153</c:v>
                </c:pt>
                <c:pt idx="10">
                  <c:v>212.63867023855229</c:v>
                </c:pt>
                <c:pt idx="11">
                  <c:v>217.1815629279161</c:v>
                </c:pt>
                <c:pt idx="12">
                  <c:v>211.83101025510831</c:v>
                </c:pt>
                <c:pt idx="13">
                  <c:v>205.38961344433528</c:v>
                </c:pt>
                <c:pt idx="14">
                  <c:v>210.57384351927328</c:v>
                </c:pt>
                <c:pt idx="15">
                  <c:v>199.50924210876786</c:v>
                </c:pt>
                <c:pt idx="16">
                  <c:v>209.2840988162715</c:v>
                </c:pt>
                <c:pt idx="17">
                  <c:v>210.20863390475498</c:v>
                </c:pt>
                <c:pt idx="18">
                  <c:v>204.08800726924611</c:v>
                </c:pt>
                <c:pt idx="19">
                  <c:v>201.63955649830979</c:v>
                </c:pt>
                <c:pt idx="20">
                  <c:v>208.46068195553187</c:v>
                </c:pt>
                <c:pt idx="21">
                  <c:v>207.70758179838984</c:v>
                </c:pt>
                <c:pt idx="22">
                  <c:v>207.93346453430289</c:v>
                </c:pt>
                <c:pt idx="23">
                  <c:v>207.62119401266972</c:v>
                </c:pt>
                <c:pt idx="24">
                  <c:v>213.14634953187419</c:v>
                </c:pt>
                <c:pt idx="25">
                  <c:v>214.77651374105992</c:v>
                </c:pt>
                <c:pt idx="26">
                  <c:v>211.09016311142389</c:v>
                </c:pt>
                <c:pt idx="27">
                  <c:v>213.4213402488725</c:v>
                </c:pt>
                <c:pt idx="28">
                  <c:v>220.09618380886951</c:v>
                </c:pt>
                <c:pt idx="29">
                  <c:v>225.84766224327211</c:v>
                </c:pt>
                <c:pt idx="30">
                  <c:v>226.18397854403125</c:v>
                </c:pt>
                <c:pt idx="31">
                  <c:v>221.90666167791352</c:v>
                </c:pt>
                <c:pt idx="32">
                  <c:v>220.65933281031582</c:v>
                </c:pt>
                <c:pt idx="33">
                  <c:v>218.13980955917378</c:v>
                </c:pt>
                <c:pt idx="34">
                  <c:v>215.34644224075458</c:v>
                </c:pt>
                <c:pt idx="35">
                  <c:v>210.21746697307918</c:v>
                </c:pt>
                <c:pt idx="36">
                  <c:v>210.29572849772993</c:v>
                </c:pt>
                <c:pt idx="37">
                  <c:v>207.64533545294162</c:v>
                </c:pt>
                <c:pt idx="38">
                  <c:v>203.61939968189876</c:v>
                </c:pt>
                <c:pt idx="39">
                  <c:v>201.68432864221697</c:v>
                </c:pt>
                <c:pt idx="40">
                  <c:v>208.38568199628446</c:v>
                </c:pt>
                <c:pt idx="41">
                  <c:v>204.65358816368862</c:v>
                </c:pt>
                <c:pt idx="42">
                  <c:v>211.96839851583005</c:v>
                </c:pt>
                <c:pt idx="43">
                  <c:v>211.54914198403227</c:v>
                </c:pt>
                <c:pt idx="44">
                  <c:v>218.74759446610241</c:v>
                </c:pt>
                <c:pt idx="45">
                  <c:v>219.79582966918471</c:v>
                </c:pt>
                <c:pt idx="46">
                  <c:v>221.13664666282438</c:v>
                </c:pt>
                <c:pt idx="47">
                  <c:v>230.84146908879381</c:v>
                </c:pt>
                <c:pt idx="48">
                  <c:v>236.75633715752733</c:v>
                </c:pt>
                <c:pt idx="49">
                  <c:v>233.89600985164208</c:v>
                </c:pt>
                <c:pt idx="50">
                  <c:v>226.87376073262647</c:v>
                </c:pt>
                <c:pt idx="51">
                  <c:v>226.79279356047084</c:v>
                </c:pt>
                <c:pt idx="52">
                  <c:v>229.3381824654918</c:v>
                </c:pt>
                <c:pt idx="53">
                  <c:v>220.30164736426883</c:v>
                </c:pt>
                <c:pt idx="54">
                  <c:v>227.77118007709981</c:v>
                </c:pt>
                <c:pt idx="55">
                  <c:v>227.11271735191553</c:v>
                </c:pt>
                <c:pt idx="56">
                  <c:v>217.24763852760256</c:v>
                </c:pt>
                <c:pt idx="57">
                  <c:v>221.67332321358501</c:v>
                </c:pt>
                <c:pt idx="58">
                  <c:v>221.79198136105103</c:v>
                </c:pt>
                <c:pt idx="59">
                  <c:v>223.53729303265308</c:v>
                </c:pt>
                <c:pt idx="60">
                  <c:v>217.17823536481012</c:v>
                </c:pt>
                <c:pt idx="61">
                  <c:v>218.36404912973822</c:v>
                </c:pt>
                <c:pt idx="62">
                  <c:v>214.34246141606562</c:v>
                </c:pt>
                <c:pt idx="63">
                  <c:v>208.50508054688333</c:v>
                </c:pt>
                <c:pt idx="64">
                  <c:v>206.3213483083027</c:v>
                </c:pt>
                <c:pt idx="65">
                  <c:v>205.43089821709745</c:v>
                </c:pt>
                <c:pt idx="66">
                  <c:v>210.07296388848971</c:v>
                </c:pt>
                <c:pt idx="67">
                  <c:v>213.81377458478309</c:v>
                </c:pt>
                <c:pt idx="68">
                  <c:v>211.56714004887706</c:v>
                </c:pt>
                <c:pt idx="69">
                  <c:v>216.07545191328131</c:v>
                </c:pt>
                <c:pt idx="70">
                  <c:v>214.68099965162295</c:v>
                </c:pt>
                <c:pt idx="71">
                  <c:v>212.64629200222825</c:v>
                </c:pt>
                <c:pt idx="72">
                  <c:v>210.21125783540396</c:v>
                </c:pt>
                <c:pt idx="73">
                  <c:v>209.71454021920758</c:v>
                </c:pt>
                <c:pt idx="74">
                  <c:v>207.05378965225322</c:v>
                </c:pt>
                <c:pt idx="75">
                  <c:v>206.86161558689935</c:v>
                </c:pt>
                <c:pt idx="76">
                  <c:v>203.6450989922846</c:v>
                </c:pt>
                <c:pt idx="77">
                  <c:v>195.79002313019302</c:v>
                </c:pt>
                <c:pt idx="78">
                  <c:v>185.67081056964335</c:v>
                </c:pt>
                <c:pt idx="79">
                  <c:v>175.27059759576218</c:v>
                </c:pt>
                <c:pt idx="80">
                  <c:v>180.16515513525465</c:v>
                </c:pt>
                <c:pt idx="81">
                  <c:v>183.0963086502654</c:v>
                </c:pt>
                <c:pt idx="82">
                  <c:v>190.65774172788267</c:v>
                </c:pt>
                <c:pt idx="83">
                  <c:v>189.776422062553</c:v>
                </c:pt>
                <c:pt idx="84">
                  <c:v>196.56209731828937</c:v>
                </c:pt>
                <c:pt idx="85">
                  <c:v>199.82121703920367</c:v>
                </c:pt>
                <c:pt idx="86">
                  <c:v>203.13216623901187</c:v>
                </c:pt>
                <c:pt idx="87">
                  <c:v>206.48469155342096</c:v>
                </c:pt>
                <c:pt idx="88">
                  <c:v>212.24315757675708</c:v>
                </c:pt>
                <c:pt idx="89">
                  <c:v>211.44723764892026</c:v>
                </c:pt>
                <c:pt idx="90">
                  <c:v>208.5987611789711</c:v>
                </c:pt>
                <c:pt idx="91">
                  <c:v>205.24513870862319</c:v>
                </c:pt>
                <c:pt idx="92">
                  <c:v>204.13394120407273</c:v>
                </c:pt>
                <c:pt idx="93">
                  <c:v>208.05849849511495</c:v>
                </c:pt>
                <c:pt idx="94">
                  <c:v>212.02318496851001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CD41-094C-BCDC-8807F586F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761008"/>
        <c:axId val="393762720"/>
      </c:lineChart>
      <c:catAx>
        <c:axId val="393761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to Maturity 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762720"/>
        <c:crosses val="autoZero"/>
        <c:auto val="1"/>
        <c:lblAlgn val="ctr"/>
        <c:lblOffset val="100"/>
        <c:noMultiLvlLbl val="0"/>
      </c:catAx>
      <c:valAx>
        <c:axId val="39376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Simulated Stock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761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119467</xdr:colOff>
      <xdr:row>2</xdr:row>
      <xdr:rowOff>32933</xdr:rowOff>
    </xdr:from>
    <xdr:to>
      <xdr:col>25</xdr:col>
      <xdr:colOff>75339</xdr:colOff>
      <xdr:row>30</xdr:row>
      <xdr:rowOff>172204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046FDD-2ED8-6432-0C49-38938D996B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151753</xdr:colOff>
      <xdr:row>31</xdr:row>
      <xdr:rowOff>99555</xdr:rowOff>
    </xdr:from>
    <xdr:to>
      <xdr:col>25</xdr:col>
      <xdr:colOff>86102</xdr:colOff>
      <xdr:row>58</xdr:row>
      <xdr:rowOff>142605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5867BBF-50D5-7BF7-1CA5-DB09990ECB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84665</xdr:colOff>
      <xdr:row>2</xdr:row>
      <xdr:rowOff>177800</xdr:rowOff>
    </xdr:from>
    <xdr:to>
      <xdr:col>21</xdr:col>
      <xdr:colOff>660399</xdr:colOff>
      <xdr:row>35</xdr:row>
      <xdr:rowOff>118534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C5936D23-419B-2F38-6C10-5C79CFAFF3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0.0302</cdr:x>
      <cdr:y>0.27111</cdr:y>
    </cdr:from>
    <cdr:to>
      <cdr:x>0.98573</cdr:x>
      <cdr:y>0.27111</cdr:y>
    </cdr:to>
    <cdr:cxnSp macro="">
      <cdr:nvCxnSpPr>
        <cdr:cNvPr id="9" name="Straight Connector 8">
          <a:extLst xmlns:a="http://schemas.openxmlformats.org/drawingml/2006/main">
            <a:ext uri="{FF2B5EF4-FFF2-40B4-BE49-F238E27FC236}">
              <a16:creationId xmlns:a16="http://schemas.microsoft.com/office/drawing/2014/main" id="{3ADFF759-79AA-BAA1-D121-DA3329CA38B9}"/>
            </a:ext>
          </a:extLst>
        </cdr:cNvPr>
        <cdr:cNvCxnSpPr/>
      </cdr:nvCxnSpPr>
      <cdr:spPr>
        <a:xfrm xmlns:a="http://schemas.openxmlformats.org/drawingml/2006/main">
          <a:off x="294439" y="1679812"/>
          <a:ext cx="9316493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0.02958</cdr:x>
      <cdr:y>0.66019</cdr:y>
    </cdr:from>
    <cdr:to>
      <cdr:x>0.98511</cdr:x>
      <cdr:y>0.66019</cdr:y>
    </cdr:to>
    <cdr:cxnSp macro="">
      <cdr:nvCxnSpPr>
        <cdr:cNvPr id="10" name="Straight Connector 9">
          <a:extLst xmlns:a="http://schemas.openxmlformats.org/drawingml/2006/main">
            <a:ext uri="{FF2B5EF4-FFF2-40B4-BE49-F238E27FC236}">
              <a16:creationId xmlns:a16="http://schemas.microsoft.com/office/drawing/2014/main" id="{A11BD664-9330-6313-DDED-E46B6E06DB9E}"/>
            </a:ext>
          </a:extLst>
        </cdr:cNvPr>
        <cdr:cNvCxnSpPr/>
      </cdr:nvCxnSpPr>
      <cdr:spPr>
        <a:xfrm xmlns:a="http://schemas.openxmlformats.org/drawingml/2006/main">
          <a:off x="288374" y="4090538"/>
          <a:ext cx="9316493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273050</xdr:colOff>
      <xdr:row>2</xdr:row>
      <xdr:rowOff>0</xdr:rowOff>
    </xdr:from>
    <xdr:to>
      <xdr:col>17</xdr:col>
      <xdr:colOff>304800</xdr:colOff>
      <xdr:row>26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E176D67-4C25-510C-E210-C48982BBAC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69850</xdr:colOff>
      <xdr:row>1</xdr:row>
      <xdr:rowOff>101600</xdr:rowOff>
    </xdr:from>
    <xdr:to>
      <xdr:col>17</xdr:col>
      <xdr:colOff>508000</xdr:colOff>
      <xdr:row>28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B5E1F6-CC7F-B1DF-4A9C-ADDECFD0AA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0.0419</cdr:x>
      <cdr:y>0.35808</cdr:y>
    </cdr:from>
    <cdr:to>
      <cdr:x>0.98276</cdr:x>
      <cdr:y>0.35808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D66CC0E2-2C8C-CA9E-0AE8-601D2648BBAA}"/>
            </a:ext>
          </a:extLst>
        </cdr:cNvPr>
        <cdr:cNvCxnSpPr/>
      </cdr:nvCxnSpPr>
      <cdr:spPr>
        <a:xfrm xmlns:a="http://schemas.openxmlformats.org/drawingml/2006/main">
          <a:off x="355719" y="1839743"/>
          <a:ext cx="7987422" cy="0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FF0000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0.0419</cdr:x>
      <cdr:y>0.75361</cdr:y>
    </cdr:from>
    <cdr:to>
      <cdr:x>0.98276</cdr:x>
      <cdr:y>0.75361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223C9B6C-958D-795C-9051-6E5718E636F5}"/>
            </a:ext>
          </a:extLst>
        </cdr:cNvPr>
        <cdr:cNvCxnSpPr/>
      </cdr:nvCxnSpPr>
      <cdr:spPr>
        <a:xfrm xmlns:a="http://schemas.openxmlformats.org/drawingml/2006/main">
          <a:off x="356803" y="3847459"/>
          <a:ext cx="8011772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3"/>
        </a:lnRef>
        <a:fillRef xmlns:a="http://schemas.openxmlformats.org/drawingml/2006/main" idx="0">
          <a:schemeClr val="accent3"/>
        </a:fillRef>
        <a:effectRef xmlns:a="http://schemas.openxmlformats.org/drawingml/2006/main" idx="0">
          <a:schemeClr val="accent3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102</xdr:col>
      <xdr:colOff>180974</xdr:colOff>
      <xdr:row>0</xdr:row>
      <xdr:rowOff>107950</xdr:rowOff>
    </xdr:from>
    <xdr:to>
      <xdr:col>110</xdr:col>
      <xdr:colOff>242584</xdr:colOff>
      <xdr:row>20</xdr:row>
      <xdr:rowOff>85618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236ADA-4533-DF6C-7216-F53DD67D20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102</xdr:col>
      <xdr:colOff>219980</xdr:colOff>
      <xdr:row>24</xdr:row>
      <xdr:rowOff>79826</xdr:rowOff>
    </xdr:from>
    <xdr:to>
      <xdr:col>131</xdr:col>
      <xdr:colOff>660400</xdr:colOff>
      <xdr:row>101</xdr:row>
      <xdr:rowOff>101599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3BFD15B-8449-A277-D500-38BE8C12BE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102</xdr:col>
      <xdr:colOff>571500</xdr:colOff>
      <xdr:row>4</xdr:row>
      <xdr:rowOff>190500</xdr:rowOff>
    </xdr:from>
    <xdr:to>
      <xdr:col>118</xdr:col>
      <xdr:colOff>304800</xdr:colOff>
      <xdr:row>49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491EDC-2636-419E-CD80-B02B82EBAF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804A-EFF7-4E3C-AE94-AA42CBD26DF6}">
  <dimension ref="A1:D226"/>
  <sheetViews>
    <sheetView workbookViewId="0">
      <selection sqref="A1:B192"/>
    </sheetView>
  </sheetViews>
  <sheetFormatPr baseColWidth="10" defaultColWidth="8.83203125" defaultRowHeight="15" x14ac:dyDescent="0.2"/>
  <cols>
    <col min="1" max="1" width="9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45750</v>
      </c>
      <c r="B2">
        <v>203.19</v>
      </c>
      <c r="C2">
        <v>103419008</v>
      </c>
      <c r="D2">
        <v>51951040</v>
      </c>
    </row>
    <row r="3" spans="1:4" x14ac:dyDescent="0.2">
      <c r="A3" s="1">
        <v>45749</v>
      </c>
      <c r="B3">
        <v>223.89</v>
      </c>
      <c r="C3">
        <v>35905904</v>
      </c>
      <c r="D3">
        <v>49147664</v>
      </c>
    </row>
    <row r="4" spans="1:4" x14ac:dyDescent="0.2">
      <c r="A4" s="1">
        <v>45748</v>
      </c>
      <c r="B4">
        <v>223.19</v>
      </c>
      <c r="C4">
        <v>36412740</v>
      </c>
      <c r="D4">
        <v>50923768</v>
      </c>
    </row>
    <row r="5" spans="1:4" x14ac:dyDescent="0.2">
      <c r="A5" s="1">
        <v>45747</v>
      </c>
      <c r="B5">
        <v>222.13</v>
      </c>
      <c r="C5">
        <v>65299320</v>
      </c>
      <c r="D5">
        <v>53572080</v>
      </c>
    </row>
    <row r="6" spans="1:4" x14ac:dyDescent="0.2">
      <c r="A6" s="1">
        <v>45744</v>
      </c>
      <c r="B6">
        <v>217.9</v>
      </c>
      <c r="C6">
        <v>39818616</v>
      </c>
      <c r="D6">
        <v>54023536</v>
      </c>
    </row>
    <row r="7" spans="1:4" x14ac:dyDescent="0.2">
      <c r="A7" s="1">
        <v>45743</v>
      </c>
      <c r="B7">
        <v>223.85</v>
      </c>
      <c r="C7">
        <v>37094776</v>
      </c>
      <c r="D7">
        <v>54453868</v>
      </c>
    </row>
    <row r="8" spans="1:4" x14ac:dyDescent="0.2">
      <c r="A8" s="1">
        <v>45742</v>
      </c>
      <c r="B8">
        <v>221.53</v>
      </c>
      <c r="C8">
        <v>34532656</v>
      </c>
      <c r="D8">
        <v>54992244</v>
      </c>
    </row>
    <row r="9" spans="1:4" x14ac:dyDescent="0.2">
      <c r="A9" s="1">
        <v>45741</v>
      </c>
      <c r="B9">
        <v>223.75</v>
      </c>
      <c r="C9">
        <v>34493584</v>
      </c>
      <c r="D9">
        <v>55838576</v>
      </c>
    </row>
    <row r="10" spans="1:4" x14ac:dyDescent="0.2">
      <c r="A10" s="1">
        <v>45740</v>
      </c>
      <c r="B10">
        <v>220.73</v>
      </c>
      <c r="C10">
        <v>44299484</v>
      </c>
      <c r="D10">
        <v>57125540</v>
      </c>
    </row>
    <row r="11" spans="1:4" x14ac:dyDescent="0.2">
      <c r="A11" s="1">
        <v>45737</v>
      </c>
      <c r="B11">
        <v>218.27</v>
      </c>
      <c r="C11">
        <v>94127768</v>
      </c>
      <c r="D11">
        <v>57317840</v>
      </c>
    </row>
    <row r="12" spans="1:4" x14ac:dyDescent="0.2">
      <c r="A12" s="1">
        <v>45736</v>
      </c>
      <c r="B12">
        <v>214.1</v>
      </c>
      <c r="C12">
        <v>48862948</v>
      </c>
      <c r="D12">
        <v>54831548</v>
      </c>
    </row>
    <row r="13" spans="1:4" x14ac:dyDescent="0.2">
      <c r="A13" s="1">
        <v>45735</v>
      </c>
      <c r="B13">
        <v>215.24</v>
      </c>
      <c r="C13">
        <v>54385392</v>
      </c>
      <c r="D13">
        <v>54317592</v>
      </c>
    </row>
    <row r="14" spans="1:4" x14ac:dyDescent="0.2">
      <c r="A14" s="1">
        <v>45734</v>
      </c>
      <c r="B14">
        <v>212.69</v>
      </c>
      <c r="C14">
        <v>42432424</v>
      </c>
      <c r="D14">
        <v>53654140</v>
      </c>
    </row>
    <row r="15" spans="1:4" x14ac:dyDescent="0.2">
      <c r="A15" s="1">
        <v>45733</v>
      </c>
      <c r="B15">
        <v>214</v>
      </c>
      <c r="C15">
        <v>48073424</v>
      </c>
      <c r="D15">
        <v>54026196</v>
      </c>
    </row>
    <row r="16" spans="1:4" x14ac:dyDescent="0.2">
      <c r="A16" s="1">
        <v>45730</v>
      </c>
      <c r="B16">
        <v>213.49</v>
      </c>
      <c r="C16">
        <v>60107584</v>
      </c>
      <c r="D16">
        <v>54243060</v>
      </c>
    </row>
    <row r="17" spans="1:4" x14ac:dyDescent="0.2">
      <c r="A17" s="1">
        <v>45729</v>
      </c>
      <c r="B17">
        <v>209.68</v>
      </c>
      <c r="C17">
        <v>61368328</v>
      </c>
      <c r="D17">
        <v>53782384</v>
      </c>
    </row>
    <row r="18" spans="1:4" x14ac:dyDescent="0.2">
      <c r="A18" s="1">
        <v>45728</v>
      </c>
      <c r="B18">
        <v>216.98</v>
      </c>
      <c r="C18">
        <v>62547468</v>
      </c>
      <c r="D18">
        <v>51845620</v>
      </c>
    </row>
    <row r="19" spans="1:4" x14ac:dyDescent="0.2">
      <c r="A19" s="1">
        <v>45727</v>
      </c>
      <c r="B19">
        <v>220.84</v>
      </c>
      <c r="C19">
        <v>76137408</v>
      </c>
      <c r="D19">
        <v>49822740</v>
      </c>
    </row>
    <row r="20" spans="1:4" x14ac:dyDescent="0.2">
      <c r="A20" s="1">
        <v>45726</v>
      </c>
      <c r="B20">
        <v>227.48</v>
      </c>
      <c r="C20">
        <v>72071200</v>
      </c>
      <c r="D20">
        <v>48001744</v>
      </c>
    </row>
    <row r="21" spans="1:4" x14ac:dyDescent="0.2">
      <c r="A21" s="1">
        <v>45723</v>
      </c>
      <c r="B21">
        <v>239.07</v>
      </c>
      <c r="C21">
        <v>46273564</v>
      </c>
      <c r="D21">
        <v>45923412</v>
      </c>
    </row>
    <row r="22" spans="1:4" x14ac:dyDescent="0.2">
      <c r="A22" s="1">
        <v>45722</v>
      </c>
      <c r="B22">
        <v>235.33</v>
      </c>
      <c r="C22">
        <v>45170420</v>
      </c>
      <c r="D22">
        <v>46412780</v>
      </c>
    </row>
    <row r="23" spans="1:4" x14ac:dyDescent="0.2">
      <c r="A23" s="1">
        <v>45721</v>
      </c>
      <c r="B23">
        <v>235.74</v>
      </c>
      <c r="C23">
        <v>47227644</v>
      </c>
      <c r="D23">
        <v>46417636</v>
      </c>
    </row>
    <row r="24" spans="1:4" x14ac:dyDescent="0.2">
      <c r="A24" s="1">
        <v>45720</v>
      </c>
      <c r="B24">
        <v>235.93</v>
      </c>
      <c r="C24">
        <v>53798064</v>
      </c>
      <c r="D24">
        <v>46850352</v>
      </c>
    </row>
    <row r="25" spans="1:4" x14ac:dyDescent="0.2">
      <c r="A25" s="1">
        <v>45719</v>
      </c>
      <c r="B25">
        <v>238.03</v>
      </c>
      <c r="C25">
        <v>47183984</v>
      </c>
      <c r="D25">
        <v>45471524</v>
      </c>
    </row>
    <row r="26" spans="1:4" x14ac:dyDescent="0.2">
      <c r="A26" s="1">
        <v>45716</v>
      </c>
      <c r="B26">
        <v>241.84</v>
      </c>
      <c r="C26">
        <v>56833360</v>
      </c>
      <c r="D26">
        <v>44973072</v>
      </c>
    </row>
    <row r="27" spans="1:4" x14ac:dyDescent="0.2">
      <c r="A27" s="1">
        <v>45715</v>
      </c>
      <c r="B27">
        <v>237.3</v>
      </c>
      <c r="C27">
        <v>41153640</v>
      </c>
      <c r="D27">
        <v>43179204</v>
      </c>
    </row>
    <row r="28" spans="1:4" x14ac:dyDescent="0.2">
      <c r="A28" s="1">
        <v>45714</v>
      </c>
      <c r="B28">
        <v>240.36</v>
      </c>
      <c r="C28">
        <v>44433564</v>
      </c>
      <c r="D28">
        <v>43079960</v>
      </c>
    </row>
    <row r="29" spans="1:4" x14ac:dyDescent="0.2">
      <c r="A29" s="1">
        <v>45713</v>
      </c>
      <c r="B29">
        <v>247.04</v>
      </c>
      <c r="C29">
        <v>48013272</v>
      </c>
      <c r="D29">
        <v>43122212</v>
      </c>
    </row>
    <row r="30" spans="1:4" x14ac:dyDescent="0.2">
      <c r="A30" s="1">
        <v>45712</v>
      </c>
      <c r="B30">
        <v>247.1</v>
      </c>
      <c r="C30">
        <v>51326396</v>
      </c>
      <c r="D30">
        <v>44792212</v>
      </c>
    </row>
    <row r="31" spans="1:4" x14ac:dyDescent="0.2">
      <c r="A31" s="1">
        <v>45709</v>
      </c>
      <c r="B31">
        <v>245.55</v>
      </c>
      <c r="C31">
        <v>53197432</v>
      </c>
      <c r="D31">
        <v>48108796</v>
      </c>
    </row>
    <row r="32" spans="1:4" x14ac:dyDescent="0.2">
      <c r="A32" s="1">
        <v>45708</v>
      </c>
      <c r="B32">
        <v>245.83</v>
      </c>
      <c r="C32">
        <v>32316908</v>
      </c>
      <c r="D32">
        <v>48272852</v>
      </c>
    </row>
    <row r="33" spans="1:4" x14ac:dyDescent="0.2">
      <c r="A33" s="1">
        <v>45707</v>
      </c>
      <c r="B33">
        <v>244.87</v>
      </c>
      <c r="C33">
        <v>32204216</v>
      </c>
      <c r="D33">
        <v>49150796</v>
      </c>
    </row>
    <row r="34" spans="1:4" x14ac:dyDescent="0.2">
      <c r="A34" s="1">
        <v>45706</v>
      </c>
      <c r="B34">
        <v>244.47</v>
      </c>
      <c r="C34">
        <v>48822492</v>
      </c>
      <c r="D34">
        <v>52051020</v>
      </c>
    </row>
    <row r="35" spans="1:4" x14ac:dyDescent="0.2">
      <c r="A35" s="1">
        <v>45702</v>
      </c>
      <c r="B35">
        <v>244.6</v>
      </c>
      <c r="C35">
        <v>40896228</v>
      </c>
      <c r="D35">
        <v>55120416</v>
      </c>
    </row>
    <row r="36" spans="1:4" x14ac:dyDescent="0.2">
      <c r="A36" s="1">
        <v>45701</v>
      </c>
      <c r="B36">
        <v>241.53</v>
      </c>
      <c r="C36">
        <v>53614056</v>
      </c>
      <c r="D36">
        <v>56040528</v>
      </c>
    </row>
    <row r="37" spans="1:4" x14ac:dyDescent="0.2">
      <c r="A37" s="1">
        <v>45700</v>
      </c>
      <c r="B37">
        <v>236.87</v>
      </c>
      <c r="C37">
        <v>45243292</v>
      </c>
      <c r="D37">
        <v>56481908</v>
      </c>
    </row>
    <row r="38" spans="1:4" x14ac:dyDescent="0.2">
      <c r="A38" s="1">
        <v>45699</v>
      </c>
      <c r="B38">
        <v>232.62</v>
      </c>
      <c r="C38">
        <v>53718360</v>
      </c>
      <c r="D38">
        <v>57740788</v>
      </c>
    </row>
    <row r="39" spans="1:4" x14ac:dyDescent="0.2">
      <c r="A39" s="1">
        <v>45698</v>
      </c>
      <c r="B39">
        <v>227.65</v>
      </c>
      <c r="C39">
        <v>33115644</v>
      </c>
      <c r="D39">
        <v>60697592</v>
      </c>
    </row>
    <row r="40" spans="1:4" x14ac:dyDescent="0.2">
      <c r="A40" s="1">
        <v>45695</v>
      </c>
      <c r="B40">
        <v>227.63</v>
      </c>
      <c r="C40">
        <v>39707224</v>
      </c>
      <c r="D40">
        <v>63055772</v>
      </c>
    </row>
    <row r="41" spans="1:4" x14ac:dyDescent="0.2">
      <c r="A41" s="1">
        <v>45694</v>
      </c>
      <c r="B41">
        <v>233.22</v>
      </c>
      <c r="C41">
        <v>29925348</v>
      </c>
      <c r="D41">
        <v>65192560</v>
      </c>
    </row>
    <row r="42" spans="1:4" x14ac:dyDescent="0.2">
      <c r="A42" s="1">
        <v>45693</v>
      </c>
      <c r="B42">
        <v>232.47</v>
      </c>
      <c r="C42">
        <v>39664988</v>
      </c>
      <c r="D42">
        <v>65853000</v>
      </c>
    </row>
    <row r="43" spans="1:4" x14ac:dyDescent="0.2">
      <c r="A43" s="1">
        <v>45692</v>
      </c>
      <c r="B43">
        <v>232.8</v>
      </c>
      <c r="C43">
        <v>45067300</v>
      </c>
      <c r="D43">
        <v>65837688</v>
      </c>
    </row>
    <row r="44" spans="1:4" x14ac:dyDescent="0.2">
      <c r="A44" s="1">
        <v>45691</v>
      </c>
      <c r="B44">
        <v>228.01</v>
      </c>
      <c r="C44">
        <v>73063304</v>
      </c>
      <c r="D44">
        <v>66141916</v>
      </c>
    </row>
    <row r="45" spans="1:4" x14ac:dyDescent="0.2">
      <c r="A45" s="1">
        <v>45688</v>
      </c>
      <c r="B45">
        <v>236</v>
      </c>
      <c r="C45">
        <v>101075128</v>
      </c>
      <c r="D45">
        <v>65385088</v>
      </c>
    </row>
    <row r="46" spans="1:4" x14ac:dyDescent="0.2">
      <c r="A46" s="1">
        <v>45687</v>
      </c>
      <c r="B46">
        <v>237.59</v>
      </c>
      <c r="C46">
        <v>55658280</v>
      </c>
      <c r="D46">
        <v>61155340</v>
      </c>
    </row>
    <row r="47" spans="1:4" x14ac:dyDescent="0.2">
      <c r="A47" s="1">
        <v>45686</v>
      </c>
      <c r="B47">
        <v>239.36</v>
      </c>
      <c r="C47">
        <v>45486100</v>
      </c>
      <c r="D47">
        <v>60168520</v>
      </c>
    </row>
    <row r="48" spans="1:4" x14ac:dyDescent="0.2">
      <c r="A48" s="1">
        <v>45685</v>
      </c>
      <c r="B48">
        <v>238.26</v>
      </c>
      <c r="C48">
        <v>75707568</v>
      </c>
      <c r="D48">
        <v>60139152</v>
      </c>
    </row>
    <row r="49" spans="1:4" x14ac:dyDescent="0.2">
      <c r="A49" s="1">
        <v>45684</v>
      </c>
      <c r="B49">
        <v>229.86</v>
      </c>
      <c r="C49">
        <v>94863416</v>
      </c>
      <c r="D49">
        <v>57774920</v>
      </c>
    </row>
    <row r="50" spans="1:4" x14ac:dyDescent="0.2">
      <c r="A50" s="1">
        <v>45681</v>
      </c>
      <c r="B50">
        <v>222.78</v>
      </c>
      <c r="C50">
        <v>54697908</v>
      </c>
      <c r="D50">
        <v>55166740</v>
      </c>
    </row>
    <row r="51" spans="1:4" x14ac:dyDescent="0.2">
      <c r="A51" s="1">
        <v>45680</v>
      </c>
      <c r="B51">
        <v>223.66</v>
      </c>
      <c r="C51">
        <v>60234760</v>
      </c>
      <c r="D51">
        <v>54152264</v>
      </c>
    </row>
    <row r="52" spans="1:4" x14ac:dyDescent="0.2">
      <c r="A52" s="1">
        <v>45679</v>
      </c>
      <c r="B52">
        <v>223.83</v>
      </c>
      <c r="C52">
        <v>64126500</v>
      </c>
      <c r="D52">
        <v>52507116</v>
      </c>
    </row>
    <row r="53" spans="1:4" x14ac:dyDescent="0.2">
      <c r="A53" s="1">
        <v>45678</v>
      </c>
      <c r="B53">
        <v>222.64</v>
      </c>
      <c r="C53">
        <v>98070432</v>
      </c>
      <c r="D53">
        <v>51055704</v>
      </c>
    </row>
    <row r="54" spans="1:4" x14ac:dyDescent="0.2">
      <c r="A54" s="1">
        <v>45674</v>
      </c>
      <c r="B54">
        <v>229.98</v>
      </c>
      <c r="C54">
        <v>68488304</v>
      </c>
      <c r="D54">
        <v>46335204</v>
      </c>
    </row>
    <row r="55" spans="1:4" x14ac:dyDescent="0.2">
      <c r="A55" s="1">
        <v>45673</v>
      </c>
      <c r="B55">
        <v>228.26</v>
      </c>
      <c r="C55">
        <v>71759056</v>
      </c>
      <c r="D55">
        <v>43318300</v>
      </c>
    </row>
    <row r="56" spans="1:4" x14ac:dyDescent="0.2">
      <c r="A56" s="1">
        <v>45672</v>
      </c>
      <c r="B56">
        <v>237.87</v>
      </c>
      <c r="C56">
        <v>39831968</v>
      </c>
      <c r="D56">
        <v>41258280</v>
      </c>
    </row>
    <row r="57" spans="1:4" x14ac:dyDescent="0.2">
      <c r="A57" s="1">
        <v>45671</v>
      </c>
      <c r="B57">
        <v>233.28</v>
      </c>
      <c r="C57">
        <v>39435296</v>
      </c>
      <c r="D57">
        <v>48435832</v>
      </c>
    </row>
    <row r="58" spans="1:4" x14ac:dyDescent="0.2">
      <c r="A58" s="1">
        <v>45670</v>
      </c>
      <c r="B58">
        <v>234.4</v>
      </c>
      <c r="C58">
        <v>49630724</v>
      </c>
      <c r="D58">
        <v>49865632</v>
      </c>
    </row>
    <row r="59" spans="1:4" x14ac:dyDescent="0.2">
      <c r="A59" s="1">
        <v>45667</v>
      </c>
      <c r="B59">
        <v>236.85</v>
      </c>
      <c r="C59">
        <v>61710856</v>
      </c>
      <c r="D59">
        <v>50341856</v>
      </c>
    </row>
    <row r="60" spans="1:4" x14ac:dyDescent="0.2">
      <c r="A60" s="1">
        <v>45665</v>
      </c>
      <c r="B60">
        <v>242.7</v>
      </c>
      <c r="C60">
        <v>37628940</v>
      </c>
      <c r="D60">
        <v>49651556</v>
      </c>
    </row>
    <row r="61" spans="1:4" x14ac:dyDescent="0.2">
      <c r="A61" s="1">
        <v>45664</v>
      </c>
      <c r="B61">
        <v>242.21</v>
      </c>
      <c r="C61">
        <v>40855960</v>
      </c>
      <c r="D61">
        <v>50589276</v>
      </c>
    </row>
    <row r="62" spans="1:4" x14ac:dyDescent="0.2">
      <c r="A62" s="1">
        <v>45663</v>
      </c>
      <c r="B62">
        <v>245</v>
      </c>
      <c r="C62">
        <v>45045572</v>
      </c>
      <c r="D62">
        <v>50075900</v>
      </c>
    </row>
    <row r="63" spans="1:4" x14ac:dyDescent="0.2">
      <c r="A63" s="1">
        <v>45660</v>
      </c>
      <c r="B63">
        <v>243.36</v>
      </c>
      <c r="C63">
        <v>40244112</v>
      </c>
      <c r="D63">
        <v>49258032</v>
      </c>
    </row>
    <row r="64" spans="1:4" x14ac:dyDescent="0.2">
      <c r="A64" s="1">
        <v>45659</v>
      </c>
      <c r="B64">
        <v>243.85</v>
      </c>
      <c r="C64">
        <v>55740732</v>
      </c>
      <c r="D64">
        <v>49588812</v>
      </c>
    </row>
    <row r="65" spans="1:4" x14ac:dyDescent="0.2">
      <c r="A65" s="1">
        <v>45657</v>
      </c>
      <c r="B65">
        <v>250.42</v>
      </c>
      <c r="C65">
        <v>39480720</v>
      </c>
      <c r="D65">
        <v>48333748</v>
      </c>
    </row>
    <row r="66" spans="1:4" x14ac:dyDescent="0.2">
      <c r="A66" s="1">
        <v>45656</v>
      </c>
      <c r="B66">
        <v>252.2</v>
      </c>
      <c r="C66">
        <v>35557544</v>
      </c>
      <c r="D66">
        <v>48678316</v>
      </c>
    </row>
    <row r="67" spans="1:4" x14ac:dyDescent="0.2">
      <c r="A67" s="1">
        <v>45653</v>
      </c>
      <c r="B67">
        <v>255.59</v>
      </c>
      <c r="C67">
        <v>42355320</v>
      </c>
      <c r="D67">
        <v>48765856</v>
      </c>
    </row>
    <row r="68" spans="1:4" x14ac:dyDescent="0.2">
      <c r="A68" s="1">
        <v>45652</v>
      </c>
      <c r="B68">
        <v>259.02</v>
      </c>
      <c r="C68">
        <v>27262984</v>
      </c>
      <c r="D68">
        <v>48611092</v>
      </c>
    </row>
    <row r="69" spans="1:4" x14ac:dyDescent="0.2">
      <c r="A69" s="1">
        <v>45650</v>
      </c>
      <c r="B69">
        <v>258.2</v>
      </c>
      <c r="C69">
        <v>23234704</v>
      </c>
      <c r="D69">
        <v>49752488</v>
      </c>
    </row>
    <row r="70" spans="1:4" x14ac:dyDescent="0.2">
      <c r="A70" s="1">
        <v>45649</v>
      </c>
      <c r="B70">
        <v>255.27</v>
      </c>
      <c r="C70">
        <v>40858776</v>
      </c>
      <c r="D70">
        <v>50794244</v>
      </c>
    </row>
    <row r="71" spans="1:4" x14ac:dyDescent="0.2">
      <c r="A71" s="1">
        <v>45646</v>
      </c>
      <c r="B71">
        <v>254.49</v>
      </c>
      <c r="C71">
        <v>147495264</v>
      </c>
      <c r="D71">
        <v>51279464</v>
      </c>
    </row>
    <row r="72" spans="1:4" x14ac:dyDescent="0.2">
      <c r="A72" s="1">
        <v>45645</v>
      </c>
      <c r="B72">
        <v>249.79</v>
      </c>
      <c r="C72">
        <v>60882264</v>
      </c>
      <c r="D72">
        <v>43345204</v>
      </c>
    </row>
    <row r="73" spans="1:4" x14ac:dyDescent="0.2">
      <c r="A73" s="1">
        <v>45644</v>
      </c>
      <c r="B73">
        <v>248.05</v>
      </c>
      <c r="C73">
        <v>56774100</v>
      </c>
      <c r="D73">
        <v>41519616</v>
      </c>
    </row>
    <row r="74" spans="1:4" x14ac:dyDescent="0.2">
      <c r="A74" s="1">
        <v>45643</v>
      </c>
      <c r="B74">
        <v>253.48</v>
      </c>
      <c r="C74">
        <v>51356360</v>
      </c>
      <c r="D74">
        <v>40800424</v>
      </c>
    </row>
    <row r="75" spans="1:4" x14ac:dyDescent="0.2">
      <c r="A75" s="1">
        <v>45642</v>
      </c>
      <c r="B75">
        <v>251.04</v>
      </c>
      <c r="C75">
        <v>51694752</v>
      </c>
      <c r="D75">
        <v>43386856</v>
      </c>
    </row>
    <row r="76" spans="1:4" x14ac:dyDescent="0.2">
      <c r="A76" s="1">
        <v>45639</v>
      </c>
      <c r="B76">
        <v>248.13</v>
      </c>
      <c r="C76">
        <v>33155290</v>
      </c>
      <c r="D76">
        <v>42485088</v>
      </c>
    </row>
    <row r="77" spans="1:4" x14ac:dyDescent="0.2">
      <c r="A77" s="1">
        <v>45638</v>
      </c>
      <c r="B77">
        <v>247.96</v>
      </c>
      <c r="C77">
        <v>32777532</v>
      </c>
      <c r="D77">
        <v>43081956</v>
      </c>
    </row>
    <row r="78" spans="1:4" x14ac:dyDescent="0.2">
      <c r="A78" s="1">
        <v>45637</v>
      </c>
      <c r="B78">
        <v>246.49</v>
      </c>
      <c r="C78">
        <v>45205816</v>
      </c>
      <c r="D78">
        <v>43241428</v>
      </c>
    </row>
    <row r="79" spans="1:4" x14ac:dyDescent="0.2">
      <c r="A79" s="1">
        <v>45636</v>
      </c>
      <c r="B79">
        <v>247.77</v>
      </c>
      <c r="C79">
        <v>36914808</v>
      </c>
      <c r="D79">
        <v>42641824</v>
      </c>
    </row>
    <row r="80" spans="1:4" x14ac:dyDescent="0.2">
      <c r="A80" s="1">
        <v>45635</v>
      </c>
      <c r="B80">
        <v>246.75</v>
      </c>
      <c r="C80">
        <v>44649232</v>
      </c>
      <c r="D80">
        <v>43159904</v>
      </c>
    </row>
    <row r="81" spans="1:4" x14ac:dyDescent="0.2">
      <c r="A81" s="1">
        <v>45632</v>
      </c>
      <c r="B81">
        <v>242.84</v>
      </c>
      <c r="C81">
        <v>36870620</v>
      </c>
      <c r="D81">
        <v>43378204</v>
      </c>
    </row>
    <row r="82" spans="1:4" x14ac:dyDescent="0.2">
      <c r="A82" s="1">
        <v>45631</v>
      </c>
      <c r="B82">
        <v>243.04</v>
      </c>
      <c r="C82">
        <v>40033880</v>
      </c>
      <c r="D82">
        <v>43915092</v>
      </c>
    </row>
    <row r="83" spans="1:4" x14ac:dyDescent="0.2">
      <c r="A83" s="1">
        <v>45630</v>
      </c>
      <c r="B83">
        <v>243.01</v>
      </c>
      <c r="C83">
        <v>44383936</v>
      </c>
      <c r="D83">
        <v>44483912</v>
      </c>
    </row>
    <row r="84" spans="1:4" x14ac:dyDescent="0.2">
      <c r="A84" s="1">
        <v>45629</v>
      </c>
      <c r="B84">
        <v>242.65</v>
      </c>
      <c r="C84">
        <v>38861016</v>
      </c>
      <c r="D84">
        <v>44218204</v>
      </c>
    </row>
    <row r="85" spans="1:4" x14ac:dyDescent="0.2">
      <c r="A85" s="1">
        <v>45628</v>
      </c>
      <c r="B85">
        <v>239.59</v>
      </c>
      <c r="C85">
        <v>48137104</v>
      </c>
      <c r="D85">
        <v>44427844</v>
      </c>
    </row>
    <row r="86" spans="1:4" x14ac:dyDescent="0.2">
      <c r="A86" s="1">
        <v>45625</v>
      </c>
      <c r="B86">
        <v>237.33</v>
      </c>
      <c r="C86">
        <v>28481376</v>
      </c>
      <c r="D86">
        <v>43773956</v>
      </c>
    </row>
    <row r="87" spans="1:4" x14ac:dyDescent="0.2">
      <c r="A87" s="1">
        <v>45623</v>
      </c>
      <c r="B87">
        <v>234.93</v>
      </c>
      <c r="C87">
        <v>33498440</v>
      </c>
      <c r="D87">
        <v>44684380</v>
      </c>
    </row>
    <row r="88" spans="1:4" x14ac:dyDescent="0.2">
      <c r="A88" s="1">
        <v>45622</v>
      </c>
      <c r="B88">
        <v>235.06</v>
      </c>
      <c r="C88">
        <v>45986188</v>
      </c>
      <c r="D88">
        <v>46088556</v>
      </c>
    </row>
    <row r="89" spans="1:4" x14ac:dyDescent="0.2">
      <c r="A89" s="1">
        <v>45621</v>
      </c>
      <c r="B89">
        <v>232.87</v>
      </c>
      <c r="C89">
        <v>90152832</v>
      </c>
      <c r="D89">
        <v>44896900</v>
      </c>
    </row>
    <row r="90" spans="1:4" x14ac:dyDescent="0.2">
      <c r="A90" s="1">
        <v>45618</v>
      </c>
      <c r="B90">
        <v>229.87</v>
      </c>
      <c r="C90">
        <v>38168252</v>
      </c>
      <c r="D90">
        <v>41883008</v>
      </c>
    </row>
    <row r="91" spans="1:4" x14ac:dyDescent="0.2">
      <c r="A91" s="1">
        <v>45617</v>
      </c>
      <c r="B91">
        <v>228.52</v>
      </c>
      <c r="C91">
        <v>42108328</v>
      </c>
      <c r="D91">
        <v>43690240</v>
      </c>
    </row>
    <row r="92" spans="1:4" x14ac:dyDescent="0.2">
      <c r="A92" s="1">
        <v>45616</v>
      </c>
      <c r="B92">
        <v>229</v>
      </c>
      <c r="C92">
        <v>35169568</v>
      </c>
      <c r="D92">
        <v>45174360</v>
      </c>
    </row>
    <row r="93" spans="1:4" x14ac:dyDescent="0.2">
      <c r="A93" s="1">
        <v>45615</v>
      </c>
      <c r="B93">
        <v>228.28</v>
      </c>
      <c r="C93">
        <v>36211776</v>
      </c>
      <c r="D93">
        <v>45967780</v>
      </c>
    </row>
    <row r="94" spans="1:4" x14ac:dyDescent="0.2">
      <c r="A94" s="1">
        <v>45614</v>
      </c>
      <c r="B94">
        <v>228.02</v>
      </c>
      <c r="C94">
        <v>44686020</v>
      </c>
      <c r="D94">
        <v>45914812</v>
      </c>
    </row>
    <row r="95" spans="1:4" x14ac:dyDescent="0.2">
      <c r="A95" s="1">
        <v>45611</v>
      </c>
      <c r="B95">
        <v>225</v>
      </c>
      <c r="C95">
        <v>47923696</v>
      </c>
      <c r="D95">
        <v>45341556</v>
      </c>
    </row>
    <row r="96" spans="1:4" x14ac:dyDescent="0.2">
      <c r="A96" s="1">
        <v>45610</v>
      </c>
      <c r="B96">
        <v>228.22</v>
      </c>
      <c r="C96">
        <v>44923940</v>
      </c>
      <c r="D96">
        <v>44733460</v>
      </c>
    </row>
    <row r="97" spans="1:4" x14ac:dyDescent="0.2">
      <c r="A97" s="1">
        <v>45609</v>
      </c>
      <c r="B97">
        <v>225.12</v>
      </c>
      <c r="C97">
        <v>48566216</v>
      </c>
      <c r="D97">
        <v>43812500</v>
      </c>
    </row>
    <row r="98" spans="1:4" x14ac:dyDescent="0.2">
      <c r="A98" s="1">
        <v>45608</v>
      </c>
      <c r="B98">
        <v>224.23</v>
      </c>
      <c r="C98">
        <v>40398300</v>
      </c>
      <c r="D98">
        <v>44060552</v>
      </c>
    </row>
    <row r="99" spans="1:4" x14ac:dyDescent="0.2">
      <c r="A99" s="1">
        <v>45607</v>
      </c>
      <c r="B99">
        <v>224.23</v>
      </c>
      <c r="C99">
        <v>42005600</v>
      </c>
      <c r="D99">
        <v>43957100</v>
      </c>
    </row>
    <row r="100" spans="1:4" x14ac:dyDescent="0.2">
      <c r="A100" s="1">
        <v>45604</v>
      </c>
      <c r="B100">
        <v>226.96</v>
      </c>
      <c r="C100">
        <v>38328824</v>
      </c>
      <c r="D100">
        <v>43573692</v>
      </c>
    </row>
    <row r="101" spans="1:4" x14ac:dyDescent="0.2">
      <c r="A101" s="1">
        <v>45603</v>
      </c>
      <c r="B101">
        <v>227.48</v>
      </c>
      <c r="C101">
        <v>42137692</v>
      </c>
      <c r="D101">
        <v>44113868</v>
      </c>
    </row>
    <row r="102" spans="1:4" x14ac:dyDescent="0.2">
      <c r="A102" s="1">
        <v>45602</v>
      </c>
      <c r="B102">
        <v>222.72</v>
      </c>
      <c r="C102">
        <v>54561120</v>
      </c>
      <c r="D102">
        <v>43504276</v>
      </c>
    </row>
    <row r="103" spans="1:4" x14ac:dyDescent="0.2">
      <c r="A103" s="1">
        <v>45601</v>
      </c>
      <c r="B103">
        <v>223.45</v>
      </c>
      <c r="C103">
        <v>28111338</v>
      </c>
      <c r="D103">
        <v>42139020</v>
      </c>
    </row>
    <row r="104" spans="1:4" x14ac:dyDescent="0.2">
      <c r="A104" s="1">
        <v>45600</v>
      </c>
      <c r="B104">
        <v>222.01</v>
      </c>
      <c r="C104">
        <v>44944468</v>
      </c>
      <c r="D104">
        <v>44581688</v>
      </c>
    </row>
    <row r="105" spans="1:4" x14ac:dyDescent="0.2">
      <c r="A105" s="1">
        <v>45597</v>
      </c>
      <c r="B105">
        <v>222.91</v>
      </c>
      <c r="C105">
        <v>65276740</v>
      </c>
      <c r="D105">
        <v>44244196</v>
      </c>
    </row>
    <row r="106" spans="1:4" x14ac:dyDescent="0.2">
      <c r="A106" s="1">
        <v>45596</v>
      </c>
      <c r="B106">
        <v>225.91</v>
      </c>
      <c r="C106">
        <v>64370088</v>
      </c>
      <c r="D106">
        <v>42009692</v>
      </c>
    </row>
    <row r="107" spans="1:4" x14ac:dyDescent="0.2">
      <c r="A107" s="1">
        <v>45595</v>
      </c>
      <c r="B107">
        <v>230.1</v>
      </c>
      <c r="C107">
        <v>47070908</v>
      </c>
      <c r="D107">
        <v>39597256</v>
      </c>
    </row>
    <row r="108" spans="1:4" x14ac:dyDescent="0.2">
      <c r="A108" s="1">
        <v>45594</v>
      </c>
      <c r="B108">
        <v>233.67</v>
      </c>
      <c r="C108">
        <v>35417248</v>
      </c>
      <c r="D108">
        <v>38698600</v>
      </c>
    </row>
    <row r="109" spans="1:4" x14ac:dyDescent="0.2">
      <c r="A109" s="1">
        <v>45593</v>
      </c>
      <c r="B109">
        <v>233.4</v>
      </c>
      <c r="C109">
        <v>36087136</v>
      </c>
      <c r="D109">
        <v>38461164</v>
      </c>
    </row>
    <row r="110" spans="1:4" x14ac:dyDescent="0.2">
      <c r="A110" s="1">
        <v>45590</v>
      </c>
      <c r="B110">
        <v>231.41</v>
      </c>
      <c r="C110">
        <v>38802304</v>
      </c>
      <c r="D110">
        <v>38689044</v>
      </c>
    </row>
    <row r="111" spans="1:4" x14ac:dyDescent="0.2">
      <c r="A111" s="1">
        <v>45589</v>
      </c>
      <c r="B111">
        <v>230.57</v>
      </c>
      <c r="C111">
        <v>31109504</v>
      </c>
      <c r="D111">
        <v>38591896</v>
      </c>
    </row>
    <row r="112" spans="1:4" x14ac:dyDescent="0.2">
      <c r="A112" s="1">
        <v>45588</v>
      </c>
      <c r="B112">
        <v>230.76</v>
      </c>
      <c r="C112">
        <v>52286980</v>
      </c>
      <c r="D112">
        <v>38787540</v>
      </c>
    </row>
    <row r="113" spans="1:4" x14ac:dyDescent="0.2">
      <c r="A113" s="1">
        <v>45587</v>
      </c>
      <c r="B113">
        <v>235.86</v>
      </c>
      <c r="C113">
        <v>38846576</v>
      </c>
      <c r="D113">
        <v>37493784</v>
      </c>
    </row>
    <row r="114" spans="1:4" x14ac:dyDescent="0.2">
      <c r="A114" s="1">
        <v>45586</v>
      </c>
      <c r="B114">
        <v>236.48</v>
      </c>
      <c r="C114">
        <v>36254472</v>
      </c>
      <c r="D114">
        <v>39123016</v>
      </c>
    </row>
    <row r="115" spans="1:4" x14ac:dyDescent="0.2">
      <c r="A115" s="1">
        <v>45583</v>
      </c>
      <c r="B115">
        <v>235</v>
      </c>
      <c r="C115">
        <v>46431472</v>
      </c>
      <c r="D115">
        <v>40358944</v>
      </c>
    </row>
    <row r="116" spans="1:4" x14ac:dyDescent="0.2">
      <c r="A116" s="1">
        <v>45582</v>
      </c>
      <c r="B116">
        <v>232.15</v>
      </c>
      <c r="C116">
        <v>32993810</v>
      </c>
      <c r="D116">
        <v>39531908</v>
      </c>
    </row>
    <row r="117" spans="1:4" x14ac:dyDescent="0.2">
      <c r="A117" s="1">
        <v>45581</v>
      </c>
      <c r="B117">
        <v>231.78</v>
      </c>
      <c r="C117">
        <v>34082240</v>
      </c>
      <c r="D117">
        <v>39774768</v>
      </c>
    </row>
    <row r="118" spans="1:4" x14ac:dyDescent="0.2">
      <c r="A118" s="1">
        <v>45580</v>
      </c>
      <c r="B118">
        <v>233.85</v>
      </c>
      <c r="C118">
        <v>64751368</v>
      </c>
      <c r="D118">
        <v>40323200</v>
      </c>
    </row>
    <row r="119" spans="1:4" x14ac:dyDescent="0.2">
      <c r="A119" s="1">
        <v>45579</v>
      </c>
      <c r="B119">
        <v>231.3</v>
      </c>
      <c r="C119">
        <v>39882084</v>
      </c>
      <c r="D119">
        <v>38910180</v>
      </c>
    </row>
    <row r="120" spans="1:4" x14ac:dyDescent="0.2">
      <c r="A120" s="1">
        <v>45576</v>
      </c>
      <c r="B120">
        <v>227.55</v>
      </c>
      <c r="C120">
        <v>31759188</v>
      </c>
      <c r="D120">
        <v>39861112</v>
      </c>
    </row>
    <row r="121" spans="1:4" x14ac:dyDescent="0.2">
      <c r="A121" s="1">
        <v>45575</v>
      </c>
      <c r="B121">
        <v>229.04</v>
      </c>
      <c r="C121">
        <v>28183544</v>
      </c>
      <c r="D121">
        <v>58989156</v>
      </c>
    </row>
    <row r="122" spans="1:4" x14ac:dyDescent="0.2">
      <c r="A122" s="1">
        <v>45574</v>
      </c>
      <c r="B122">
        <v>229.54</v>
      </c>
      <c r="C122">
        <v>33591092</v>
      </c>
      <c r="D122">
        <v>61562340</v>
      </c>
    </row>
    <row r="123" spans="1:4" x14ac:dyDescent="0.2">
      <c r="A123" s="1">
        <v>45573</v>
      </c>
      <c r="B123">
        <v>225.77</v>
      </c>
      <c r="C123">
        <v>31855692</v>
      </c>
      <c r="D123">
        <v>63315928</v>
      </c>
    </row>
    <row r="124" spans="1:4" x14ac:dyDescent="0.2">
      <c r="A124" s="1">
        <v>45572</v>
      </c>
      <c r="B124">
        <v>221.69</v>
      </c>
      <c r="C124">
        <v>39505352</v>
      </c>
      <c r="D124">
        <v>64226840</v>
      </c>
    </row>
    <row r="125" spans="1:4" x14ac:dyDescent="0.2">
      <c r="A125" s="1">
        <v>45569</v>
      </c>
      <c r="B125">
        <v>226.8</v>
      </c>
      <c r="C125">
        <v>37345096</v>
      </c>
      <c r="D125">
        <v>65550312</v>
      </c>
    </row>
    <row r="126" spans="1:4" x14ac:dyDescent="0.2">
      <c r="A126" s="1">
        <v>45568</v>
      </c>
      <c r="B126">
        <v>225.67</v>
      </c>
      <c r="C126">
        <v>34044160</v>
      </c>
      <c r="D126">
        <v>65511748</v>
      </c>
    </row>
    <row r="127" spans="1:4" x14ac:dyDescent="0.2">
      <c r="A127" s="1">
        <v>45567</v>
      </c>
      <c r="B127">
        <v>226.78</v>
      </c>
      <c r="C127">
        <v>32880604</v>
      </c>
      <c r="D127">
        <v>65742016</v>
      </c>
    </row>
    <row r="128" spans="1:4" x14ac:dyDescent="0.2">
      <c r="A128" s="1">
        <v>45566</v>
      </c>
      <c r="B128">
        <v>226.21</v>
      </c>
      <c r="C128">
        <v>63285048</v>
      </c>
      <c r="D128">
        <v>66522448</v>
      </c>
    </row>
    <row r="129" spans="1:4" x14ac:dyDescent="0.2">
      <c r="A129" s="1">
        <v>45565</v>
      </c>
      <c r="B129">
        <v>233</v>
      </c>
      <c r="C129">
        <v>54793392</v>
      </c>
      <c r="D129">
        <v>65742848</v>
      </c>
    </row>
    <row r="130" spans="1:4" x14ac:dyDescent="0.2">
      <c r="A130" s="1">
        <v>45562</v>
      </c>
      <c r="B130">
        <v>227.79</v>
      </c>
      <c r="C130">
        <v>34025968</v>
      </c>
      <c r="D130">
        <v>66568620</v>
      </c>
    </row>
    <row r="131" spans="1:4" x14ac:dyDescent="0.2">
      <c r="A131" s="1">
        <v>45561</v>
      </c>
      <c r="B131">
        <v>227.52</v>
      </c>
      <c r="C131">
        <v>36636708</v>
      </c>
      <c r="D131">
        <v>67528424</v>
      </c>
    </row>
    <row r="132" spans="1:4" x14ac:dyDescent="0.2">
      <c r="A132" s="1">
        <v>45560</v>
      </c>
      <c r="B132">
        <v>226.37</v>
      </c>
      <c r="C132">
        <v>42308716</v>
      </c>
      <c r="D132">
        <v>67527000</v>
      </c>
    </row>
    <row r="133" spans="1:4" x14ac:dyDescent="0.2">
      <c r="A133" s="1">
        <v>45559</v>
      </c>
      <c r="B133">
        <v>227.37</v>
      </c>
      <c r="C133">
        <v>43556068</v>
      </c>
      <c r="D133">
        <v>67629104</v>
      </c>
    </row>
    <row r="134" spans="1:4" x14ac:dyDescent="0.2">
      <c r="A134" s="1">
        <v>45558</v>
      </c>
      <c r="B134">
        <v>226.47</v>
      </c>
      <c r="C134">
        <v>54146024</v>
      </c>
      <c r="D134">
        <v>68071400</v>
      </c>
    </row>
    <row r="135" spans="1:4" x14ac:dyDescent="0.2">
      <c r="A135" s="1">
        <v>45555</v>
      </c>
      <c r="B135">
        <v>228.2</v>
      </c>
      <c r="C135">
        <v>318679872</v>
      </c>
      <c r="D135">
        <v>67994384</v>
      </c>
    </row>
    <row r="136" spans="1:4" x14ac:dyDescent="0.2">
      <c r="A136" s="1">
        <v>45554</v>
      </c>
      <c r="B136">
        <v>228.87</v>
      </c>
      <c r="C136">
        <v>66781316</v>
      </c>
      <c r="D136">
        <v>50209480</v>
      </c>
    </row>
    <row r="137" spans="1:4" x14ac:dyDescent="0.2">
      <c r="A137" s="1">
        <v>45553</v>
      </c>
      <c r="B137">
        <v>220.69</v>
      </c>
      <c r="C137">
        <v>59894928</v>
      </c>
      <c r="D137">
        <v>48294200</v>
      </c>
    </row>
    <row r="138" spans="1:4" x14ac:dyDescent="0.2">
      <c r="A138" s="1">
        <v>45552</v>
      </c>
      <c r="B138">
        <v>216.79</v>
      </c>
      <c r="C138">
        <v>45519340</v>
      </c>
      <c r="D138">
        <v>46696844</v>
      </c>
    </row>
    <row r="139" spans="1:4" x14ac:dyDescent="0.2">
      <c r="A139" s="1">
        <v>45551</v>
      </c>
      <c r="B139">
        <v>216.32</v>
      </c>
      <c r="C139">
        <v>59357428</v>
      </c>
      <c r="D139">
        <v>45702368</v>
      </c>
    </row>
    <row r="140" spans="1:4" x14ac:dyDescent="0.2">
      <c r="A140" s="1">
        <v>45548</v>
      </c>
      <c r="B140">
        <v>222.5</v>
      </c>
      <c r="C140">
        <v>36766620</v>
      </c>
      <c r="D140">
        <v>44323688</v>
      </c>
    </row>
    <row r="141" spans="1:4" x14ac:dyDescent="0.2">
      <c r="A141" s="1">
        <v>45547</v>
      </c>
      <c r="B141">
        <v>222.77</v>
      </c>
      <c r="C141">
        <v>37498224</v>
      </c>
      <c r="D141">
        <v>44785604</v>
      </c>
    </row>
    <row r="142" spans="1:4" x14ac:dyDescent="0.2">
      <c r="A142" s="1">
        <v>45546</v>
      </c>
      <c r="B142">
        <v>222.66</v>
      </c>
      <c r="C142">
        <v>44587072</v>
      </c>
      <c r="D142">
        <v>44603420</v>
      </c>
    </row>
    <row r="143" spans="1:4" x14ac:dyDescent="0.2">
      <c r="A143" s="1">
        <v>45545</v>
      </c>
      <c r="B143">
        <v>220.11</v>
      </c>
      <c r="C143">
        <v>51591032</v>
      </c>
      <c r="D143">
        <v>43650884</v>
      </c>
    </row>
    <row r="144" spans="1:4" x14ac:dyDescent="0.2">
      <c r="A144" s="1">
        <v>45544</v>
      </c>
      <c r="B144">
        <v>220.91</v>
      </c>
      <c r="C144">
        <v>67179968</v>
      </c>
      <c r="D144">
        <v>42924004</v>
      </c>
    </row>
    <row r="145" spans="1:4" x14ac:dyDescent="0.2">
      <c r="A145" s="1">
        <v>45541</v>
      </c>
      <c r="B145">
        <v>220.82</v>
      </c>
      <c r="C145">
        <v>48423012</v>
      </c>
      <c r="D145">
        <v>41401356</v>
      </c>
    </row>
    <row r="146" spans="1:4" x14ac:dyDescent="0.2">
      <c r="A146" s="1">
        <v>45540</v>
      </c>
      <c r="B146">
        <v>222.38</v>
      </c>
      <c r="C146">
        <v>36615400</v>
      </c>
      <c r="D146">
        <v>41267420</v>
      </c>
    </row>
    <row r="147" spans="1:4" x14ac:dyDescent="0.2">
      <c r="A147" s="1">
        <v>45539</v>
      </c>
      <c r="B147">
        <v>220.85</v>
      </c>
      <c r="C147">
        <v>43840196</v>
      </c>
      <c r="D147">
        <v>41623768</v>
      </c>
    </row>
    <row r="148" spans="1:4" x14ac:dyDescent="0.2">
      <c r="A148" s="1">
        <v>45538</v>
      </c>
      <c r="B148">
        <v>222.77</v>
      </c>
      <c r="C148">
        <v>50190576</v>
      </c>
      <c r="D148">
        <v>41644776</v>
      </c>
    </row>
    <row r="149" spans="1:4" x14ac:dyDescent="0.2">
      <c r="A149" s="1">
        <v>45534</v>
      </c>
      <c r="B149">
        <v>229</v>
      </c>
      <c r="C149">
        <v>52990768</v>
      </c>
      <c r="D149">
        <v>40833944</v>
      </c>
    </row>
    <row r="150" spans="1:4" x14ac:dyDescent="0.2">
      <c r="A150" s="1">
        <v>45533</v>
      </c>
      <c r="B150">
        <v>229.79</v>
      </c>
      <c r="C150">
        <v>51906296</v>
      </c>
      <c r="D150">
        <v>40114668</v>
      </c>
    </row>
    <row r="151" spans="1:4" x14ac:dyDescent="0.2">
      <c r="A151" s="1">
        <v>45532</v>
      </c>
      <c r="B151">
        <v>226.49</v>
      </c>
      <c r="C151">
        <v>38052168</v>
      </c>
      <c r="D151">
        <v>39798324</v>
      </c>
    </row>
    <row r="152" spans="1:4" x14ac:dyDescent="0.2">
      <c r="A152" s="1">
        <v>45531</v>
      </c>
      <c r="B152">
        <v>228.03</v>
      </c>
      <c r="C152">
        <v>35934560</v>
      </c>
      <c r="D152">
        <v>41495940</v>
      </c>
    </row>
    <row r="153" spans="1:4" x14ac:dyDescent="0.2">
      <c r="A153" s="1">
        <v>45530</v>
      </c>
      <c r="B153">
        <v>227.18</v>
      </c>
      <c r="C153">
        <v>30602208</v>
      </c>
      <c r="D153">
        <v>43744336</v>
      </c>
    </row>
    <row r="154" spans="1:4" x14ac:dyDescent="0.2">
      <c r="A154" s="1">
        <v>45527</v>
      </c>
      <c r="B154">
        <v>226.84</v>
      </c>
      <c r="C154">
        <v>38677248</v>
      </c>
      <c r="D154">
        <v>49674096</v>
      </c>
    </row>
    <row r="155" spans="1:4" x14ac:dyDescent="0.2">
      <c r="A155" s="1">
        <v>45526</v>
      </c>
      <c r="B155">
        <v>224.53</v>
      </c>
      <c r="C155">
        <v>43695320</v>
      </c>
      <c r="D155">
        <v>54133516</v>
      </c>
    </row>
    <row r="156" spans="1:4" x14ac:dyDescent="0.2">
      <c r="A156" s="1">
        <v>45525</v>
      </c>
      <c r="B156">
        <v>226.4</v>
      </c>
      <c r="C156">
        <v>34765480</v>
      </c>
      <c r="D156">
        <v>55387228</v>
      </c>
    </row>
    <row r="157" spans="1:4" x14ac:dyDescent="0.2">
      <c r="A157" s="1">
        <v>45524</v>
      </c>
      <c r="B157">
        <v>226.51</v>
      </c>
      <c r="C157">
        <v>30299032</v>
      </c>
      <c r="D157">
        <v>56405280</v>
      </c>
    </row>
    <row r="158" spans="1:4" x14ac:dyDescent="0.2">
      <c r="A158" s="1">
        <v>45523</v>
      </c>
      <c r="B158">
        <v>225.89</v>
      </c>
      <c r="C158">
        <v>40687812</v>
      </c>
      <c r="D158">
        <v>57161600</v>
      </c>
    </row>
    <row r="159" spans="1:4" x14ac:dyDescent="0.2">
      <c r="A159" s="1">
        <v>45520</v>
      </c>
      <c r="B159">
        <v>226.05</v>
      </c>
      <c r="C159">
        <v>44340240</v>
      </c>
      <c r="D159">
        <v>56869864</v>
      </c>
    </row>
    <row r="160" spans="1:4" x14ac:dyDescent="0.2">
      <c r="A160" s="1">
        <v>45519</v>
      </c>
      <c r="B160">
        <v>224.72</v>
      </c>
      <c r="C160">
        <v>46414012</v>
      </c>
      <c r="D160">
        <v>56687272</v>
      </c>
    </row>
    <row r="161" spans="1:4" x14ac:dyDescent="0.2">
      <c r="A161" s="1">
        <v>45518</v>
      </c>
      <c r="B161">
        <v>221.72</v>
      </c>
      <c r="C161">
        <v>41960576</v>
      </c>
      <c r="D161">
        <v>57019084</v>
      </c>
    </row>
    <row r="162" spans="1:4" x14ac:dyDescent="0.2">
      <c r="A162" s="1">
        <v>45517</v>
      </c>
      <c r="B162">
        <v>221.27</v>
      </c>
      <c r="C162">
        <v>44155332</v>
      </c>
      <c r="D162">
        <v>58340220</v>
      </c>
    </row>
    <row r="163" spans="1:4" x14ac:dyDescent="0.2">
      <c r="A163" s="1">
        <v>45516</v>
      </c>
      <c r="B163">
        <v>217.53</v>
      </c>
      <c r="C163">
        <v>38028092</v>
      </c>
      <c r="D163">
        <v>58060548</v>
      </c>
    </row>
    <row r="164" spans="1:4" x14ac:dyDescent="0.2">
      <c r="A164" s="1">
        <v>45513</v>
      </c>
      <c r="B164">
        <v>216.24</v>
      </c>
      <c r="C164">
        <v>42201648</v>
      </c>
      <c r="D164">
        <v>58738796</v>
      </c>
    </row>
    <row r="165" spans="1:4" x14ac:dyDescent="0.2">
      <c r="A165" s="1">
        <v>45512</v>
      </c>
      <c r="B165">
        <v>213.31</v>
      </c>
      <c r="C165">
        <v>47161148</v>
      </c>
      <c r="D165">
        <v>59202116</v>
      </c>
    </row>
    <row r="166" spans="1:4" x14ac:dyDescent="0.2">
      <c r="A166" s="1">
        <v>45511</v>
      </c>
      <c r="B166">
        <v>209.82</v>
      </c>
      <c r="C166">
        <v>63516416</v>
      </c>
      <c r="D166">
        <v>60460344</v>
      </c>
    </row>
    <row r="167" spans="1:4" x14ac:dyDescent="0.2">
      <c r="A167" s="1">
        <v>45510</v>
      </c>
      <c r="B167">
        <v>207.23</v>
      </c>
      <c r="C167">
        <v>69660488</v>
      </c>
      <c r="D167">
        <v>60048976</v>
      </c>
    </row>
    <row r="168" spans="1:4" x14ac:dyDescent="0.2">
      <c r="A168" s="1">
        <v>45509</v>
      </c>
      <c r="B168">
        <v>209.27</v>
      </c>
      <c r="C168">
        <v>119548592</v>
      </c>
      <c r="D168">
        <v>58287228</v>
      </c>
    </row>
    <row r="169" spans="1:4" x14ac:dyDescent="0.2">
      <c r="A169" s="1">
        <v>45506</v>
      </c>
      <c r="B169">
        <v>219.86</v>
      </c>
      <c r="C169">
        <v>105568560</v>
      </c>
      <c r="D169">
        <v>54492740</v>
      </c>
    </row>
    <row r="170" spans="1:4" x14ac:dyDescent="0.2">
      <c r="A170" s="1">
        <v>45505</v>
      </c>
      <c r="B170">
        <v>218.36</v>
      </c>
      <c r="C170">
        <v>62500996</v>
      </c>
      <c r="D170">
        <v>50991272</v>
      </c>
    </row>
    <row r="171" spans="1:4" x14ac:dyDescent="0.2">
      <c r="A171" s="1">
        <v>45504</v>
      </c>
      <c r="B171">
        <v>222.08</v>
      </c>
      <c r="C171">
        <v>50036264</v>
      </c>
      <c r="D171">
        <v>51138580</v>
      </c>
    </row>
    <row r="172" spans="1:4" x14ac:dyDescent="0.2">
      <c r="A172" s="1">
        <v>45503</v>
      </c>
      <c r="B172">
        <v>218.8</v>
      </c>
      <c r="C172">
        <v>41643840</v>
      </c>
      <c r="D172">
        <v>51978008</v>
      </c>
    </row>
    <row r="173" spans="1:4" x14ac:dyDescent="0.2">
      <c r="A173" s="1">
        <v>45502</v>
      </c>
      <c r="B173">
        <v>218.24</v>
      </c>
      <c r="C173">
        <v>36311776</v>
      </c>
      <c r="D173">
        <v>52413072</v>
      </c>
    </row>
    <row r="174" spans="1:4" x14ac:dyDescent="0.2">
      <c r="A174" s="1">
        <v>45499</v>
      </c>
      <c r="B174">
        <v>217.96</v>
      </c>
      <c r="C174">
        <v>41601344</v>
      </c>
      <c r="D174">
        <v>53931344</v>
      </c>
    </row>
    <row r="175" spans="1:4" x14ac:dyDescent="0.2">
      <c r="A175" s="1">
        <v>45498</v>
      </c>
      <c r="B175">
        <v>217.49</v>
      </c>
      <c r="C175">
        <v>51391200</v>
      </c>
      <c r="D175">
        <v>55185416</v>
      </c>
    </row>
    <row r="176" spans="1:4" x14ac:dyDescent="0.2">
      <c r="A176" s="1">
        <v>45497</v>
      </c>
      <c r="B176">
        <v>218.54</v>
      </c>
      <c r="C176">
        <v>61777576</v>
      </c>
      <c r="D176">
        <v>54250656</v>
      </c>
    </row>
    <row r="177" spans="1:4" x14ac:dyDescent="0.2">
      <c r="A177" s="1">
        <v>45496</v>
      </c>
      <c r="B177">
        <v>225.01</v>
      </c>
      <c r="C177">
        <v>39960260</v>
      </c>
      <c r="D177">
        <v>54001896</v>
      </c>
    </row>
    <row r="178" spans="1:4" x14ac:dyDescent="0.2">
      <c r="A178" s="1">
        <v>45495</v>
      </c>
      <c r="B178">
        <v>223.96</v>
      </c>
      <c r="C178">
        <v>48201836</v>
      </c>
      <c r="D178">
        <v>55364740</v>
      </c>
    </row>
    <row r="179" spans="1:4" x14ac:dyDescent="0.2">
      <c r="A179" s="1">
        <v>45492</v>
      </c>
      <c r="B179">
        <v>224.31</v>
      </c>
      <c r="C179">
        <v>49151452</v>
      </c>
      <c r="D179">
        <v>57654132</v>
      </c>
    </row>
    <row r="180" spans="1:4" x14ac:dyDescent="0.2">
      <c r="A180" s="1">
        <v>45491</v>
      </c>
      <c r="B180">
        <v>224.18</v>
      </c>
      <c r="C180">
        <v>66034584</v>
      </c>
      <c r="D180">
        <v>57695552</v>
      </c>
    </row>
    <row r="181" spans="1:4" x14ac:dyDescent="0.2">
      <c r="A181" s="1">
        <v>45490</v>
      </c>
      <c r="B181">
        <v>228.88</v>
      </c>
      <c r="C181">
        <v>57345884</v>
      </c>
      <c r="D181">
        <v>57707456</v>
      </c>
    </row>
    <row r="182" spans="1:4" x14ac:dyDescent="0.2">
      <c r="A182" s="1">
        <v>45489</v>
      </c>
      <c r="B182">
        <v>234.82</v>
      </c>
      <c r="C182">
        <v>43234280</v>
      </c>
      <c r="D182">
        <v>57665324</v>
      </c>
    </row>
    <row r="183" spans="1:4" x14ac:dyDescent="0.2">
      <c r="A183" s="1">
        <v>45488</v>
      </c>
      <c r="B183">
        <v>234.4</v>
      </c>
      <c r="C183">
        <v>62631252</v>
      </c>
      <c r="D183">
        <v>60164836</v>
      </c>
    </row>
    <row r="184" spans="1:4" x14ac:dyDescent="0.2">
      <c r="A184" s="1">
        <v>45485</v>
      </c>
      <c r="B184">
        <v>230.54</v>
      </c>
      <c r="C184">
        <v>53046528</v>
      </c>
      <c r="D184">
        <v>72417512</v>
      </c>
    </row>
    <row r="185" spans="1:4" x14ac:dyDescent="0.2">
      <c r="A185" s="1">
        <v>45484</v>
      </c>
      <c r="B185">
        <v>227.57</v>
      </c>
      <c r="C185">
        <v>64710616</v>
      </c>
      <c r="D185">
        <v>74625904</v>
      </c>
    </row>
    <row r="186" spans="1:4" x14ac:dyDescent="0.2">
      <c r="A186" s="1">
        <v>45483</v>
      </c>
      <c r="B186">
        <v>232.98</v>
      </c>
      <c r="C186">
        <v>62627688</v>
      </c>
      <c r="D186">
        <v>75641416</v>
      </c>
    </row>
    <row r="187" spans="1:4" x14ac:dyDescent="0.2">
      <c r="A187" s="1">
        <v>45482</v>
      </c>
      <c r="B187">
        <v>228.68</v>
      </c>
      <c r="C187">
        <v>48169824</v>
      </c>
      <c r="D187">
        <v>77714792</v>
      </c>
    </row>
    <row r="188" spans="1:4" x14ac:dyDescent="0.2">
      <c r="A188" s="1">
        <v>45481</v>
      </c>
      <c r="B188">
        <v>227.82</v>
      </c>
      <c r="C188">
        <v>59085860</v>
      </c>
      <c r="D188">
        <v>79178320</v>
      </c>
    </row>
    <row r="189" spans="1:4" x14ac:dyDescent="0.2">
      <c r="A189" s="1">
        <v>45478</v>
      </c>
      <c r="B189">
        <v>226.34</v>
      </c>
      <c r="C189">
        <v>60412408</v>
      </c>
      <c r="D189">
        <v>81763440</v>
      </c>
    </row>
    <row r="190" spans="1:4" x14ac:dyDescent="0.2">
      <c r="A190" s="1">
        <v>45476</v>
      </c>
      <c r="B190">
        <v>221.55</v>
      </c>
      <c r="C190">
        <v>37369800</v>
      </c>
      <c r="D190">
        <v>90944904</v>
      </c>
    </row>
    <row r="191" spans="1:4" x14ac:dyDescent="0.2">
      <c r="A191" s="1">
        <v>45475</v>
      </c>
      <c r="B191">
        <v>220.27</v>
      </c>
      <c r="C191">
        <v>58046176</v>
      </c>
      <c r="D191">
        <v>99945136</v>
      </c>
    </row>
    <row r="192" spans="1:4" x14ac:dyDescent="0.2">
      <c r="A192" s="1">
        <v>45474</v>
      </c>
      <c r="B192">
        <v>216.75</v>
      </c>
      <c r="C192">
        <v>60402928</v>
      </c>
      <c r="D192">
        <v>102559528</v>
      </c>
    </row>
    <row r="193" spans="1:4" x14ac:dyDescent="0.2">
      <c r="A193" s="1">
        <v>45471</v>
      </c>
      <c r="B193">
        <v>210.62</v>
      </c>
      <c r="C193">
        <v>82542720</v>
      </c>
      <c r="D193">
        <v>102072928</v>
      </c>
    </row>
    <row r="194" spans="1:4" x14ac:dyDescent="0.2">
      <c r="A194" s="1">
        <v>45470</v>
      </c>
      <c r="B194">
        <v>214.1</v>
      </c>
      <c r="C194">
        <v>49772708</v>
      </c>
      <c r="D194">
        <v>99315528</v>
      </c>
    </row>
    <row r="195" spans="1:4" x14ac:dyDescent="0.2">
      <c r="A195" s="1">
        <v>45469</v>
      </c>
      <c r="B195">
        <v>213.25</v>
      </c>
      <c r="C195">
        <v>66213184</v>
      </c>
      <c r="D195">
        <v>99607800</v>
      </c>
    </row>
    <row r="196" spans="1:4" x14ac:dyDescent="0.2">
      <c r="A196" s="1">
        <v>45468</v>
      </c>
      <c r="B196">
        <v>209.07</v>
      </c>
      <c r="C196">
        <v>56713868</v>
      </c>
      <c r="D196">
        <v>98358352</v>
      </c>
    </row>
    <row r="197" spans="1:4" x14ac:dyDescent="0.2">
      <c r="A197" s="1">
        <v>45467</v>
      </c>
      <c r="B197">
        <v>208.14</v>
      </c>
      <c r="C197">
        <v>80727008</v>
      </c>
      <c r="D197">
        <v>97916128</v>
      </c>
    </row>
    <row r="198" spans="1:4" x14ac:dyDescent="0.2">
      <c r="A198" s="1">
        <v>45464</v>
      </c>
      <c r="B198">
        <v>207.49</v>
      </c>
      <c r="C198">
        <v>246421360</v>
      </c>
      <c r="D198">
        <v>97544880</v>
      </c>
    </row>
    <row r="199" spans="1:4" x14ac:dyDescent="0.2">
      <c r="A199" s="1">
        <v>45463</v>
      </c>
      <c r="B199">
        <v>209.68</v>
      </c>
      <c r="C199">
        <v>86172448</v>
      </c>
      <c r="D199">
        <v>84446656</v>
      </c>
    </row>
    <row r="200" spans="1:4" x14ac:dyDescent="0.2">
      <c r="A200" s="1">
        <v>45461</v>
      </c>
      <c r="B200">
        <v>214.29</v>
      </c>
      <c r="C200">
        <v>79943256</v>
      </c>
      <c r="D200">
        <v>82239688</v>
      </c>
    </row>
    <row r="201" spans="1:4" x14ac:dyDescent="0.2">
      <c r="A201" s="1">
        <v>45460</v>
      </c>
      <c r="B201">
        <v>216.67</v>
      </c>
      <c r="C201">
        <v>93728304</v>
      </c>
      <c r="D201">
        <v>80395480</v>
      </c>
    </row>
    <row r="202" spans="1:4" x14ac:dyDescent="0.2">
      <c r="A202" s="1">
        <v>45457</v>
      </c>
      <c r="B202">
        <v>212.49</v>
      </c>
      <c r="C202">
        <v>70122752</v>
      </c>
      <c r="D202">
        <v>76568720</v>
      </c>
    </row>
    <row r="203" spans="1:4" x14ac:dyDescent="0.2">
      <c r="A203" s="1">
        <v>45456</v>
      </c>
      <c r="B203">
        <v>214.24</v>
      </c>
      <c r="C203">
        <v>97862728</v>
      </c>
      <c r="D203">
        <v>75294264</v>
      </c>
    </row>
    <row r="204" spans="1:4" x14ac:dyDescent="0.2">
      <c r="A204" s="1">
        <v>45455</v>
      </c>
      <c r="B204">
        <v>213.07</v>
      </c>
      <c r="C204">
        <v>198134288</v>
      </c>
      <c r="D204">
        <v>71079992</v>
      </c>
    </row>
    <row r="205" spans="1:4" x14ac:dyDescent="0.2">
      <c r="A205" s="1">
        <v>45454</v>
      </c>
      <c r="B205">
        <v>207.15</v>
      </c>
      <c r="C205">
        <v>172373296</v>
      </c>
      <c r="D205">
        <v>60691664</v>
      </c>
    </row>
    <row r="206" spans="1:4" x14ac:dyDescent="0.2">
      <c r="A206" s="1">
        <v>45453</v>
      </c>
      <c r="B206">
        <v>193.12</v>
      </c>
      <c r="C206">
        <v>97262080</v>
      </c>
      <c r="D206">
        <v>52157528</v>
      </c>
    </row>
    <row r="207" spans="1:4" x14ac:dyDescent="0.2">
      <c r="A207" s="1">
        <v>45450</v>
      </c>
      <c r="B207">
        <v>196.89</v>
      </c>
      <c r="C207">
        <v>53103912</v>
      </c>
      <c r="D207">
        <v>48425584</v>
      </c>
    </row>
    <row r="208" spans="1:4" x14ac:dyDescent="0.2">
      <c r="A208" s="1">
        <v>45449</v>
      </c>
      <c r="B208">
        <v>194.48</v>
      </c>
      <c r="C208">
        <v>41181752</v>
      </c>
      <c r="D208">
        <v>48408340</v>
      </c>
    </row>
    <row r="209" spans="1:4" x14ac:dyDescent="0.2">
      <c r="A209" s="1">
        <v>45448</v>
      </c>
      <c r="B209">
        <v>195.87</v>
      </c>
      <c r="C209">
        <v>54156784</v>
      </c>
      <c r="D209">
        <v>50356220</v>
      </c>
    </row>
    <row r="210" spans="1:4" x14ac:dyDescent="0.2">
      <c r="A210" s="1">
        <v>45447</v>
      </c>
      <c r="B210">
        <v>194.35</v>
      </c>
      <c r="C210">
        <v>47471444</v>
      </c>
      <c r="D210">
        <v>50238676</v>
      </c>
    </row>
    <row r="211" spans="1:4" x14ac:dyDescent="0.2">
      <c r="A211" s="1">
        <v>45446</v>
      </c>
      <c r="B211">
        <v>194.03</v>
      </c>
      <c r="C211">
        <v>50080540</v>
      </c>
      <c r="D211">
        <v>51876900</v>
      </c>
    </row>
    <row r="212" spans="1:4" x14ac:dyDescent="0.2">
      <c r="A212" s="1">
        <v>45443</v>
      </c>
      <c r="B212">
        <v>192.25</v>
      </c>
      <c r="C212">
        <v>75158280</v>
      </c>
      <c r="D212">
        <v>51922164</v>
      </c>
    </row>
    <row r="213" spans="1:4" x14ac:dyDescent="0.2">
      <c r="A213" s="1">
        <v>45442</v>
      </c>
      <c r="B213">
        <v>191.29</v>
      </c>
      <c r="C213">
        <v>49947940</v>
      </c>
    </row>
    <row r="214" spans="1:4" x14ac:dyDescent="0.2">
      <c r="A214" s="1">
        <v>45441</v>
      </c>
      <c r="B214">
        <v>190.29</v>
      </c>
      <c r="C214">
        <v>53068016</v>
      </c>
    </row>
    <row r="215" spans="1:4" x14ac:dyDescent="0.2">
      <c r="A215" s="1">
        <v>45440</v>
      </c>
      <c r="B215">
        <v>189.99</v>
      </c>
      <c r="C215">
        <v>52280052</v>
      </c>
    </row>
    <row r="216" spans="1:4" x14ac:dyDescent="0.2">
      <c r="A216" s="1">
        <v>45436</v>
      </c>
      <c r="B216">
        <v>189.98</v>
      </c>
      <c r="C216">
        <v>36326976</v>
      </c>
    </row>
    <row r="217" spans="1:4" x14ac:dyDescent="0.2">
      <c r="A217" s="1">
        <v>45435</v>
      </c>
      <c r="B217">
        <v>186.88</v>
      </c>
      <c r="C217">
        <v>51005924</v>
      </c>
    </row>
    <row r="218" spans="1:4" x14ac:dyDescent="0.2">
      <c r="A218" s="1">
        <v>45434</v>
      </c>
      <c r="B218">
        <v>190.9</v>
      </c>
      <c r="C218">
        <v>34648548</v>
      </c>
    </row>
    <row r="219" spans="1:4" x14ac:dyDescent="0.2">
      <c r="A219" s="1">
        <v>45433</v>
      </c>
      <c r="B219">
        <v>192.35</v>
      </c>
      <c r="C219">
        <v>42309400</v>
      </c>
    </row>
    <row r="220" spans="1:4" x14ac:dyDescent="0.2">
      <c r="A220" s="1">
        <v>45432</v>
      </c>
      <c r="B220">
        <v>191.04</v>
      </c>
      <c r="C220">
        <v>44361276</v>
      </c>
    </row>
    <row r="221" spans="1:4" x14ac:dyDescent="0.2">
      <c r="A221" s="1">
        <v>45429</v>
      </c>
      <c r="B221">
        <v>189.87</v>
      </c>
      <c r="C221">
        <v>41282924</v>
      </c>
    </row>
    <row r="222" spans="1:4" x14ac:dyDescent="0.2">
      <c r="A222" s="1">
        <v>45428</v>
      </c>
      <c r="B222">
        <v>189.84</v>
      </c>
      <c r="C222">
        <v>52845232</v>
      </c>
    </row>
    <row r="223" spans="1:4" x14ac:dyDescent="0.2">
      <c r="A223" s="1">
        <v>45427</v>
      </c>
      <c r="B223">
        <v>189.72</v>
      </c>
      <c r="C223">
        <v>70399984</v>
      </c>
    </row>
    <row r="224" spans="1:4" x14ac:dyDescent="0.2">
      <c r="A224" s="1">
        <v>45426</v>
      </c>
      <c r="B224">
        <v>187.43</v>
      </c>
      <c r="C224">
        <v>52393620</v>
      </c>
    </row>
    <row r="225" spans="1:3" x14ac:dyDescent="0.2">
      <c r="A225" s="1">
        <v>45425</v>
      </c>
      <c r="B225">
        <v>186.28</v>
      </c>
      <c r="C225">
        <v>72044808</v>
      </c>
    </row>
    <row r="226" spans="1:3" x14ac:dyDescent="0.2">
      <c r="A226" s="1">
        <v>45422</v>
      </c>
      <c r="B226">
        <v>183.05</v>
      </c>
      <c r="C226">
        <v>50759496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2B4E5-98A4-4D59-84FD-444D38CF3869}">
  <dimension ref="A1:B211"/>
  <sheetViews>
    <sheetView workbookViewId="0">
      <selection activeCell="D8" sqref="D8"/>
    </sheetView>
  </sheetViews>
  <sheetFormatPr baseColWidth="10" defaultColWidth="8.83203125" defaultRowHeight="15" x14ac:dyDescent="0.2"/>
  <cols>
    <col min="1" max="1" width="9.8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45750</v>
      </c>
      <c r="B2">
        <v>5396.52</v>
      </c>
    </row>
    <row r="3" spans="1:2" x14ac:dyDescent="0.2">
      <c r="A3" s="1">
        <v>45749</v>
      </c>
      <c r="B3">
        <v>5670.97</v>
      </c>
    </row>
    <row r="4" spans="1:2" x14ac:dyDescent="0.2">
      <c r="A4" s="1">
        <v>45748</v>
      </c>
      <c r="B4">
        <v>5633.07</v>
      </c>
    </row>
    <row r="5" spans="1:2" x14ac:dyDescent="0.2">
      <c r="A5" s="1">
        <v>45747</v>
      </c>
      <c r="B5">
        <v>5611.85</v>
      </c>
    </row>
    <row r="6" spans="1:2" x14ac:dyDescent="0.2">
      <c r="A6" s="1">
        <v>45744</v>
      </c>
      <c r="B6">
        <v>5580.94</v>
      </c>
    </row>
    <row r="7" spans="1:2" x14ac:dyDescent="0.2">
      <c r="A7" s="1">
        <v>45743</v>
      </c>
      <c r="B7">
        <v>5693.31</v>
      </c>
    </row>
    <row r="8" spans="1:2" x14ac:dyDescent="0.2">
      <c r="A8" s="1">
        <v>45742</v>
      </c>
      <c r="B8">
        <v>5712.2</v>
      </c>
    </row>
    <row r="9" spans="1:2" x14ac:dyDescent="0.2">
      <c r="A9" s="1">
        <v>45741</v>
      </c>
      <c r="B9">
        <v>5776.65</v>
      </c>
    </row>
    <row r="10" spans="1:2" x14ac:dyDescent="0.2">
      <c r="A10" s="1">
        <v>45740</v>
      </c>
      <c r="B10">
        <v>5767.57</v>
      </c>
    </row>
    <row r="11" spans="1:2" x14ac:dyDescent="0.2">
      <c r="A11" s="1">
        <v>45737</v>
      </c>
      <c r="B11">
        <v>5667.56</v>
      </c>
    </row>
    <row r="12" spans="1:2" x14ac:dyDescent="0.2">
      <c r="A12" s="1">
        <v>45736</v>
      </c>
      <c r="B12">
        <v>5662.89</v>
      </c>
    </row>
    <row r="13" spans="1:2" x14ac:dyDescent="0.2">
      <c r="A13" s="1">
        <v>45735</v>
      </c>
      <c r="B13">
        <v>5675.29</v>
      </c>
    </row>
    <row r="14" spans="1:2" x14ac:dyDescent="0.2">
      <c r="A14" s="1">
        <v>45734</v>
      </c>
      <c r="B14">
        <v>5614.66</v>
      </c>
    </row>
    <row r="15" spans="1:2" x14ac:dyDescent="0.2">
      <c r="A15" s="1">
        <v>45733</v>
      </c>
      <c r="B15">
        <v>5675.12</v>
      </c>
    </row>
    <row r="16" spans="1:2" x14ac:dyDescent="0.2">
      <c r="A16" s="1">
        <v>45730</v>
      </c>
      <c r="B16">
        <v>5638.94</v>
      </c>
    </row>
    <row r="17" spans="1:2" x14ac:dyDescent="0.2">
      <c r="A17" s="1">
        <v>45729</v>
      </c>
      <c r="B17">
        <v>5521.52</v>
      </c>
    </row>
    <row r="18" spans="1:2" x14ac:dyDescent="0.2">
      <c r="A18" s="1">
        <v>45728</v>
      </c>
      <c r="B18">
        <v>5599.3</v>
      </c>
    </row>
    <row r="19" spans="1:2" x14ac:dyDescent="0.2">
      <c r="A19" s="1">
        <v>45727</v>
      </c>
      <c r="B19">
        <v>5572.07</v>
      </c>
    </row>
    <row r="20" spans="1:2" x14ac:dyDescent="0.2">
      <c r="A20" s="1">
        <v>45726</v>
      </c>
      <c r="B20">
        <v>5614.56</v>
      </c>
    </row>
    <row r="21" spans="1:2" x14ac:dyDescent="0.2">
      <c r="A21" s="1">
        <v>45723</v>
      </c>
      <c r="B21">
        <v>5770.2</v>
      </c>
    </row>
    <row r="22" spans="1:2" x14ac:dyDescent="0.2">
      <c r="A22" s="1">
        <v>45722</v>
      </c>
      <c r="B22">
        <v>5738.52</v>
      </c>
    </row>
    <row r="23" spans="1:2" x14ac:dyDescent="0.2">
      <c r="A23" s="1">
        <v>45721</v>
      </c>
      <c r="B23">
        <v>5842.63</v>
      </c>
    </row>
    <row r="24" spans="1:2" x14ac:dyDescent="0.2">
      <c r="A24" s="1">
        <v>45720</v>
      </c>
      <c r="B24">
        <v>5778.15</v>
      </c>
    </row>
    <row r="25" spans="1:2" x14ac:dyDescent="0.2">
      <c r="A25" s="1">
        <v>45719</v>
      </c>
      <c r="B25">
        <v>5849.72</v>
      </c>
    </row>
    <row r="26" spans="1:2" x14ac:dyDescent="0.2">
      <c r="A26" s="1">
        <v>45716</v>
      </c>
      <c r="B26">
        <v>5954.5</v>
      </c>
    </row>
    <row r="27" spans="1:2" x14ac:dyDescent="0.2">
      <c r="A27" s="1">
        <v>45715</v>
      </c>
      <c r="B27">
        <v>5861.57</v>
      </c>
    </row>
    <row r="28" spans="1:2" x14ac:dyDescent="0.2">
      <c r="A28" s="1">
        <v>45714</v>
      </c>
      <c r="B28">
        <v>5956.06</v>
      </c>
    </row>
    <row r="29" spans="1:2" x14ac:dyDescent="0.2">
      <c r="A29" s="1">
        <v>45713</v>
      </c>
      <c r="B29">
        <v>5955.25</v>
      </c>
    </row>
    <row r="30" spans="1:2" x14ac:dyDescent="0.2">
      <c r="A30" s="1">
        <v>45712</v>
      </c>
      <c r="B30">
        <v>5983.25</v>
      </c>
    </row>
    <row r="31" spans="1:2" x14ac:dyDescent="0.2">
      <c r="A31" s="1">
        <v>45709</v>
      </c>
      <c r="B31">
        <v>6013.13</v>
      </c>
    </row>
    <row r="32" spans="1:2" x14ac:dyDescent="0.2">
      <c r="A32" s="1">
        <v>45708</v>
      </c>
      <c r="B32">
        <v>6117.52</v>
      </c>
    </row>
    <row r="33" spans="1:2" x14ac:dyDescent="0.2">
      <c r="A33" s="1">
        <v>45707</v>
      </c>
      <c r="B33">
        <v>6144.15</v>
      </c>
    </row>
    <row r="34" spans="1:2" x14ac:dyDescent="0.2">
      <c r="A34" s="1">
        <v>45706</v>
      </c>
      <c r="B34">
        <v>6129.58</v>
      </c>
    </row>
    <row r="35" spans="1:2" x14ac:dyDescent="0.2">
      <c r="A35" s="1">
        <v>45702</v>
      </c>
      <c r="B35">
        <v>6114.63</v>
      </c>
    </row>
    <row r="36" spans="1:2" x14ac:dyDescent="0.2">
      <c r="A36" s="1">
        <v>45701</v>
      </c>
      <c r="B36">
        <v>6115.07</v>
      </c>
    </row>
    <row r="37" spans="1:2" x14ac:dyDescent="0.2">
      <c r="A37" s="1">
        <v>45700</v>
      </c>
      <c r="B37">
        <v>6051.97</v>
      </c>
    </row>
    <row r="38" spans="1:2" x14ac:dyDescent="0.2">
      <c r="A38" s="1">
        <v>45699</v>
      </c>
      <c r="B38">
        <v>6068.5</v>
      </c>
    </row>
    <row r="39" spans="1:2" x14ac:dyDescent="0.2">
      <c r="A39" s="1">
        <v>45698</v>
      </c>
      <c r="B39">
        <v>6066.44</v>
      </c>
    </row>
    <row r="40" spans="1:2" x14ac:dyDescent="0.2">
      <c r="A40" s="1">
        <v>45695</v>
      </c>
      <c r="B40">
        <v>6025.99</v>
      </c>
    </row>
    <row r="41" spans="1:2" x14ac:dyDescent="0.2">
      <c r="A41" s="1">
        <v>45694</v>
      </c>
      <c r="B41">
        <v>6083.57</v>
      </c>
    </row>
    <row r="42" spans="1:2" x14ac:dyDescent="0.2">
      <c r="A42" s="1">
        <v>45693</v>
      </c>
      <c r="B42">
        <v>6061.48</v>
      </c>
    </row>
    <row r="43" spans="1:2" x14ac:dyDescent="0.2">
      <c r="A43" s="1">
        <v>45692</v>
      </c>
      <c r="B43">
        <v>6037.88</v>
      </c>
    </row>
    <row r="44" spans="1:2" x14ac:dyDescent="0.2">
      <c r="A44" s="1">
        <v>45691</v>
      </c>
      <c r="B44">
        <v>5994.57</v>
      </c>
    </row>
    <row r="45" spans="1:2" x14ac:dyDescent="0.2">
      <c r="A45" s="1">
        <v>45688</v>
      </c>
      <c r="B45">
        <v>6040.53</v>
      </c>
    </row>
    <row r="46" spans="1:2" x14ac:dyDescent="0.2">
      <c r="A46" s="1">
        <v>45687</v>
      </c>
      <c r="B46">
        <v>6071.17</v>
      </c>
    </row>
    <row r="47" spans="1:2" x14ac:dyDescent="0.2">
      <c r="A47" s="1">
        <v>45686</v>
      </c>
      <c r="B47">
        <v>6039.31</v>
      </c>
    </row>
    <row r="48" spans="1:2" x14ac:dyDescent="0.2">
      <c r="A48" s="1">
        <v>45685</v>
      </c>
      <c r="B48">
        <v>6067.7</v>
      </c>
    </row>
    <row r="49" spans="1:2" x14ac:dyDescent="0.2">
      <c r="A49" s="1">
        <v>45684</v>
      </c>
      <c r="B49">
        <v>6012.28</v>
      </c>
    </row>
    <row r="50" spans="1:2" x14ac:dyDescent="0.2">
      <c r="A50" s="1">
        <v>45681</v>
      </c>
      <c r="B50">
        <v>6101.24</v>
      </c>
    </row>
    <row r="51" spans="1:2" x14ac:dyDescent="0.2">
      <c r="A51" s="1">
        <v>45680</v>
      </c>
      <c r="B51">
        <v>6118.71</v>
      </c>
    </row>
    <row r="52" spans="1:2" x14ac:dyDescent="0.2">
      <c r="A52" s="1">
        <v>45679</v>
      </c>
      <c r="B52">
        <v>6086.37</v>
      </c>
    </row>
    <row r="53" spans="1:2" x14ac:dyDescent="0.2">
      <c r="A53" s="1">
        <v>45678</v>
      </c>
      <c r="B53">
        <v>6049.24</v>
      </c>
    </row>
    <row r="54" spans="1:2" x14ac:dyDescent="0.2">
      <c r="A54" s="1">
        <v>45674</v>
      </c>
      <c r="B54">
        <v>5996.66</v>
      </c>
    </row>
    <row r="55" spans="1:2" x14ac:dyDescent="0.2">
      <c r="A55" s="1">
        <v>45673</v>
      </c>
      <c r="B55">
        <v>5937.34</v>
      </c>
    </row>
    <row r="56" spans="1:2" x14ac:dyDescent="0.2">
      <c r="A56" s="1">
        <v>45672</v>
      </c>
      <c r="B56">
        <v>5949.91</v>
      </c>
    </row>
    <row r="57" spans="1:2" x14ac:dyDescent="0.2">
      <c r="A57" s="1">
        <v>45671</v>
      </c>
      <c r="B57">
        <v>5842.91</v>
      </c>
    </row>
    <row r="58" spans="1:2" x14ac:dyDescent="0.2">
      <c r="A58" s="1">
        <v>45670</v>
      </c>
      <c r="B58">
        <v>5836.22</v>
      </c>
    </row>
    <row r="59" spans="1:2" x14ac:dyDescent="0.2">
      <c r="A59" s="1">
        <v>45667</v>
      </c>
      <c r="B59">
        <v>5827.04</v>
      </c>
    </row>
    <row r="60" spans="1:2" x14ac:dyDescent="0.2">
      <c r="A60" s="1">
        <v>45665</v>
      </c>
      <c r="B60">
        <v>5918.25</v>
      </c>
    </row>
    <row r="61" spans="1:2" x14ac:dyDescent="0.2">
      <c r="A61" s="1">
        <v>45664</v>
      </c>
      <c r="B61">
        <v>5909.03</v>
      </c>
    </row>
    <row r="62" spans="1:2" x14ac:dyDescent="0.2">
      <c r="A62" s="1">
        <v>45663</v>
      </c>
      <c r="B62">
        <v>5975.38</v>
      </c>
    </row>
    <row r="63" spans="1:2" x14ac:dyDescent="0.2">
      <c r="A63" s="1">
        <v>45660</v>
      </c>
      <c r="B63">
        <v>5942.47</v>
      </c>
    </row>
    <row r="64" spans="1:2" x14ac:dyDescent="0.2">
      <c r="A64" s="1">
        <v>45659</v>
      </c>
      <c r="B64">
        <v>5868.55</v>
      </c>
    </row>
    <row r="65" spans="1:2" x14ac:dyDescent="0.2">
      <c r="A65" s="1">
        <v>45657</v>
      </c>
      <c r="B65">
        <v>5881.63</v>
      </c>
    </row>
    <row r="66" spans="1:2" x14ac:dyDescent="0.2">
      <c r="A66" s="1">
        <v>45656</v>
      </c>
      <c r="B66">
        <v>5906.94</v>
      </c>
    </row>
    <row r="67" spans="1:2" x14ac:dyDescent="0.2">
      <c r="A67" s="1">
        <v>45653</v>
      </c>
      <c r="B67">
        <v>5970.84</v>
      </c>
    </row>
    <row r="68" spans="1:2" x14ac:dyDescent="0.2">
      <c r="A68" s="1">
        <v>45652</v>
      </c>
      <c r="B68">
        <v>6037.59</v>
      </c>
    </row>
    <row r="69" spans="1:2" x14ac:dyDescent="0.2">
      <c r="A69" s="1">
        <v>45650</v>
      </c>
      <c r="B69">
        <v>6040.04</v>
      </c>
    </row>
    <row r="70" spans="1:2" x14ac:dyDescent="0.2">
      <c r="A70" s="1">
        <v>45649</v>
      </c>
      <c r="B70">
        <v>5974.07</v>
      </c>
    </row>
    <row r="71" spans="1:2" x14ac:dyDescent="0.2">
      <c r="A71" s="1">
        <v>45646</v>
      </c>
      <c r="B71">
        <v>5930.85</v>
      </c>
    </row>
    <row r="72" spans="1:2" x14ac:dyDescent="0.2">
      <c r="A72" s="1">
        <v>45645</v>
      </c>
      <c r="B72">
        <v>5867.08</v>
      </c>
    </row>
    <row r="73" spans="1:2" x14ac:dyDescent="0.2">
      <c r="A73" s="1">
        <v>45644</v>
      </c>
      <c r="B73">
        <v>5872.16</v>
      </c>
    </row>
    <row r="74" spans="1:2" x14ac:dyDescent="0.2">
      <c r="A74" s="1">
        <v>45643</v>
      </c>
      <c r="B74">
        <v>6050.61</v>
      </c>
    </row>
    <row r="75" spans="1:2" x14ac:dyDescent="0.2">
      <c r="A75" s="1">
        <v>45642</v>
      </c>
      <c r="B75">
        <v>6074.08</v>
      </c>
    </row>
    <row r="76" spans="1:2" x14ac:dyDescent="0.2">
      <c r="A76" s="1">
        <v>45639</v>
      </c>
      <c r="B76">
        <v>6051.09</v>
      </c>
    </row>
    <row r="77" spans="1:2" x14ac:dyDescent="0.2">
      <c r="A77" s="1">
        <v>45638</v>
      </c>
      <c r="B77">
        <v>6051.25</v>
      </c>
    </row>
    <row r="78" spans="1:2" x14ac:dyDescent="0.2">
      <c r="A78" s="1">
        <v>45637</v>
      </c>
      <c r="B78">
        <v>6084.19</v>
      </c>
    </row>
    <row r="79" spans="1:2" x14ac:dyDescent="0.2">
      <c r="A79" s="1">
        <v>45636</v>
      </c>
      <c r="B79">
        <v>6034.91</v>
      </c>
    </row>
    <row r="80" spans="1:2" x14ac:dyDescent="0.2">
      <c r="A80" s="1">
        <v>45635</v>
      </c>
      <c r="B80">
        <v>6052.85</v>
      </c>
    </row>
    <row r="81" spans="1:2" x14ac:dyDescent="0.2">
      <c r="A81" s="1">
        <v>45632</v>
      </c>
      <c r="B81">
        <v>6090.27</v>
      </c>
    </row>
    <row r="82" spans="1:2" x14ac:dyDescent="0.2">
      <c r="A82" s="1">
        <v>45631</v>
      </c>
      <c r="B82">
        <v>6075.11</v>
      </c>
    </row>
    <row r="83" spans="1:2" x14ac:dyDescent="0.2">
      <c r="A83" s="1">
        <v>45630</v>
      </c>
      <c r="B83">
        <v>6086.49</v>
      </c>
    </row>
    <row r="84" spans="1:2" x14ac:dyDescent="0.2">
      <c r="A84" s="1">
        <v>45629</v>
      </c>
      <c r="B84">
        <v>6049.88</v>
      </c>
    </row>
    <row r="85" spans="1:2" x14ac:dyDescent="0.2">
      <c r="A85" s="1">
        <v>45628</v>
      </c>
      <c r="B85">
        <v>6047.15</v>
      </c>
    </row>
    <row r="86" spans="1:2" x14ac:dyDescent="0.2">
      <c r="A86" s="1">
        <v>45625</v>
      </c>
      <c r="B86">
        <v>6032.38</v>
      </c>
    </row>
    <row r="87" spans="1:2" x14ac:dyDescent="0.2">
      <c r="A87" s="1">
        <v>45623</v>
      </c>
      <c r="B87">
        <v>5998.74</v>
      </c>
    </row>
    <row r="88" spans="1:2" x14ac:dyDescent="0.2">
      <c r="A88" s="1">
        <v>45622</v>
      </c>
      <c r="B88">
        <v>6021.63</v>
      </c>
    </row>
    <row r="89" spans="1:2" x14ac:dyDescent="0.2">
      <c r="A89" s="1">
        <v>45621</v>
      </c>
      <c r="B89">
        <v>5987.37</v>
      </c>
    </row>
    <row r="90" spans="1:2" x14ac:dyDescent="0.2">
      <c r="A90" s="1">
        <v>45618</v>
      </c>
      <c r="B90">
        <v>5969.34</v>
      </c>
    </row>
    <row r="91" spans="1:2" x14ac:dyDescent="0.2">
      <c r="A91" s="1">
        <v>45617</v>
      </c>
      <c r="B91">
        <v>5948.71</v>
      </c>
    </row>
    <row r="92" spans="1:2" x14ac:dyDescent="0.2">
      <c r="A92" s="1">
        <v>45616</v>
      </c>
      <c r="B92">
        <v>5917.11</v>
      </c>
    </row>
    <row r="93" spans="1:2" x14ac:dyDescent="0.2">
      <c r="A93" s="1">
        <v>45615</v>
      </c>
      <c r="B93">
        <v>5916.98</v>
      </c>
    </row>
    <row r="94" spans="1:2" x14ac:dyDescent="0.2">
      <c r="A94" s="1">
        <v>45614</v>
      </c>
      <c r="B94">
        <v>5893.62</v>
      </c>
    </row>
    <row r="95" spans="1:2" x14ac:dyDescent="0.2">
      <c r="A95" s="1">
        <v>45611</v>
      </c>
      <c r="B95">
        <v>5870.62</v>
      </c>
    </row>
    <row r="96" spans="1:2" x14ac:dyDescent="0.2">
      <c r="A96" s="1">
        <v>45610</v>
      </c>
      <c r="B96">
        <v>5949.17</v>
      </c>
    </row>
    <row r="97" spans="1:2" x14ac:dyDescent="0.2">
      <c r="A97" s="1">
        <v>45609</v>
      </c>
      <c r="B97">
        <v>5985.38</v>
      </c>
    </row>
    <row r="98" spans="1:2" x14ac:dyDescent="0.2">
      <c r="A98" s="1">
        <v>45608</v>
      </c>
      <c r="B98">
        <v>5983.99</v>
      </c>
    </row>
    <row r="99" spans="1:2" x14ac:dyDescent="0.2">
      <c r="A99" s="1">
        <v>45607</v>
      </c>
      <c r="B99">
        <v>6001.35</v>
      </c>
    </row>
    <row r="100" spans="1:2" x14ac:dyDescent="0.2">
      <c r="A100" s="1">
        <v>45604</v>
      </c>
      <c r="B100">
        <v>5995.54</v>
      </c>
    </row>
    <row r="101" spans="1:2" x14ac:dyDescent="0.2">
      <c r="A101" s="1">
        <v>45603</v>
      </c>
      <c r="B101">
        <v>5973.1</v>
      </c>
    </row>
    <row r="102" spans="1:2" x14ac:dyDescent="0.2">
      <c r="A102" s="1">
        <v>45602</v>
      </c>
      <c r="B102">
        <v>5929.04</v>
      </c>
    </row>
    <row r="103" spans="1:2" x14ac:dyDescent="0.2">
      <c r="A103" s="1">
        <v>45601</v>
      </c>
      <c r="B103">
        <v>5782.76</v>
      </c>
    </row>
    <row r="104" spans="1:2" x14ac:dyDescent="0.2">
      <c r="A104" s="1">
        <v>45600</v>
      </c>
      <c r="B104">
        <v>5712.69</v>
      </c>
    </row>
    <row r="105" spans="1:2" x14ac:dyDescent="0.2">
      <c r="A105" s="1">
        <v>45597</v>
      </c>
      <c r="B105">
        <v>5728.8</v>
      </c>
    </row>
    <row r="106" spans="1:2" x14ac:dyDescent="0.2">
      <c r="A106" s="1">
        <v>45596</v>
      </c>
      <c r="B106">
        <v>5705.45</v>
      </c>
    </row>
    <row r="107" spans="1:2" x14ac:dyDescent="0.2">
      <c r="A107" s="1">
        <v>45595</v>
      </c>
      <c r="B107">
        <v>5813.67</v>
      </c>
    </row>
    <row r="108" spans="1:2" x14ac:dyDescent="0.2">
      <c r="A108" s="1">
        <v>45594</v>
      </c>
      <c r="B108">
        <v>5832.92</v>
      </c>
    </row>
    <row r="109" spans="1:2" x14ac:dyDescent="0.2">
      <c r="A109" s="1">
        <v>45593</v>
      </c>
      <c r="B109">
        <v>5823.52</v>
      </c>
    </row>
    <row r="110" spans="1:2" x14ac:dyDescent="0.2">
      <c r="A110" s="1">
        <v>45590</v>
      </c>
      <c r="B110">
        <v>5808.12</v>
      </c>
    </row>
    <row r="111" spans="1:2" x14ac:dyDescent="0.2">
      <c r="A111" s="1">
        <v>45589</v>
      </c>
      <c r="B111">
        <v>5809.86</v>
      </c>
    </row>
    <row r="112" spans="1:2" x14ac:dyDescent="0.2">
      <c r="A112" s="1">
        <v>45588</v>
      </c>
      <c r="B112">
        <v>5797.42</v>
      </c>
    </row>
    <row r="113" spans="1:2" x14ac:dyDescent="0.2">
      <c r="A113" s="1">
        <v>45587</v>
      </c>
      <c r="B113">
        <v>5851.2</v>
      </c>
    </row>
    <row r="114" spans="1:2" x14ac:dyDescent="0.2">
      <c r="A114" s="1">
        <v>45586</v>
      </c>
      <c r="B114">
        <v>5853.98</v>
      </c>
    </row>
    <row r="115" spans="1:2" x14ac:dyDescent="0.2">
      <c r="A115" s="1">
        <v>45583</v>
      </c>
      <c r="B115">
        <v>5864.67</v>
      </c>
    </row>
    <row r="116" spans="1:2" x14ac:dyDescent="0.2">
      <c r="A116" s="1">
        <v>45582</v>
      </c>
      <c r="B116">
        <v>5841.47</v>
      </c>
    </row>
    <row r="117" spans="1:2" x14ac:dyDescent="0.2">
      <c r="A117" s="1">
        <v>45581</v>
      </c>
      <c r="B117">
        <v>5842.47</v>
      </c>
    </row>
    <row r="118" spans="1:2" x14ac:dyDescent="0.2">
      <c r="A118" s="1">
        <v>45580</v>
      </c>
      <c r="B118">
        <v>5815.26</v>
      </c>
    </row>
    <row r="119" spans="1:2" x14ac:dyDescent="0.2">
      <c r="A119" s="1">
        <v>45579</v>
      </c>
      <c r="B119">
        <v>5859.85</v>
      </c>
    </row>
    <row r="120" spans="1:2" x14ac:dyDescent="0.2">
      <c r="A120" s="1">
        <v>45576</v>
      </c>
      <c r="B120">
        <v>5815.03</v>
      </c>
    </row>
    <row r="121" spans="1:2" x14ac:dyDescent="0.2">
      <c r="A121" s="1">
        <v>45575</v>
      </c>
      <c r="B121">
        <v>5780.05</v>
      </c>
    </row>
    <row r="122" spans="1:2" x14ac:dyDescent="0.2">
      <c r="A122" s="1">
        <v>45574</v>
      </c>
      <c r="B122">
        <v>5792.04</v>
      </c>
    </row>
    <row r="123" spans="1:2" x14ac:dyDescent="0.2">
      <c r="A123" s="1">
        <v>45573</v>
      </c>
      <c r="B123">
        <v>5751.13</v>
      </c>
    </row>
    <row r="124" spans="1:2" x14ac:dyDescent="0.2">
      <c r="A124" s="1">
        <v>45572</v>
      </c>
      <c r="B124">
        <v>5695.94</v>
      </c>
    </row>
    <row r="125" spans="1:2" x14ac:dyDescent="0.2">
      <c r="A125" s="1">
        <v>45569</v>
      </c>
      <c r="B125">
        <v>5751.07</v>
      </c>
    </row>
    <row r="126" spans="1:2" x14ac:dyDescent="0.2">
      <c r="A126" s="1">
        <v>45568</v>
      </c>
      <c r="B126">
        <v>5699.94</v>
      </c>
    </row>
    <row r="127" spans="1:2" x14ac:dyDescent="0.2">
      <c r="A127" s="1">
        <v>45567</v>
      </c>
      <c r="B127">
        <v>5709.54</v>
      </c>
    </row>
    <row r="128" spans="1:2" x14ac:dyDescent="0.2">
      <c r="A128" s="1">
        <v>45566</v>
      </c>
      <c r="B128">
        <v>5708.75</v>
      </c>
    </row>
    <row r="129" spans="1:2" x14ac:dyDescent="0.2">
      <c r="A129" s="1">
        <v>45565</v>
      </c>
      <c r="B129">
        <v>5762.48</v>
      </c>
    </row>
    <row r="130" spans="1:2" x14ac:dyDescent="0.2">
      <c r="A130" s="1">
        <v>45562</v>
      </c>
      <c r="B130">
        <v>5738.17</v>
      </c>
    </row>
    <row r="131" spans="1:2" x14ac:dyDescent="0.2">
      <c r="A131" s="1">
        <v>45561</v>
      </c>
      <c r="B131">
        <v>5745.37</v>
      </c>
    </row>
    <row r="132" spans="1:2" x14ac:dyDescent="0.2">
      <c r="A132" s="1">
        <v>45560</v>
      </c>
      <c r="B132">
        <v>5722.26</v>
      </c>
    </row>
    <row r="133" spans="1:2" x14ac:dyDescent="0.2">
      <c r="A133" s="1">
        <v>45559</v>
      </c>
      <c r="B133">
        <v>5732.93</v>
      </c>
    </row>
    <row r="134" spans="1:2" x14ac:dyDescent="0.2">
      <c r="A134" s="1">
        <v>45558</v>
      </c>
      <c r="B134">
        <v>5718.57</v>
      </c>
    </row>
    <row r="135" spans="1:2" x14ac:dyDescent="0.2">
      <c r="A135" s="1">
        <v>45555</v>
      </c>
      <c r="B135">
        <v>5702.55</v>
      </c>
    </row>
    <row r="136" spans="1:2" x14ac:dyDescent="0.2">
      <c r="A136" s="1">
        <v>45554</v>
      </c>
      <c r="B136">
        <v>5713.64</v>
      </c>
    </row>
    <row r="137" spans="1:2" x14ac:dyDescent="0.2">
      <c r="A137" s="1">
        <v>45553</v>
      </c>
      <c r="B137">
        <v>5618.26</v>
      </c>
    </row>
    <row r="138" spans="1:2" x14ac:dyDescent="0.2">
      <c r="A138" s="1">
        <v>45552</v>
      </c>
      <c r="B138">
        <v>5634.58</v>
      </c>
    </row>
    <row r="139" spans="1:2" x14ac:dyDescent="0.2">
      <c r="A139" s="1">
        <v>45551</v>
      </c>
      <c r="B139">
        <v>5633.09</v>
      </c>
    </row>
    <row r="140" spans="1:2" x14ac:dyDescent="0.2">
      <c r="A140" s="1">
        <v>45548</v>
      </c>
      <c r="B140">
        <v>5626.02</v>
      </c>
    </row>
    <row r="141" spans="1:2" x14ac:dyDescent="0.2">
      <c r="A141" s="1">
        <v>45547</v>
      </c>
      <c r="B141">
        <v>5595.76</v>
      </c>
    </row>
    <row r="142" spans="1:2" x14ac:dyDescent="0.2">
      <c r="A142" s="1">
        <v>45546</v>
      </c>
      <c r="B142">
        <v>5554.13</v>
      </c>
    </row>
    <row r="143" spans="1:2" x14ac:dyDescent="0.2">
      <c r="A143" s="1">
        <v>45545</v>
      </c>
      <c r="B143">
        <v>5495.52</v>
      </c>
    </row>
    <row r="144" spans="1:2" x14ac:dyDescent="0.2">
      <c r="A144" s="1">
        <v>45544</v>
      </c>
      <c r="B144">
        <v>5471.05</v>
      </c>
    </row>
    <row r="145" spans="1:2" x14ac:dyDescent="0.2">
      <c r="A145" s="1">
        <v>45541</v>
      </c>
      <c r="B145">
        <v>5408.42</v>
      </c>
    </row>
    <row r="146" spans="1:2" x14ac:dyDescent="0.2">
      <c r="A146" s="1">
        <v>45540</v>
      </c>
      <c r="B146">
        <v>5503.41</v>
      </c>
    </row>
    <row r="147" spans="1:2" x14ac:dyDescent="0.2">
      <c r="A147" s="1">
        <v>45539</v>
      </c>
      <c r="B147">
        <v>5520.07</v>
      </c>
    </row>
    <row r="148" spans="1:2" x14ac:dyDescent="0.2">
      <c r="A148" s="1">
        <v>45538</v>
      </c>
      <c r="B148">
        <v>5528.93</v>
      </c>
    </row>
    <row r="149" spans="1:2" x14ac:dyDescent="0.2">
      <c r="A149" s="1">
        <v>45534</v>
      </c>
      <c r="B149">
        <v>5648.4</v>
      </c>
    </row>
    <row r="150" spans="1:2" x14ac:dyDescent="0.2">
      <c r="A150" s="1">
        <v>45533</v>
      </c>
      <c r="B150">
        <v>5591.96</v>
      </c>
    </row>
    <row r="151" spans="1:2" x14ac:dyDescent="0.2">
      <c r="A151" s="1">
        <v>45532</v>
      </c>
      <c r="B151">
        <v>5592.18</v>
      </c>
    </row>
    <row r="152" spans="1:2" x14ac:dyDescent="0.2">
      <c r="A152" s="1">
        <v>45531</v>
      </c>
      <c r="B152">
        <v>5625.8</v>
      </c>
    </row>
    <row r="153" spans="1:2" x14ac:dyDescent="0.2">
      <c r="A153" s="1">
        <v>45530</v>
      </c>
      <c r="B153">
        <v>5616.84</v>
      </c>
    </row>
    <row r="154" spans="1:2" x14ac:dyDescent="0.2">
      <c r="A154" s="1">
        <v>45527</v>
      </c>
      <c r="B154">
        <v>5634.61</v>
      </c>
    </row>
    <row r="155" spans="1:2" x14ac:dyDescent="0.2">
      <c r="A155" s="1">
        <v>45526</v>
      </c>
      <c r="B155">
        <v>5570.64</v>
      </c>
    </row>
    <row r="156" spans="1:2" x14ac:dyDescent="0.2">
      <c r="A156" s="1">
        <v>45525</v>
      </c>
      <c r="B156">
        <v>5620.85</v>
      </c>
    </row>
    <row r="157" spans="1:2" x14ac:dyDescent="0.2">
      <c r="A157" s="1">
        <v>45524</v>
      </c>
      <c r="B157">
        <v>5597.12</v>
      </c>
    </row>
    <row r="158" spans="1:2" x14ac:dyDescent="0.2">
      <c r="A158" s="1">
        <v>45523</v>
      </c>
      <c r="B158">
        <v>5608.25</v>
      </c>
    </row>
    <row r="159" spans="1:2" x14ac:dyDescent="0.2">
      <c r="A159" s="1">
        <v>45520</v>
      </c>
      <c r="B159">
        <v>5554.25</v>
      </c>
    </row>
    <row r="160" spans="1:2" x14ac:dyDescent="0.2">
      <c r="A160" s="1">
        <v>45519</v>
      </c>
      <c r="B160">
        <v>5543.22</v>
      </c>
    </row>
    <row r="161" spans="1:2" x14ac:dyDescent="0.2">
      <c r="A161" s="1">
        <v>45518</v>
      </c>
      <c r="B161">
        <v>5455.21</v>
      </c>
    </row>
    <row r="162" spans="1:2" x14ac:dyDescent="0.2">
      <c r="A162" s="1">
        <v>45517</v>
      </c>
      <c r="B162">
        <v>5434.43</v>
      </c>
    </row>
    <row r="163" spans="1:2" x14ac:dyDescent="0.2">
      <c r="A163" s="1">
        <v>45516</v>
      </c>
      <c r="B163">
        <v>5344.39</v>
      </c>
    </row>
    <row r="164" spans="1:2" x14ac:dyDescent="0.2">
      <c r="A164" s="1">
        <v>45513</v>
      </c>
      <c r="B164">
        <v>5344.16</v>
      </c>
    </row>
    <row r="165" spans="1:2" x14ac:dyDescent="0.2">
      <c r="A165" s="1">
        <v>45512</v>
      </c>
      <c r="B165">
        <v>5319.31</v>
      </c>
    </row>
    <row r="166" spans="1:2" x14ac:dyDescent="0.2">
      <c r="A166" s="1">
        <v>45511</v>
      </c>
      <c r="B166">
        <v>5199.5</v>
      </c>
    </row>
    <row r="167" spans="1:2" x14ac:dyDescent="0.2">
      <c r="A167" s="1">
        <v>45510</v>
      </c>
      <c r="B167">
        <v>5240.03</v>
      </c>
    </row>
    <row r="168" spans="1:2" x14ac:dyDescent="0.2">
      <c r="A168" s="1">
        <v>45509</v>
      </c>
      <c r="B168">
        <v>5186.33</v>
      </c>
    </row>
    <row r="169" spans="1:2" x14ac:dyDescent="0.2">
      <c r="A169" s="1">
        <v>45506</v>
      </c>
      <c r="B169">
        <v>5346.56</v>
      </c>
    </row>
    <row r="170" spans="1:2" x14ac:dyDescent="0.2">
      <c r="A170" s="1">
        <v>45505</v>
      </c>
      <c r="B170">
        <v>5446.68</v>
      </c>
    </row>
    <row r="171" spans="1:2" x14ac:dyDescent="0.2">
      <c r="A171" s="1">
        <v>45504</v>
      </c>
      <c r="B171">
        <v>5522.3</v>
      </c>
    </row>
    <row r="172" spans="1:2" x14ac:dyDescent="0.2">
      <c r="A172" s="1">
        <v>45503</v>
      </c>
      <c r="B172">
        <v>5436.44</v>
      </c>
    </row>
    <row r="173" spans="1:2" x14ac:dyDescent="0.2">
      <c r="A173" s="1">
        <v>45502</v>
      </c>
      <c r="B173">
        <v>5463.54</v>
      </c>
    </row>
    <row r="174" spans="1:2" x14ac:dyDescent="0.2">
      <c r="A174" s="1">
        <v>45499</v>
      </c>
      <c r="B174">
        <v>5459.1</v>
      </c>
    </row>
    <row r="175" spans="1:2" x14ac:dyDescent="0.2">
      <c r="A175" s="1">
        <v>45498</v>
      </c>
      <c r="B175">
        <v>5399.22</v>
      </c>
    </row>
    <row r="176" spans="1:2" x14ac:dyDescent="0.2">
      <c r="A176" s="1">
        <v>45497</v>
      </c>
      <c r="B176">
        <v>5427.13</v>
      </c>
    </row>
    <row r="177" spans="1:2" x14ac:dyDescent="0.2">
      <c r="A177" s="1">
        <v>45496</v>
      </c>
      <c r="B177">
        <v>5555.74</v>
      </c>
    </row>
    <row r="178" spans="1:2" x14ac:dyDescent="0.2">
      <c r="A178" s="1">
        <v>45495</v>
      </c>
      <c r="B178">
        <v>5564.41</v>
      </c>
    </row>
    <row r="179" spans="1:2" x14ac:dyDescent="0.2">
      <c r="A179" s="1">
        <v>45492</v>
      </c>
      <c r="B179">
        <v>5505</v>
      </c>
    </row>
    <row r="180" spans="1:2" x14ac:dyDescent="0.2">
      <c r="A180" s="1">
        <v>45491</v>
      </c>
      <c r="B180">
        <v>5544.59</v>
      </c>
    </row>
    <row r="181" spans="1:2" x14ac:dyDescent="0.2">
      <c r="A181" s="1">
        <v>45490</v>
      </c>
      <c r="B181">
        <v>5588.27</v>
      </c>
    </row>
    <row r="182" spans="1:2" x14ac:dyDescent="0.2">
      <c r="A182" s="1">
        <v>45489</v>
      </c>
      <c r="B182">
        <v>5667.2</v>
      </c>
    </row>
    <row r="183" spans="1:2" x14ac:dyDescent="0.2">
      <c r="A183" s="1">
        <v>45488</v>
      </c>
      <c r="B183">
        <v>5631.22</v>
      </c>
    </row>
    <row r="184" spans="1:2" x14ac:dyDescent="0.2">
      <c r="A184" s="1">
        <v>45485</v>
      </c>
      <c r="B184">
        <v>5615.35</v>
      </c>
    </row>
    <row r="185" spans="1:2" x14ac:dyDescent="0.2">
      <c r="A185" s="1">
        <v>45484</v>
      </c>
      <c r="B185">
        <v>5584.54</v>
      </c>
    </row>
    <row r="186" spans="1:2" x14ac:dyDescent="0.2">
      <c r="A186" s="1">
        <v>45483</v>
      </c>
      <c r="B186">
        <v>5633.91</v>
      </c>
    </row>
    <row r="187" spans="1:2" x14ac:dyDescent="0.2">
      <c r="A187" s="1">
        <v>45482</v>
      </c>
      <c r="B187">
        <v>5576.98</v>
      </c>
    </row>
    <row r="188" spans="1:2" x14ac:dyDescent="0.2">
      <c r="A188" s="1">
        <v>45481</v>
      </c>
      <c r="B188">
        <v>5572.85</v>
      </c>
    </row>
    <row r="189" spans="1:2" x14ac:dyDescent="0.2">
      <c r="A189" s="1">
        <v>45478</v>
      </c>
      <c r="B189">
        <v>5567.19</v>
      </c>
    </row>
    <row r="190" spans="1:2" x14ac:dyDescent="0.2">
      <c r="A190" s="1">
        <v>45476</v>
      </c>
      <c r="B190">
        <v>5537.02</v>
      </c>
    </row>
    <row r="191" spans="1:2" x14ac:dyDescent="0.2">
      <c r="A191" s="1">
        <v>45475</v>
      </c>
      <c r="B191">
        <v>5509.01</v>
      </c>
    </row>
    <row r="192" spans="1:2" x14ac:dyDescent="0.2">
      <c r="A192" s="1">
        <v>45474</v>
      </c>
      <c r="B192">
        <v>5475.09</v>
      </c>
    </row>
    <row r="193" spans="1:2" x14ac:dyDescent="0.2">
      <c r="A193" s="1">
        <v>45471</v>
      </c>
      <c r="B193">
        <v>5460.48</v>
      </c>
    </row>
    <row r="194" spans="1:2" x14ac:dyDescent="0.2">
      <c r="A194" s="1">
        <v>45470</v>
      </c>
      <c r="B194">
        <v>5482.87</v>
      </c>
    </row>
    <row r="195" spans="1:2" x14ac:dyDescent="0.2">
      <c r="A195" s="1">
        <v>45469</v>
      </c>
      <c r="B195">
        <v>5477.9</v>
      </c>
    </row>
    <row r="196" spans="1:2" x14ac:dyDescent="0.2">
      <c r="A196" s="1">
        <v>45468</v>
      </c>
      <c r="B196">
        <v>5469.3</v>
      </c>
    </row>
    <row r="197" spans="1:2" x14ac:dyDescent="0.2">
      <c r="A197" s="1">
        <v>45467</v>
      </c>
      <c r="B197">
        <v>5447.87</v>
      </c>
    </row>
    <row r="198" spans="1:2" x14ac:dyDescent="0.2">
      <c r="A198" s="1">
        <v>45464</v>
      </c>
      <c r="B198">
        <v>5464.62</v>
      </c>
    </row>
    <row r="199" spans="1:2" x14ac:dyDescent="0.2">
      <c r="A199" s="1">
        <v>45463</v>
      </c>
      <c r="B199">
        <v>5473.17</v>
      </c>
    </row>
    <row r="200" spans="1:2" x14ac:dyDescent="0.2">
      <c r="A200" s="1">
        <v>45461</v>
      </c>
      <c r="B200">
        <v>5487.03</v>
      </c>
    </row>
    <row r="201" spans="1:2" x14ac:dyDescent="0.2">
      <c r="A201" s="1">
        <v>45460</v>
      </c>
      <c r="B201">
        <v>5473.23</v>
      </c>
    </row>
    <row r="202" spans="1:2" x14ac:dyDescent="0.2">
      <c r="A202" s="1">
        <v>45457</v>
      </c>
      <c r="B202">
        <v>5431.6</v>
      </c>
    </row>
    <row r="203" spans="1:2" x14ac:dyDescent="0.2">
      <c r="A203" s="1">
        <v>45456</v>
      </c>
      <c r="B203">
        <v>5433.74</v>
      </c>
    </row>
    <row r="204" spans="1:2" x14ac:dyDescent="0.2">
      <c r="A204" s="1">
        <v>45455</v>
      </c>
      <c r="B204">
        <v>5421.03</v>
      </c>
    </row>
    <row r="205" spans="1:2" x14ac:dyDescent="0.2">
      <c r="A205" s="1">
        <v>45454</v>
      </c>
      <c r="B205">
        <v>5375.32</v>
      </c>
    </row>
    <row r="206" spans="1:2" x14ac:dyDescent="0.2">
      <c r="A206" s="1">
        <v>45453</v>
      </c>
      <c r="B206">
        <v>5360.79</v>
      </c>
    </row>
    <row r="207" spans="1:2" x14ac:dyDescent="0.2">
      <c r="A207" s="1">
        <v>45450</v>
      </c>
      <c r="B207">
        <v>5346.99</v>
      </c>
    </row>
    <row r="208" spans="1:2" x14ac:dyDescent="0.2">
      <c r="A208" s="1">
        <v>45449</v>
      </c>
      <c r="B208">
        <v>5352.96</v>
      </c>
    </row>
    <row r="209" spans="1:2" x14ac:dyDescent="0.2">
      <c r="A209" s="1">
        <v>45448</v>
      </c>
      <c r="B209">
        <v>5354.03</v>
      </c>
    </row>
    <row r="210" spans="1:2" x14ac:dyDescent="0.2">
      <c r="A210" s="1">
        <v>45447</v>
      </c>
      <c r="B210">
        <v>5291.34</v>
      </c>
    </row>
    <row r="211" spans="1:2" x14ac:dyDescent="0.2">
      <c r="A211" s="1">
        <v>45446</v>
      </c>
      <c r="B211">
        <v>5283.4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D2015-E046-B74C-8CC0-C354B9D3B3E9}">
  <dimension ref="A1:M190"/>
  <sheetViews>
    <sheetView tabSelected="1" topLeftCell="F8" workbookViewId="0">
      <selection activeCell="L25" sqref="L25"/>
    </sheetView>
  </sheetViews>
  <sheetFormatPr baseColWidth="10" defaultColWidth="11" defaultRowHeight="15" x14ac:dyDescent="0.2"/>
  <cols>
    <col min="7" max="7" width="13" bestFit="1" customWidth="1"/>
    <col min="8" max="9" width="12.1640625" bestFit="1" customWidth="1"/>
    <col min="10" max="10" width="17.83203125" bestFit="1" customWidth="1"/>
    <col min="11" max="11" width="29.5" bestFit="1" customWidth="1"/>
    <col min="12" max="12" width="12.1640625" customWidth="1"/>
  </cols>
  <sheetData>
    <row r="1" spans="1:13" x14ac:dyDescent="0.2">
      <c r="B1" t="s">
        <v>6</v>
      </c>
      <c r="C1" t="s">
        <v>7</v>
      </c>
      <c r="D1" t="s">
        <v>15</v>
      </c>
      <c r="E1" t="s">
        <v>16</v>
      </c>
      <c r="F1" t="s">
        <v>18</v>
      </c>
      <c r="G1" t="s">
        <v>19</v>
      </c>
      <c r="H1" t="s">
        <v>20</v>
      </c>
    </row>
    <row r="2" spans="1:13" x14ac:dyDescent="0.2">
      <c r="A2" t="s">
        <v>0</v>
      </c>
      <c r="B2" t="s">
        <v>1</v>
      </c>
      <c r="F2" s="4">
        <f>0.0417</f>
        <v>4.1700000000000001E-2</v>
      </c>
    </row>
    <row r="3" spans="1:13" x14ac:dyDescent="0.2">
      <c r="A3" s="1">
        <v>45747</v>
      </c>
      <c r="B3">
        <v>222.13</v>
      </c>
      <c r="C3">
        <f>LN(B3/B4)</f>
        <v>1.9226554118956955E-2</v>
      </c>
      <c r="D3">
        <v>5611.85</v>
      </c>
      <c r="E3">
        <f>LN(D3/D4)</f>
        <v>5.523212456950013E-3</v>
      </c>
      <c r="G3">
        <f t="shared" ref="G3:G34" si="0">C3-$F$2/252</f>
        <v>1.9061077928480764E-2</v>
      </c>
      <c r="H3">
        <f t="shared" ref="H3:H34" si="1">E3-$F$2/252</f>
        <v>5.3577362664738223E-3</v>
      </c>
      <c r="J3" t="s">
        <v>11</v>
      </c>
    </row>
    <row r="4" spans="1:13" x14ac:dyDescent="0.2">
      <c r="A4" s="1">
        <v>45744</v>
      </c>
      <c r="B4">
        <v>217.9</v>
      </c>
      <c r="C4">
        <f t="shared" ref="C4:C67" si="2">LN(B4/B5)</f>
        <v>-2.693994273640031E-2</v>
      </c>
      <c r="D4">
        <v>5580.94</v>
      </c>
      <c r="E4">
        <f t="shared" ref="E4:E67" si="3">LN(D4/D5)</f>
        <v>-1.9934580336265845E-2</v>
      </c>
      <c r="G4">
        <f t="shared" si="0"/>
        <v>-2.7105418926876502E-2</v>
      </c>
      <c r="H4">
        <f t="shared" si="1"/>
        <v>-2.0100056526742037E-2</v>
      </c>
    </row>
    <row r="5" spans="1:13" x14ac:dyDescent="0.2">
      <c r="A5" s="1">
        <v>45743</v>
      </c>
      <c r="B5">
        <v>223.85</v>
      </c>
      <c r="C5">
        <f t="shared" si="2"/>
        <v>1.041816419239041E-2</v>
      </c>
      <c r="D5">
        <v>5693.31</v>
      </c>
      <c r="E5">
        <f t="shared" si="3"/>
        <v>-3.3124371066493626E-3</v>
      </c>
      <c r="G5">
        <f t="shared" si="0"/>
        <v>1.025268800191422E-2</v>
      </c>
      <c r="H5">
        <f t="shared" si="1"/>
        <v>-3.4779132971255529E-3</v>
      </c>
      <c r="J5" t="s">
        <v>9</v>
      </c>
      <c r="K5" t="str">
        <f ca="1">_xlfn.FORMULATEXT(L5)</f>
        <v>=AVERAGE(C3:C189)</v>
      </c>
      <c r="L5">
        <f>AVERAGE(C3:C189)</f>
        <v>1.3111326421860861E-4</v>
      </c>
      <c r="M5" s="3">
        <f>L5</f>
        <v>1.3111326421860861E-4</v>
      </c>
    </row>
    <row r="6" spans="1:13" x14ac:dyDescent="0.2">
      <c r="A6" s="1">
        <v>45742</v>
      </c>
      <c r="B6">
        <v>221.53</v>
      </c>
      <c r="C6">
        <f t="shared" si="2"/>
        <v>-9.9713366603807335E-3</v>
      </c>
      <c r="D6">
        <v>5712.2</v>
      </c>
      <c r="E6">
        <f t="shared" si="3"/>
        <v>-1.1219691455108281E-2</v>
      </c>
      <c r="G6">
        <f t="shared" si="0"/>
        <v>-1.0136812850856923E-2</v>
      </c>
      <c r="H6">
        <f t="shared" si="1"/>
        <v>-1.1385167645584471E-2</v>
      </c>
      <c r="J6" t="s">
        <v>4</v>
      </c>
      <c r="K6" t="str">
        <f ca="1">_xlfn.FORMULATEXT(L6)</f>
        <v>=L5*252</v>
      </c>
      <c r="L6">
        <f>L5*252</f>
        <v>3.3040542583089368E-2</v>
      </c>
      <c r="M6" s="3">
        <f>L6</f>
        <v>3.3040542583089368E-2</v>
      </c>
    </row>
    <row r="7" spans="1:13" x14ac:dyDescent="0.2">
      <c r="A7" s="1">
        <v>45741</v>
      </c>
      <c r="B7">
        <v>223.75</v>
      </c>
      <c r="C7">
        <f t="shared" si="2"/>
        <v>1.3589122001844327E-2</v>
      </c>
      <c r="D7">
        <v>5776.65</v>
      </c>
      <c r="E7">
        <f t="shared" si="3"/>
        <v>1.5730819184730236E-3</v>
      </c>
      <c r="G7">
        <f t="shared" si="0"/>
        <v>1.3423645811368137E-2</v>
      </c>
      <c r="H7">
        <f t="shared" si="1"/>
        <v>1.4076057279968331E-3</v>
      </c>
    </row>
    <row r="8" spans="1:13" x14ac:dyDescent="0.2">
      <c r="A8" s="1">
        <v>45740</v>
      </c>
      <c r="B8">
        <v>220.73</v>
      </c>
      <c r="C8">
        <f t="shared" si="2"/>
        <v>1.1207406602134005E-2</v>
      </c>
      <c r="D8">
        <v>5767.57</v>
      </c>
      <c r="E8">
        <f t="shared" si="3"/>
        <v>1.7492157944606672E-2</v>
      </c>
      <c r="G8">
        <f t="shared" si="0"/>
        <v>1.1041930411657816E-2</v>
      </c>
      <c r="H8">
        <f t="shared" si="1"/>
        <v>1.732668175413048E-2</v>
      </c>
      <c r="K8" t="str">
        <f ca="1">_xlfn.FORMULATEXT(L8)</f>
        <v>=SUM(C3:C189)/187</v>
      </c>
      <c r="L8">
        <f>SUM(C3:C189)/187</f>
        <v>1.3111326421860861E-4</v>
      </c>
    </row>
    <row r="9" spans="1:13" x14ac:dyDescent="0.2">
      <c r="A9" s="1">
        <v>45737</v>
      </c>
      <c r="B9">
        <v>218.27</v>
      </c>
      <c r="C9">
        <f t="shared" si="2"/>
        <v>1.9289632955349155E-2</v>
      </c>
      <c r="D9">
        <v>5667.56</v>
      </c>
      <c r="E9">
        <f t="shared" si="3"/>
        <v>8.2432741231720308E-4</v>
      </c>
      <c r="G9">
        <f t="shared" si="0"/>
        <v>1.9124156764872963E-2</v>
      </c>
      <c r="H9">
        <f t="shared" si="1"/>
        <v>6.5885122184101259E-4</v>
      </c>
    </row>
    <row r="10" spans="1:13" x14ac:dyDescent="0.2">
      <c r="A10" s="1">
        <v>45736</v>
      </c>
      <c r="B10">
        <v>214.1</v>
      </c>
      <c r="C10">
        <f t="shared" si="2"/>
        <v>-5.3104890255818429E-3</v>
      </c>
      <c r="D10">
        <v>5662.89</v>
      </c>
      <c r="E10">
        <f t="shared" si="3"/>
        <v>-2.1873007738032347E-3</v>
      </c>
      <c r="G10">
        <f t="shared" si="0"/>
        <v>-5.4759652160580336E-3</v>
      </c>
      <c r="H10">
        <f t="shared" si="1"/>
        <v>-2.352776964279425E-3</v>
      </c>
    </row>
    <row r="11" spans="1:13" x14ac:dyDescent="0.2">
      <c r="A11" s="1">
        <v>45735</v>
      </c>
      <c r="B11">
        <v>215.24</v>
      </c>
      <c r="C11">
        <f t="shared" si="2"/>
        <v>1.1917978094765389E-2</v>
      </c>
      <c r="D11">
        <v>5675.29</v>
      </c>
      <c r="E11">
        <f t="shared" si="3"/>
        <v>1.0740629118978858E-2</v>
      </c>
      <c r="G11">
        <f t="shared" si="0"/>
        <v>1.1752501904289199E-2</v>
      </c>
      <c r="H11">
        <f t="shared" si="1"/>
        <v>1.0575152928502668E-2</v>
      </c>
    </row>
    <row r="12" spans="1:13" x14ac:dyDescent="0.2">
      <c r="A12" s="1">
        <v>45734</v>
      </c>
      <c r="B12">
        <v>212.69</v>
      </c>
      <c r="C12">
        <f t="shared" si="2"/>
        <v>-6.1403084953978448E-3</v>
      </c>
      <c r="D12">
        <v>5614.66</v>
      </c>
      <c r="E12">
        <f t="shared" si="3"/>
        <v>-1.071067425391002E-2</v>
      </c>
      <c r="G12">
        <f t="shared" si="0"/>
        <v>-6.3057846858740356E-3</v>
      </c>
      <c r="H12">
        <f t="shared" si="1"/>
        <v>-1.0876150444386209E-2</v>
      </c>
      <c r="J12" t="s">
        <v>8</v>
      </c>
      <c r="K12">
        <f>_xlfn.VAR.P(C3:C189)</f>
        <v>2.1961921762655008E-4</v>
      </c>
      <c r="L12">
        <f>SQRT(K12)</f>
        <v>1.4819555243884685E-2</v>
      </c>
    </row>
    <row r="13" spans="1:13" x14ac:dyDescent="0.2">
      <c r="A13" s="1">
        <v>45733</v>
      </c>
      <c r="B13">
        <v>214</v>
      </c>
      <c r="C13">
        <f t="shared" si="2"/>
        <v>2.3860218576188547E-3</v>
      </c>
      <c r="D13">
        <v>5675.12</v>
      </c>
      <c r="E13">
        <f t="shared" si="3"/>
        <v>6.3956039343475201E-3</v>
      </c>
      <c r="G13">
        <f t="shared" si="0"/>
        <v>2.2205456671426644E-3</v>
      </c>
      <c r="H13">
        <f t="shared" si="1"/>
        <v>6.2301277438713294E-3</v>
      </c>
      <c r="J13" t="s">
        <v>10</v>
      </c>
      <c r="K13" t="str">
        <f ca="1">_xlfn.FORMULATEXT(L13)</f>
        <v>=STDEV.P(C3:C189)</v>
      </c>
      <c r="L13">
        <f>_xlfn.STDEV.P(C3:C189)</f>
        <v>1.4819555243884685E-2</v>
      </c>
      <c r="M13" s="3">
        <f>L13</f>
        <v>1.4819555243884685E-2</v>
      </c>
    </row>
    <row r="14" spans="1:13" x14ac:dyDescent="0.2">
      <c r="A14" s="1">
        <v>45730</v>
      </c>
      <c r="B14">
        <v>213.49</v>
      </c>
      <c r="C14">
        <f t="shared" si="2"/>
        <v>1.8007434149081746E-2</v>
      </c>
      <c r="D14">
        <v>5638.94</v>
      </c>
      <c r="E14">
        <f t="shared" si="3"/>
        <v>2.1042919881408308E-2</v>
      </c>
      <c r="G14">
        <f t="shared" si="0"/>
        <v>1.7841957958605555E-2</v>
      </c>
      <c r="H14">
        <f t="shared" si="1"/>
        <v>2.0877443690932116E-2</v>
      </c>
      <c r="J14" t="s">
        <v>5</v>
      </c>
      <c r="K14" t="str">
        <f ca="1">_xlfn.FORMULATEXT(L14)</f>
        <v>=L13*SQRT(252)</v>
      </c>
      <c r="L14">
        <f>L13*SQRT(252)</f>
        <v>0.23525314629541222</v>
      </c>
      <c r="M14" s="3">
        <f>L14</f>
        <v>0.23525314629541222</v>
      </c>
    </row>
    <row r="15" spans="1:13" x14ac:dyDescent="0.2">
      <c r="A15" s="1">
        <v>45729</v>
      </c>
      <c r="B15">
        <v>209.68</v>
      </c>
      <c r="C15">
        <f t="shared" si="2"/>
        <v>-3.4222624379153584E-2</v>
      </c>
      <c r="D15">
        <v>5521.52</v>
      </c>
      <c r="E15">
        <f t="shared" si="3"/>
        <v>-1.3988405225352909E-2</v>
      </c>
      <c r="G15">
        <f t="shared" si="0"/>
        <v>-3.4388100569629772E-2</v>
      </c>
      <c r="H15">
        <f t="shared" si="1"/>
        <v>-1.4153881415829099E-2</v>
      </c>
    </row>
    <row r="16" spans="1:13" x14ac:dyDescent="0.2">
      <c r="A16" s="1">
        <v>45728</v>
      </c>
      <c r="B16">
        <v>216.98</v>
      </c>
      <c r="C16">
        <f t="shared" si="2"/>
        <v>-1.7633274021539299E-2</v>
      </c>
      <c r="D16">
        <v>5599.3</v>
      </c>
      <c r="E16">
        <f t="shared" si="3"/>
        <v>4.8749712752344252E-3</v>
      </c>
      <c r="G16">
        <f t="shared" si="0"/>
        <v>-1.7798750212015491E-2</v>
      </c>
      <c r="H16">
        <f t="shared" si="1"/>
        <v>4.7094950847582345E-3</v>
      </c>
    </row>
    <row r="17" spans="1:13" x14ac:dyDescent="0.2">
      <c r="A17" s="1">
        <v>45727</v>
      </c>
      <c r="B17">
        <v>220.84</v>
      </c>
      <c r="C17">
        <f t="shared" si="2"/>
        <v>-2.9623865022754978E-2</v>
      </c>
      <c r="D17">
        <v>5572.07</v>
      </c>
      <c r="E17">
        <f t="shared" si="3"/>
        <v>-7.596604935651537E-3</v>
      </c>
      <c r="G17">
        <f t="shared" si="0"/>
        <v>-2.9789341213231169E-2</v>
      </c>
      <c r="H17">
        <f t="shared" si="1"/>
        <v>-7.7620811261277277E-3</v>
      </c>
      <c r="J17" t="s">
        <v>12</v>
      </c>
    </row>
    <row r="18" spans="1:13" x14ac:dyDescent="0.2">
      <c r="A18" s="1">
        <v>45726</v>
      </c>
      <c r="B18">
        <v>227.48</v>
      </c>
      <c r="C18">
        <f t="shared" si="2"/>
        <v>-4.9694073639167571E-2</v>
      </c>
      <c r="D18">
        <v>5614.56</v>
      </c>
      <c r="E18">
        <f t="shared" si="3"/>
        <v>-2.7343518375984407E-2</v>
      </c>
      <c r="G18">
        <f t="shared" si="0"/>
        <v>-4.9859549829643759E-2</v>
      </c>
      <c r="H18">
        <f t="shared" si="1"/>
        <v>-2.7508994566460599E-2</v>
      </c>
    </row>
    <row r="19" spans="1:13" x14ac:dyDescent="0.2">
      <c r="A19" s="1">
        <v>45723</v>
      </c>
      <c r="B19">
        <v>239.07</v>
      </c>
      <c r="C19">
        <f t="shared" si="2"/>
        <v>1.5767611658897701E-2</v>
      </c>
      <c r="D19">
        <v>5770.2</v>
      </c>
      <c r="E19">
        <f t="shared" si="3"/>
        <v>5.5054046005090125E-3</v>
      </c>
      <c r="G19">
        <f t="shared" si="0"/>
        <v>1.5602135468421511E-2</v>
      </c>
      <c r="H19">
        <f t="shared" si="1"/>
        <v>5.3399284100328218E-3</v>
      </c>
      <c r="J19" t="s">
        <v>13</v>
      </c>
      <c r="K19">
        <v>0.95</v>
      </c>
    </row>
    <row r="20" spans="1:13" x14ac:dyDescent="0.2">
      <c r="A20" s="1">
        <v>45722</v>
      </c>
      <c r="B20">
        <v>235.33</v>
      </c>
      <c r="C20">
        <f t="shared" si="2"/>
        <v>-1.740718379554715E-3</v>
      </c>
      <c r="D20">
        <v>5738.52</v>
      </c>
      <c r="E20">
        <f t="shared" si="3"/>
        <v>-1.7979700568310077E-2</v>
      </c>
      <c r="G20">
        <f t="shared" si="0"/>
        <v>-1.9061945700309055E-3</v>
      </c>
      <c r="H20">
        <f t="shared" si="1"/>
        <v>-1.8145176758786269E-2</v>
      </c>
    </row>
    <row r="21" spans="1:13" x14ac:dyDescent="0.2">
      <c r="A21" s="1">
        <v>45721</v>
      </c>
      <c r="B21">
        <v>235.74</v>
      </c>
      <c r="C21">
        <f t="shared" si="2"/>
        <v>-8.0564806019855866E-4</v>
      </c>
      <c r="D21">
        <v>5842.63</v>
      </c>
      <c r="E21">
        <f t="shared" si="3"/>
        <v>1.1097475685101249E-2</v>
      </c>
      <c r="G21">
        <f t="shared" si="0"/>
        <v>-9.7112425067474915E-4</v>
      </c>
      <c r="H21">
        <f t="shared" si="1"/>
        <v>1.0931999494625059E-2</v>
      </c>
      <c r="J21" t="s">
        <v>14</v>
      </c>
      <c r="K21" t="str">
        <f ca="1">_xlfn.FORMULATEXT(L21)</f>
        <v>=NORM.S.INV(0.95)</v>
      </c>
      <c r="L21">
        <f>_xlfn.NORM.S.INV(0.95)</f>
        <v>1.6448536269514715</v>
      </c>
    </row>
    <row r="22" spans="1:13" x14ac:dyDescent="0.2">
      <c r="A22" s="1">
        <v>45720</v>
      </c>
      <c r="B22">
        <v>235.93</v>
      </c>
      <c r="C22">
        <f t="shared" si="2"/>
        <v>-8.8615652893341244E-3</v>
      </c>
      <c r="D22">
        <v>5778.15</v>
      </c>
      <c r="E22">
        <f t="shared" si="3"/>
        <v>-1.2310234603366469E-2</v>
      </c>
      <c r="G22">
        <f t="shared" si="0"/>
        <v>-9.0270414798103143E-3</v>
      </c>
      <c r="H22">
        <f t="shared" si="1"/>
        <v>-1.2475710793842659E-2</v>
      </c>
    </row>
    <row r="23" spans="1:13" x14ac:dyDescent="0.2">
      <c r="A23" s="1">
        <v>45719</v>
      </c>
      <c r="B23">
        <v>238.03</v>
      </c>
      <c r="C23">
        <f t="shared" si="2"/>
        <v>-1.5879634323246551E-2</v>
      </c>
      <c r="D23">
        <v>5849.72</v>
      </c>
      <c r="E23">
        <f t="shared" si="3"/>
        <v>-1.7753439375493379E-2</v>
      </c>
      <c r="G23">
        <f t="shared" si="0"/>
        <v>-1.6045110513722743E-2</v>
      </c>
      <c r="H23">
        <f t="shared" si="1"/>
        <v>-1.791891556596957E-2</v>
      </c>
      <c r="J23" t="s">
        <v>31</v>
      </c>
      <c r="K23">
        <v>10000</v>
      </c>
    </row>
    <row r="24" spans="1:13" x14ac:dyDescent="0.2">
      <c r="A24" s="1">
        <v>45716</v>
      </c>
      <c r="B24">
        <v>241.84</v>
      </c>
      <c r="C24">
        <f t="shared" si="2"/>
        <v>1.8951187029484631E-2</v>
      </c>
      <c r="D24">
        <v>5954.5</v>
      </c>
      <c r="E24">
        <f t="shared" si="3"/>
        <v>1.5729750431897126E-2</v>
      </c>
      <c r="G24">
        <f t="shared" si="0"/>
        <v>1.878571083900844E-2</v>
      </c>
      <c r="H24">
        <f t="shared" si="1"/>
        <v>1.5564274241420937E-2</v>
      </c>
      <c r="M24" s="15"/>
    </row>
    <row r="25" spans="1:13" x14ac:dyDescent="0.2">
      <c r="A25" s="1">
        <v>45715</v>
      </c>
      <c r="B25">
        <v>237.3</v>
      </c>
      <c r="C25">
        <f t="shared" si="2"/>
        <v>-1.2812636024009335E-2</v>
      </c>
      <c r="D25">
        <v>5861.57</v>
      </c>
      <c r="E25">
        <f t="shared" si="3"/>
        <v>-1.5991702852089028E-2</v>
      </c>
      <c r="G25">
        <f t="shared" si="0"/>
        <v>-1.2978112214485525E-2</v>
      </c>
      <c r="H25">
        <f t="shared" si="1"/>
        <v>-1.6157179042565219E-2</v>
      </c>
      <c r="J25" t="s">
        <v>30</v>
      </c>
      <c r="K25" t="str">
        <f ca="1">_xlfn.FORMULATEXT(L25)</f>
        <v>=L21*L13*K23</v>
      </c>
      <c r="L25">
        <f>L21*L13*K23</f>
        <v>243.75999192711421</v>
      </c>
    </row>
    <row r="26" spans="1:13" x14ac:dyDescent="0.2">
      <c r="A26" s="1">
        <v>45714</v>
      </c>
      <c r="B26">
        <v>240.36</v>
      </c>
      <c r="C26">
        <f t="shared" si="2"/>
        <v>-2.7412467370684025E-2</v>
      </c>
      <c r="D26">
        <v>5956.06</v>
      </c>
      <c r="E26">
        <f t="shared" si="3"/>
        <v>1.3600519191397061E-4</v>
      </c>
      <c r="G26">
        <f t="shared" si="0"/>
        <v>-2.7577943561160216E-2</v>
      </c>
      <c r="H26">
        <f t="shared" si="1"/>
        <v>-2.9470998562219864E-5</v>
      </c>
    </row>
    <row r="27" spans="1:13" x14ac:dyDescent="0.2">
      <c r="A27" s="1">
        <v>45713</v>
      </c>
      <c r="B27">
        <v>247.04</v>
      </c>
      <c r="C27">
        <f t="shared" si="2"/>
        <v>-2.4284615815310331E-4</v>
      </c>
      <c r="D27">
        <v>5955.25</v>
      </c>
      <c r="E27">
        <f t="shared" si="3"/>
        <v>-4.690715138395557E-3</v>
      </c>
      <c r="G27">
        <f t="shared" si="0"/>
        <v>-4.0832234862929375E-4</v>
      </c>
      <c r="H27">
        <f t="shared" si="1"/>
        <v>-4.8561913288717477E-3</v>
      </c>
      <c r="M27" s="2"/>
    </row>
    <row r="28" spans="1:13" x14ac:dyDescent="0.2">
      <c r="A28" s="1">
        <v>45712</v>
      </c>
      <c r="B28">
        <v>247.1</v>
      </c>
      <c r="C28">
        <f t="shared" si="2"/>
        <v>6.2925205093107527E-3</v>
      </c>
      <c r="D28">
        <v>5983.25</v>
      </c>
      <c r="E28">
        <f t="shared" si="3"/>
        <v>-4.9815130548550111E-3</v>
      </c>
      <c r="G28">
        <f t="shared" si="0"/>
        <v>6.1270443188345619E-3</v>
      </c>
      <c r="H28">
        <f t="shared" si="1"/>
        <v>-5.1469892453312018E-3</v>
      </c>
      <c r="J28" t="s">
        <v>17</v>
      </c>
      <c r="K28" t="str">
        <f ca="1">_xlfn.FORMULATEXT(L28)</f>
        <v>=COVARIANCE.P(G3:G189,H3:H189)</v>
      </c>
      <c r="L28">
        <f>_xlfn.COVARIANCE.P(G3:G189,H3:H189)</f>
        <v>8.1668724745476731E-5</v>
      </c>
    </row>
    <row r="29" spans="1:13" x14ac:dyDescent="0.2">
      <c r="A29" s="1">
        <v>45709</v>
      </c>
      <c r="B29">
        <v>245.55</v>
      </c>
      <c r="C29">
        <f t="shared" si="2"/>
        <v>-1.1396476466492649E-3</v>
      </c>
      <c r="D29">
        <v>6013.13</v>
      </c>
      <c r="E29">
        <f t="shared" si="3"/>
        <v>-1.7211373991262081E-2</v>
      </c>
      <c r="G29">
        <f t="shared" si="0"/>
        <v>-1.3051238371254554E-3</v>
      </c>
      <c r="H29">
        <f t="shared" si="1"/>
        <v>-1.7376850181738273E-2</v>
      </c>
      <c r="K29" t="str">
        <f ca="1">_xlfn.FORMULATEXT(L29)</f>
        <v>=VAR.P(H3:H189)</v>
      </c>
      <c r="L29">
        <f>_xlfn.VAR.P(H3:H189)</f>
        <v>8.9569209365449805E-5</v>
      </c>
    </row>
    <row r="30" spans="1:13" x14ac:dyDescent="0.2">
      <c r="A30" s="1">
        <v>45708</v>
      </c>
      <c r="B30">
        <v>245.83</v>
      </c>
      <c r="C30">
        <f t="shared" si="2"/>
        <v>3.9127826565687213E-3</v>
      </c>
      <c r="D30">
        <v>6117.52</v>
      </c>
      <c r="E30">
        <f t="shared" si="3"/>
        <v>-4.3436239711486854E-3</v>
      </c>
      <c r="G30">
        <f t="shared" si="0"/>
        <v>3.7473064660925311E-3</v>
      </c>
      <c r="H30">
        <f t="shared" si="1"/>
        <v>-4.5091001616248761E-3</v>
      </c>
    </row>
    <row r="31" spans="1:13" x14ac:dyDescent="0.2">
      <c r="A31" s="1">
        <v>45707</v>
      </c>
      <c r="B31">
        <v>244.87</v>
      </c>
      <c r="C31">
        <f t="shared" si="2"/>
        <v>1.6348554750960618E-3</v>
      </c>
      <c r="D31">
        <v>6144.15</v>
      </c>
      <c r="E31">
        <f t="shared" si="3"/>
        <v>2.3741775065794562E-3</v>
      </c>
      <c r="G31">
        <f t="shared" si="0"/>
        <v>1.4693792846198713E-3</v>
      </c>
      <c r="H31">
        <f t="shared" si="1"/>
        <v>2.2087013161032659E-3</v>
      </c>
      <c r="K31" t="str">
        <f ca="1">_xlfn.FORMULATEXT(L31)</f>
        <v>=L28/L29</v>
      </c>
      <c r="L31">
        <f>L28/L29</f>
        <v>0.91179463706396646</v>
      </c>
    </row>
    <row r="32" spans="1:13" x14ac:dyDescent="0.2">
      <c r="A32" s="1">
        <v>45706</v>
      </c>
      <c r="B32">
        <v>244.47</v>
      </c>
      <c r="C32">
        <f t="shared" si="2"/>
        <v>-5.3162125283384893E-4</v>
      </c>
      <c r="D32">
        <v>6129.58</v>
      </c>
      <c r="E32">
        <f t="shared" si="3"/>
        <v>2.4419717448794743E-3</v>
      </c>
      <c r="G32">
        <f t="shared" si="0"/>
        <v>-6.9709744331003943E-4</v>
      </c>
      <c r="H32">
        <f t="shared" si="1"/>
        <v>2.276495554403284E-3</v>
      </c>
      <c r="K32" t="str">
        <f ca="1">_xlfn.FORMULATEXT(L32)</f>
        <v>=SLOPE(G3:G189,H3:H189)</v>
      </c>
      <c r="L32">
        <f>SLOPE(G3:G189,H3:H189)</f>
        <v>0.9117946370639668</v>
      </c>
    </row>
    <row r="33" spans="1:12" x14ac:dyDescent="0.2">
      <c r="A33" s="1">
        <v>45702</v>
      </c>
      <c r="B33">
        <v>244.6</v>
      </c>
      <c r="C33">
        <f t="shared" si="2"/>
        <v>1.2630534273072785E-2</v>
      </c>
      <c r="D33">
        <v>6114.63</v>
      </c>
      <c r="E33">
        <f t="shared" si="3"/>
        <v>-7.1955976056534599E-5</v>
      </c>
      <c r="G33">
        <f t="shared" si="0"/>
        <v>1.2465058082596596E-2</v>
      </c>
      <c r="H33">
        <f t="shared" si="1"/>
        <v>-2.3743216653272507E-4</v>
      </c>
    </row>
    <row r="34" spans="1:12" x14ac:dyDescent="0.2">
      <c r="A34" s="1">
        <v>45701</v>
      </c>
      <c r="B34">
        <v>241.53</v>
      </c>
      <c r="C34">
        <f t="shared" si="2"/>
        <v>1.9482221545508639E-2</v>
      </c>
      <c r="D34">
        <v>6115.07</v>
      </c>
      <c r="E34">
        <f t="shared" si="3"/>
        <v>1.0372377459622351E-2</v>
      </c>
      <c r="G34">
        <f t="shared" si="0"/>
        <v>1.9316745355032448E-2</v>
      </c>
      <c r="H34">
        <f t="shared" si="1"/>
        <v>1.0206901269146161E-2</v>
      </c>
      <c r="J34" t="s">
        <v>65</v>
      </c>
      <c r="K34" t="str">
        <f ca="1">_xlfn.FORMULATEXT(L34)</f>
        <v>=AVERAGE(E3:E189)</v>
      </c>
      <c r="L34">
        <f>AVERAGE(E3:E189)</f>
        <v>1.3193432898568434E-4</v>
      </c>
    </row>
    <row r="35" spans="1:12" x14ac:dyDescent="0.2">
      <c r="A35" s="1">
        <v>45700</v>
      </c>
      <c r="B35">
        <v>236.87</v>
      </c>
      <c r="C35">
        <f t="shared" si="2"/>
        <v>1.810524652359782E-2</v>
      </c>
      <c r="D35">
        <v>6051.97</v>
      </c>
      <c r="E35">
        <f t="shared" si="3"/>
        <v>-2.7276186894511618E-3</v>
      </c>
      <c r="G35">
        <f t="shared" ref="G35:G66" si="4">C35-$F$2/252</f>
        <v>1.7939770333121628E-2</v>
      </c>
      <c r="H35">
        <f t="shared" ref="H35:H66" si="5">E35-$F$2/252</f>
        <v>-2.893094879927352E-3</v>
      </c>
      <c r="K35" t="str">
        <f ca="1">_xlfn.FORMULATEXT(L35)</f>
        <v>=L34*252</v>
      </c>
      <c r="L35">
        <f>L34*252</f>
        <v>3.3247450904392455E-2</v>
      </c>
    </row>
    <row r="36" spans="1:12" x14ac:dyDescent="0.2">
      <c r="A36" s="1">
        <v>45699</v>
      </c>
      <c r="B36">
        <v>232.62</v>
      </c>
      <c r="C36">
        <f t="shared" si="2"/>
        <v>2.1596859130101596E-2</v>
      </c>
      <c r="D36">
        <v>6068.5</v>
      </c>
      <c r="E36">
        <f t="shared" si="3"/>
        <v>3.3951548500248807E-4</v>
      </c>
      <c r="G36">
        <f t="shared" si="4"/>
        <v>2.1431382939625404E-2</v>
      </c>
      <c r="H36">
        <f t="shared" si="5"/>
        <v>1.740392945262976E-4</v>
      </c>
    </row>
    <row r="37" spans="1:12" x14ac:dyDescent="0.2">
      <c r="A37" s="1">
        <v>45698</v>
      </c>
      <c r="B37">
        <v>227.65</v>
      </c>
      <c r="C37">
        <f t="shared" si="2"/>
        <v>8.7858021493861051E-5</v>
      </c>
      <c r="D37">
        <v>6066.44</v>
      </c>
      <c r="E37">
        <f t="shared" si="3"/>
        <v>6.6901608481496353E-3</v>
      </c>
      <c r="G37">
        <f t="shared" si="4"/>
        <v>-7.7618168982329419E-5</v>
      </c>
      <c r="H37">
        <f t="shared" si="5"/>
        <v>6.5246846576734446E-3</v>
      </c>
    </row>
    <row r="38" spans="1:12" x14ac:dyDescent="0.2">
      <c r="A38" s="1">
        <v>45695</v>
      </c>
      <c r="B38">
        <v>227.63</v>
      </c>
      <c r="C38">
        <f t="shared" si="2"/>
        <v>-2.4260710332889599E-2</v>
      </c>
      <c r="D38">
        <v>6025.99</v>
      </c>
      <c r="E38">
        <f t="shared" si="3"/>
        <v>-9.5099134821077444E-3</v>
      </c>
      <c r="G38">
        <f t="shared" si="4"/>
        <v>-2.4426186523365791E-2</v>
      </c>
      <c r="H38">
        <f t="shared" si="5"/>
        <v>-9.6753896725839342E-3</v>
      </c>
      <c r="J38" t="s">
        <v>66</v>
      </c>
      <c r="L38" s="21">
        <f>F2+L31*(L35-F2)</f>
        <v>3.3993011065105161E-2</v>
      </c>
    </row>
    <row r="39" spans="1:12" x14ac:dyDescent="0.2">
      <c r="A39" s="1">
        <v>45694</v>
      </c>
      <c r="B39">
        <v>233.22</v>
      </c>
      <c r="C39">
        <f t="shared" si="2"/>
        <v>3.2210296482183117E-3</v>
      </c>
      <c r="D39">
        <v>6083.57</v>
      </c>
      <c r="E39">
        <f t="shared" si="3"/>
        <v>3.637700027498819E-3</v>
      </c>
      <c r="G39">
        <f t="shared" si="4"/>
        <v>3.0555534577421215E-3</v>
      </c>
      <c r="H39">
        <f t="shared" si="5"/>
        <v>3.4722238370226287E-3</v>
      </c>
    </row>
    <row r="40" spans="1:12" x14ac:dyDescent="0.2">
      <c r="A40" s="1">
        <v>45693</v>
      </c>
      <c r="B40">
        <v>232.47</v>
      </c>
      <c r="C40">
        <f t="shared" si="2"/>
        <v>-1.4185314133143574E-3</v>
      </c>
      <c r="D40">
        <v>6061.48</v>
      </c>
      <c r="E40">
        <f t="shared" si="3"/>
        <v>3.9010377290886913E-3</v>
      </c>
      <c r="G40">
        <f t="shared" si="4"/>
        <v>-1.5840076037905478E-3</v>
      </c>
      <c r="H40">
        <f t="shared" si="5"/>
        <v>3.735561538612501E-3</v>
      </c>
    </row>
    <row r="41" spans="1:12" x14ac:dyDescent="0.2">
      <c r="A41" s="1">
        <v>45692</v>
      </c>
      <c r="B41">
        <v>232.8</v>
      </c>
      <c r="C41">
        <f t="shared" si="2"/>
        <v>2.0790228215525564E-2</v>
      </c>
      <c r="D41">
        <v>6037.88</v>
      </c>
      <c r="E41">
        <f t="shared" si="3"/>
        <v>7.1988974883324779E-3</v>
      </c>
      <c r="G41">
        <f t="shared" si="4"/>
        <v>2.0624752025049372E-2</v>
      </c>
      <c r="H41">
        <f t="shared" si="5"/>
        <v>7.0334212978562871E-3</v>
      </c>
    </row>
    <row r="42" spans="1:12" x14ac:dyDescent="0.2">
      <c r="A42" s="1">
        <v>45691</v>
      </c>
      <c r="B42">
        <v>228.01</v>
      </c>
      <c r="C42">
        <f t="shared" si="2"/>
        <v>-3.4442317383852845E-2</v>
      </c>
      <c r="D42">
        <v>5994.57</v>
      </c>
      <c r="E42">
        <f t="shared" si="3"/>
        <v>-7.637696973119063E-3</v>
      </c>
      <c r="G42">
        <f t="shared" si="4"/>
        <v>-3.4607793574329034E-2</v>
      </c>
      <c r="H42">
        <f t="shared" si="5"/>
        <v>-7.8031731635952537E-3</v>
      </c>
    </row>
    <row r="43" spans="1:12" x14ac:dyDescent="0.2">
      <c r="A43" s="1">
        <v>45688</v>
      </c>
      <c r="B43">
        <v>236</v>
      </c>
      <c r="C43">
        <f t="shared" si="2"/>
        <v>-6.714694035086833E-3</v>
      </c>
      <c r="D43">
        <v>6040.53</v>
      </c>
      <c r="E43">
        <f t="shared" si="3"/>
        <v>-5.0595812914254659E-3</v>
      </c>
      <c r="G43">
        <f t="shared" si="4"/>
        <v>-6.8801702255630237E-3</v>
      </c>
      <c r="H43">
        <f t="shared" si="5"/>
        <v>-5.2250574819016566E-3</v>
      </c>
    </row>
    <row r="44" spans="1:12" x14ac:dyDescent="0.2">
      <c r="A44" s="1">
        <v>45687</v>
      </c>
      <c r="B44">
        <v>237.59</v>
      </c>
      <c r="C44">
        <f t="shared" si="2"/>
        <v>-7.4221957254156003E-3</v>
      </c>
      <c r="D44">
        <v>6071.17</v>
      </c>
      <c r="E44">
        <f t="shared" si="3"/>
        <v>5.2615707224356184E-3</v>
      </c>
      <c r="G44">
        <f t="shared" si="4"/>
        <v>-7.5876719158917911E-3</v>
      </c>
      <c r="H44">
        <f t="shared" si="5"/>
        <v>5.0960945319594277E-3</v>
      </c>
    </row>
    <row r="45" spans="1:12" x14ac:dyDescent="0.2">
      <c r="A45" s="1">
        <v>45686</v>
      </c>
      <c r="B45">
        <v>239.36</v>
      </c>
      <c r="C45">
        <f t="shared" si="2"/>
        <v>4.6061804148975023E-3</v>
      </c>
      <c r="D45">
        <v>6039.31</v>
      </c>
      <c r="E45">
        <f t="shared" si="3"/>
        <v>-4.6898535700948913E-3</v>
      </c>
      <c r="G45">
        <f t="shared" si="4"/>
        <v>4.4407042244213116E-3</v>
      </c>
      <c r="H45">
        <f t="shared" si="5"/>
        <v>-4.8553297605710821E-3</v>
      </c>
    </row>
    <row r="46" spans="1:12" x14ac:dyDescent="0.2">
      <c r="A46" s="1">
        <v>45685</v>
      </c>
      <c r="B46">
        <v>238.26</v>
      </c>
      <c r="C46">
        <f t="shared" si="2"/>
        <v>3.5892086430602384E-2</v>
      </c>
      <c r="D46">
        <v>6067.7</v>
      </c>
      <c r="E46">
        <f t="shared" si="3"/>
        <v>9.1755762546756169E-3</v>
      </c>
      <c r="G46">
        <f t="shared" si="4"/>
        <v>3.5726610240126196E-2</v>
      </c>
      <c r="H46">
        <f t="shared" si="5"/>
        <v>9.0101000641994271E-3</v>
      </c>
    </row>
    <row r="47" spans="1:12" x14ac:dyDescent="0.2">
      <c r="A47" s="1">
        <v>45684</v>
      </c>
      <c r="B47">
        <v>229.86</v>
      </c>
      <c r="C47">
        <f t="shared" si="2"/>
        <v>3.1285690523568978E-2</v>
      </c>
      <c r="D47">
        <v>6012.28</v>
      </c>
      <c r="E47">
        <f t="shared" si="3"/>
        <v>-1.4687984883634318E-2</v>
      </c>
      <c r="G47">
        <f t="shared" si="4"/>
        <v>3.1120214333092786E-2</v>
      </c>
      <c r="H47">
        <f t="shared" si="5"/>
        <v>-1.4853461074110508E-2</v>
      </c>
    </row>
    <row r="48" spans="1:12" x14ac:dyDescent="0.2">
      <c r="A48" s="1">
        <v>45681</v>
      </c>
      <c r="B48">
        <v>222.78</v>
      </c>
      <c r="C48">
        <f t="shared" si="2"/>
        <v>-3.9423041829985839E-3</v>
      </c>
      <c r="D48">
        <v>6101.24</v>
      </c>
      <c r="E48">
        <f t="shared" si="3"/>
        <v>-2.8592607828964826E-3</v>
      </c>
      <c r="G48">
        <f t="shared" si="4"/>
        <v>-4.1077803734747747E-3</v>
      </c>
      <c r="H48">
        <f t="shared" si="5"/>
        <v>-3.0247369733726729E-3</v>
      </c>
    </row>
    <row r="49" spans="1:8" x14ac:dyDescent="0.2">
      <c r="A49" s="1">
        <v>45680</v>
      </c>
      <c r="B49">
        <v>223.66</v>
      </c>
      <c r="C49">
        <f t="shared" si="2"/>
        <v>-7.5979355149053557E-4</v>
      </c>
      <c r="D49">
        <v>6118.71</v>
      </c>
      <c r="E49">
        <f t="shared" si="3"/>
        <v>5.2994450977238887E-3</v>
      </c>
      <c r="G49">
        <f t="shared" si="4"/>
        <v>-9.2526974196672606E-4</v>
      </c>
      <c r="H49">
        <f t="shared" si="5"/>
        <v>5.133968907247698E-3</v>
      </c>
    </row>
    <row r="50" spans="1:8" x14ac:dyDescent="0.2">
      <c r="A50" s="1">
        <v>45679</v>
      </c>
      <c r="B50">
        <v>223.83</v>
      </c>
      <c r="C50">
        <f t="shared" si="2"/>
        <v>5.3307179338975266E-3</v>
      </c>
      <c r="D50">
        <v>6086.37</v>
      </c>
      <c r="E50">
        <f t="shared" si="3"/>
        <v>6.1192005774427091E-3</v>
      </c>
      <c r="G50">
        <f t="shared" si="4"/>
        <v>5.1652417434213359E-3</v>
      </c>
      <c r="H50">
        <f t="shared" si="5"/>
        <v>5.9537243869665184E-3</v>
      </c>
    </row>
    <row r="51" spans="1:8" x14ac:dyDescent="0.2">
      <c r="A51" s="1">
        <v>45678</v>
      </c>
      <c r="B51">
        <v>222.64</v>
      </c>
      <c r="C51">
        <f t="shared" si="2"/>
        <v>-3.2436231402883438E-2</v>
      </c>
      <c r="D51">
        <v>6049.24</v>
      </c>
      <c r="E51">
        <f t="shared" si="3"/>
        <v>8.7299967522312897E-3</v>
      </c>
      <c r="G51">
        <f t="shared" si="4"/>
        <v>-3.2601707593359626E-2</v>
      </c>
      <c r="H51">
        <f t="shared" si="5"/>
        <v>8.5645205617550998E-3</v>
      </c>
    </row>
    <row r="52" spans="1:8" x14ac:dyDescent="0.2">
      <c r="A52" s="1">
        <v>45674</v>
      </c>
      <c r="B52">
        <v>229.98</v>
      </c>
      <c r="C52">
        <f t="shared" si="2"/>
        <v>7.5070184950648353E-3</v>
      </c>
      <c r="D52">
        <v>5996.66</v>
      </c>
      <c r="E52">
        <f t="shared" si="3"/>
        <v>9.9414259357241096E-3</v>
      </c>
      <c r="G52">
        <f t="shared" si="4"/>
        <v>7.3415423045886446E-3</v>
      </c>
      <c r="H52">
        <f t="shared" si="5"/>
        <v>9.7759497452479197E-3</v>
      </c>
    </row>
    <row r="53" spans="1:8" x14ac:dyDescent="0.2">
      <c r="A53" s="1">
        <v>45673</v>
      </c>
      <c r="B53">
        <v>228.26</v>
      </c>
      <c r="C53">
        <f t="shared" si="2"/>
        <v>-4.1238975826963314E-2</v>
      </c>
      <c r="D53">
        <v>5937.34</v>
      </c>
      <c r="E53">
        <f t="shared" si="3"/>
        <v>-2.1148717634665781E-3</v>
      </c>
      <c r="G53">
        <f t="shared" si="4"/>
        <v>-4.1404452017439503E-2</v>
      </c>
      <c r="H53">
        <f t="shared" si="5"/>
        <v>-2.2803479539427684E-3</v>
      </c>
    </row>
    <row r="54" spans="1:8" x14ac:dyDescent="0.2">
      <c r="A54" s="1">
        <v>45672</v>
      </c>
      <c r="B54">
        <v>237.87</v>
      </c>
      <c r="C54">
        <f t="shared" si="2"/>
        <v>1.9484857132124001E-2</v>
      </c>
      <c r="D54">
        <v>5949.91</v>
      </c>
      <c r="E54">
        <f t="shared" si="3"/>
        <v>1.8147132985426716E-2</v>
      </c>
      <c r="G54">
        <f t="shared" si="4"/>
        <v>1.9319380941647809E-2</v>
      </c>
      <c r="H54">
        <f t="shared" si="5"/>
        <v>1.7981656794950524E-2</v>
      </c>
    </row>
    <row r="55" spans="1:8" x14ac:dyDescent="0.2">
      <c r="A55" s="1">
        <v>45671</v>
      </c>
      <c r="B55">
        <v>233.28</v>
      </c>
      <c r="C55">
        <f t="shared" si="2"/>
        <v>-4.7896088825642048E-3</v>
      </c>
      <c r="D55">
        <v>5842.91</v>
      </c>
      <c r="E55">
        <f t="shared" si="3"/>
        <v>1.1456334044923633E-3</v>
      </c>
      <c r="G55">
        <f t="shared" si="4"/>
        <v>-4.9550850730403955E-3</v>
      </c>
      <c r="H55">
        <f t="shared" si="5"/>
        <v>9.8015721401617279E-4</v>
      </c>
    </row>
    <row r="56" spans="1:8" x14ac:dyDescent="0.2">
      <c r="A56" s="1">
        <v>45670</v>
      </c>
      <c r="B56">
        <v>234.4</v>
      </c>
      <c r="C56">
        <f t="shared" si="2"/>
        <v>-1.0397971666903203E-2</v>
      </c>
      <c r="D56">
        <v>5836.22</v>
      </c>
      <c r="E56">
        <f t="shared" si="3"/>
        <v>1.5741742695762329E-3</v>
      </c>
      <c r="G56">
        <f t="shared" si="4"/>
        <v>-1.0563447857379393E-2</v>
      </c>
      <c r="H56">
        <f t="shared" si="5"/>
        <v>1.4086980791000424E-3</v>
      </c>
    </row>
    <row r="57" spans="1:8" x14ac:dyDescent="0.2">
      <c r="A57" s="1">
        <v>45667</v>
      </c>
      <c r="B57">
        <v>236.85</v>
      </c>
      <c r="C57">
        <f t="shared" si="2"/>
        <v>-2.4399083362794845E-2</v>
      </c>
      <c r="D57">
        <v>5827.04</v>
      </c>
      <c r="E57">
        <f t="shared" si="3"/>
        <v>-1.5531644353894208E-2</v>
      </c>
      <c r="G57">
        <f t="shared" si="4"/>
        <v>-2.4564559553271036E-2</v>
      </c>
      <c r="H57">
        <f t="shared" si="5"/>
        <v>-1.5697120544370398E-2</v>
      </c>
    </row>
    <row r="58" spans="1:8" x14ac:dyDescent="0.2">
      <c r="A58" s="1">
        <v>45665</v>
      </c>
      <c r="B58">
        <v>242.7</v>
      </c>
      <c r="C58">
        <f t="shared" si="2"/>
        <v>2.0209942743203797E-3</v>
      </c>
      <c r="D58">
        <v>5918.25</v>
      </c>
      <c r="E58">
        <f t="shared" si="3"/>
        <v>1.559107735282887E-3</v>
      </c>
      <c r="G58">
        <f t="shared" si="4"/>
        <v>1.8555180838441892E-3</v>
      </c>
      <c r="H58">
        <f t="shared" si="5"/>
        <v>1.3936315448066965E-3</v>
      </c>
    </row>
    <row r="59" spans="1:8" x14ac:dyDescent="0.2">
      <c r="A59" s="1">
        <v>45664</v>
      </c>
      <c r="B59">
        <v>242.21</v>
      </c>
      <c r="C59">
        <f t="shared" si="2"/>
        <v>-1.1453092086491822E-2</v>
      </c>
      <c r="D59">
        <v>5909.03</v>
      </c>
      <c r="E59">
        <f t="shared" si="3"/>
        <v>-1.116600476981219E-2</v>
      </c>
      <c r="G59">
        <f t="shared" si="4"/>
        <v>-1.1618568276968012E-2</v>
      </c>
      <c r="H59">
        <f t="shared" si="5"/>
        <v>-1.133148096028838E-2</v>
      </c>
    </row>
    <row r="60" spans="1:8" x14ac:dyDescent="0.2">
      <c r="A60" s="1">
        <v>45663</v>
      </c>
      <c r="B60">
        <v>245</v>
      </c>
      <c r="C60">
        <f t="shared" si="2"/>
        <v>6.7163820337442027E-3</v>
      </c>
      <c r="D60">
        <v>5975.38</v>
      </c>
      <c r="E60">
        <f t="shared" si="3"/>
        <v>5.5228222624888485E-3</v>
      </c>
      <c r="G60">
        <f t="shared" si="4"/>
        <v>6.5509058432680119E-3</v>
      </c>
      <c r="H60">
        <f t="shared" si="5"/>
        <v>5.3573460720126578E-3</v>
      </c>
    </row>
    <row r="61" spans="1:8" x14ac:dyDescent="0.2">
      <c r="A61" s="1">
        <v>45660</v>
      </c>
      <c r="B61">
        <v>243.36</v>
      </c>
      <c r="C61">
        <f t="shared" si="2"/>
        <v>-2.0114536450788353E-3</v>
      </c>
      <c r="D61">
        <v>5942.47</v>
      </c>
      <c r="E61">
        <f t="shared" si="3"/>
        <v>1.2517287272659085E-2</v>
      </c>
      <c r="G61">
        <f t="shared" si="4"/>
        <v>-2.1769298355550255E-3</v>
      </c>
      <c r="H61">
        <f t="shared" si="5"/>
        <v>1.2351811082182895E-2</v>
      </c>
    </row>
    <row r="62" spans="1:8" x14ac:dyDescent="0.2">
      <c r="A62" s="1">
        <v>45659</v>
      </c>
      <c r="B62">
        <v>243.85</v>
      </c>
      <c r="C62">
        <f t="shared" si="2"/>
        <v>-2.6586226084739983E-2</v>
      </c>
      <c r="D62">
        <v>5868.55</v>
      </c>
      <c r="E62">
        <f t="shared" si="3"/>
        <v>-2.2263497925529528E-3</v>
      </c>
      <c r="G62">
        <f t="shared" si="4"/>
        <v>-2.6751702275216175E-2</v>
      </c>
      <c r="H62">
        <f t="shared" si="5"/>
        <v>-2.3918259830291431E-3</v>
      </c>
    </row>
    <row r="63" spans="1:8" x14ac:dyDescent="0.2">
      <c r="A63" s="1">
        <v>45657</v>
      </c>
      <c r="B63">
        <v>250.42</v>
      </c>
      <c r="C63">
        <f t="shared" si="2"/>
        <v>-7.0829152900175382E-3</v>
      </c>
      <c r="D63">
        <v>5881.63</v>
      </c>
      <c r="E63">
        <f t="shared" si="3"/>
        <v>-4.2939964541344501E-3</v>
      </c>
      <c r="G63">
        <f t="shared" si="4"/>
        <v>-7.2483914804937289E-3</v>
      </c>
      <c r="H63">
        <f t="shared" si="5"/>
        <v>-4.4594726446106408E-3</v>
      </c>
    </row>
    <row r="64" spans="1:8" x14ac:dyDescent="0.2">
      <c r="A64" s="1">
        <v>45656</v>
      </c>
      <c r="B64">
        <v>252.2</v>
      </c>
      <c r="C64">
        <f t="shared" si="2"/>
        <v>-1.3352174576538492E-2</v>
      </c>
      <c r="D64">
        <v>5906.94</v>
      </c>
      <c r="E64">
        <f t="shared" si="3"/>
        <v>-1.0759690191101295E-2</v>
      </c>
      <c r="G64">
        <f t="shared" si="4"/>
        <v>-1.3517650767014682E-2</v>
      </c>
      <c r="H64">
        <f t="shared" si="5"/>
        <v>-1.0925166381577485E-2</v>
      </c>
    </row>
    <row r="65" spans="1:8" x14ac:dyDescent="0.2">
      <c r="A65" s="1">
        <v>45653</v>
      </c>
      <c r="B65">
        <v>255.59</v>
      </c>
      <c r="C65">
        <f t="shared" si="2"/>
        <v>-1.3330680688083499E-2</v>
      </c>
      <c r="D65">
        <v>5970.84</v>
      </c>
      <c r="E65">
        <f t="shared" si="3"/>
        <v>-1.111730467559637E-2</v>
      </c>
      <c r="G65">
        <f t="shared" si="4"/>
        <v>-1.3496156878559689E-2</v>
      </c>
      <c r="H65">
        <f t="shared" si="5"/>
        <v>-1.128278086607256E-2</v>
      </c>
    </row>
    <row r="66" spans="1:8" x14ac:dyDescent="0.2">
      <c r="A66" s="1">
        <v>45652</v>
      </c>
      <c r="B66">
        <v>259.02</v>
      </c>
      <c r="C66">
        <f t="shared" si="2"/>
        <v>3.1708003828989626E-3</v>
      </c>
      <c r="D66">
        <v>6037.59</v>
      </c>
      <c r="E66">
        <f t="shared" si="3"/>
        <v>-4.0570874146761795E-4</v>
      </c>
      <c r="G66">
        <f t="shared" si="4"/>
        <v>3.0053241924227724E-3</v>
      </c>
      <c r="H66">
        <f t="shared" si="5"/>
        <v>-5.7118493194380845E-4</v>
      </c>
    </row>
    <row r="67" spans="1:8" x14ac:dyDescent="0.2">
      <c r="A67" s="1">
        <v>45650</v>
      </c>
      <c r="B67">
        <v>258.2</v>
      </c>
      <c r="C67">
        <f t="shared" si="2"/>
        <v>1.1412669882966294E-2</v>
      </c>
      <c r="D67">
        <v>6040.04</v>
      </c>
      <c r="E67">
        <f t="shared" si="3"/>
        <v>1.0982197273831982E-2</v>
      </c>
      <c r="G67">
        <f t="shared" ref="G67:G98" si="6">C67-$F$2/252</f>
        <v>1.1247193692490104E-2</v>
      </c>
      <c r="H67">
        <f t="shared" ref="H67:H98" si="7">E67-$F$2/252</f>
        <v>1.0816721083355792E-2</v>
      </c>
    </row>
    <row r="68" spans="1:8" x14ac:dyDescent="0.2">
      <c r="A68" s="1">
        <v>45649</v>
      </c>
      <c r="B68">
        <v>255.27</v>
      </c>
      <c r="C68">
        <f t="shared" ref="C68:C131" si="8">LN(B68/B69)</f>
        <v>3.0602660418225774E-3</v>
      </c>
      <c r="D68">
        <v>5974.07</v>
      </c>
      <c r="E68">
        <f t="shared" ref="E68:E131" si="9">LN(D68/D69)</f>
        <v>7.2608954754625398E-3</v>
      </c>
      <c r="G68">
        <f t="shared" si="6"/>
        <v>2.8947898513463871E-3</v>
      </c>
      <c r="H68">
        <f t="shared" si="7"/>
        <v>7.0954192849863491E-3</v>
      </c>
    </row>
    <row r="69" spans="1:8" x14ac:dyDescent="0.2">
      <c r="A69" s="1">
        <v>45646</v>
      </c>
      <c r="B69">
        <v>254.49</v>
      </c>
      <c r="C69">
        <f t="shared" si="8"/>
        <v>1.8640977623199214E-2</v>
      </c>
      <c r="D69">
        <v>5930.85</v>
      </c>
      <c r="E69">
        <f t="shared" si="9"/>
        <v>1.0810476252410672E-2</v>
      </c>
      <c r="G69">
        <f t="shared" si="6"/>
        <v>1.8475501432723022E-2</v>
      </c>
      <c r="H69">
        <f t="shared" si="7"/>
        <v>1.0645000061934482E-2</v>
      </c>
    </row>
    <row r="70" spans="1:8" x14ac:dyDescent="0.2">
      <c r="A70" s="1">
        <v>45645</v>
      </c>
      <c r="B70">
        <v>249.79</v>
      </c>
      <c r="C70">
        <f t="shared" si="8"/>
        <v>6.9902261174959015E-3</v>
      </c>
      <c r="D70">
        <v>5867.08</v>
      </c>
      <c r="E70">
        <f t="shared" si="9"/>
        <v>-8.6547345775283581E-4</v>
      </c>
      <c r="G70">
        <f t="shared" si="6"/>
        <v>6.8247499270197107E-3</v>
      </c>
      <c r="H70">
        <f t="shared" si="7"/>
        <v>-1.0309496482290262E-3</v>
      </c>
    </row>
    <row r="71" spans="1:8" x14ac:dyDescent="0.2">
      <c r="A71" s="1">
        <v>45644</v>
      </c>
      <c r="B71">
        <v>248.05</v>
      </c>
      <c r="C71">
        <f t="shared" si="8"/>
        <v>-2.1654585708258262E-2</v>
      </c>
      <c r="D71">
        <v>5872.16</v>
      </c>
      <c r="E71">
        <f t="shared" si="9"/>
        <v>-2.9936554508987644E-2</v>
      </c>
      <c r="G71">
        <f t="shared" si="6"/>
        <v>-2.1820061898734453E-2</v>
      </c>
      <c r="H71">
        <f t="shared" si="7"/>
        <v>-3.0102030699463836E-2</v>
      </c>
    </row>
    <row r="72" spans="1:8" x14ac:dyDescent="0.2">
      <c r="A72" s="1">
        <v>45643</v>
      </c>
      <c r="B72">
        <v>253.48</v>
      </c>
      <c r="C72">
        <f t="shared" si="8"/>
        <v>9.6726354705936723E-3</v>
      </c>
      <c r="D72">
        <v>6050.61</v>
      </c>
      <c r="E72">
        <f t="shared" si="9"/>
        <v>-3.8714440227630084E-3</v>
      </c>
      <c r="G72">
        <f t="shared" si="6"/>
        <v>9.5071592801174824E-3</v>
      </c>
      <c r="H72">
        <f t="shared" si="7"/>
        <v>-4.0369202132391991E-3</v>
      </c>
    </row>
    <row r="73" spans="1:8" x14ac:dyDescent="0.2">
      <c r="A73" s="1">
        <v>45642</v>
      </c>
      <c r="B73">
        <v>251.04</v>
      </c>
      <c r="C73">
        <f t="shared" si="8"/>
        <v>1.1659486612797755E-2</v>
      </c>
      <c r="D73">
        <v>6074.08</v>
      </c>
      <c r="E73">
        <f t="shared" si="9"/>
        <v>3.7921163249597686E-3</v>
      </c>
      <c r="G73">
        <f t="shared" si="6"/>
        <v>1.1494010422321566E-2</v>
      </c>
      <c r="H73">
        <f t="shared" si="7"/>
        <v>3.6266401344835783E-3</v>
      </c>
    </row>
    <row r="74" spans="1:8" x14ac:dyDescent="0.2">
      <c r="A74" s="1">
        <v>45639</v>
      </c>
      <c r="B74">
        <v>248.13</v>
      </c>
      <c r="C74">
        <f t="shared" si="8"/>
        <v>6.8535953820605803E-4</v>
      </c>
      <c r="D74">
        <v>6051.09</v>
      </c>
      <c r="E74">
        <f t="shared" si="9"/>
        <v>-2.6441167577320025E-5</v>
      </c>
      <c r="G74">
        <f t="shared" si="6"/>
        <v>5.1988334772986753E-4</v>
      </c>
      <c r="H74">
        <f t="shared" si="7"/>
        <v>-1.9191735805351051E-4</v>
      </c>
    </row>
    <row r="75" spans="1:8" x14ac:dyDescent="0.2">
      <c r="A75" s="1">
        <v>45638</v>
      </c>
      <c r="B75">
        <v>247.96</v>
      </c>
      <c r="C75">
        <f t="shared" si="8"/>
        <v>5.9460181251939897E-3</v>
      </c>
      <c r="D75">
        <v>6051.25</v>
      </c>
      <c r="E75">
        <f t="shared" si="9"/>
        <v>-5.4287410919564485E-3</v>
      </c>
      <c r="G75">
        <f t="shared" si="6"/>
        <v>5.780541934717799E-3</v>
      </c>
      <c r="H75">
        <f t="shared" si="7"/>
        <v>-5.5942172824326392E-3</v>
      </c>
    </row>
    <row r="76" spans="1:8" x14ac:dyDescent="0.2">
      <c r="A76" s="1">
        <v>45637</v>
      </c>
      <c r="B76">
        <v>246.49</v>
      </c>
      <c r="C76">
        <f t="shared" si="8"/>
        <v>-5.1794717822105452E-3</v>
      </c>
      <c r="D76">
        <v>6084.19</v>
      </c>
      <c r="E76">
        <f t="shared" si="9"/>
        <v>8.1326619328850828E-3</v>
      </c>
      <c r="G76">
        <f t="shared" si="6"/>
        <v>-5.3449479726867359E-3</v>
      </c>
      <c r="H76">
        <f t="shared" si="7"/>
        <v>7.9671857424088929E-3</v>
      </c>
    </row>
    <row r="77" spans="1:8" x14ac:dyDescent="0.2">
      <c r="A77" s="1">
        <v>45636</v>
      </c>
      <c r="B77">
        <v>247.77</v>
      </c>
      <c r="C77">
        <f t="shared" si="8"/>
        <v>4.1252181771443009E-3</v>
      </c>
      <c r="D77">
        <v>6034.91</v>
      </c>
      <c r="E77">
        <f t="shared" si="9"/>
        <v>-2.9682940713745675E-3</v>
      </c>
      <c r="G77">
        <f t="shared" si="6"/>
        <v>3.9597419866681102E-3</v>
      </c>
      <c r="H77">
        <f t="shared" si="7"/>
        <v>-3.1337702618507578E-3</v>
      </c>
    </row>
    <row r="78" spans="1:8" x14ac:dyDescent="0.2">
      <c r="A78" s="1">
        <v>45635</v>
      </c>
      <c r="B78">
        <v>246.75</v>
      </c>
      <c r="C78">
        <f t="shared" si="8"/>
        <v>1.5972888051357558E-2</v>
      </c>
      <c r="D78">
        <v>6052.85</v>
      </c>
      <c r="E78">
        <f t="shared" si="9"/>
        <v>-6.1631802121963038E-3</v>
      </c>
      <c r="G78">
        <f t="shared" si="6"/>
        <v>1.5807411860881367E-2</v>
      </c>
      <c r="H78">
        <f t="shared" si="7"/>
        <v>-6.3286564026724945E-3</v>
      </c>
    </row>
    <row r="79" spans="1:8" x14ac:dyDescent="0.2">
      <c r="A79" s="1">
        <v>45632</v>
      </c>
      <c r="B79">
        <v>242.84</v>
      </c>
      <c r="C79">
        <f t="shared" si="8"/>
        <v>-8.2324858522934052E-4</v>
      </c>
      <c r="D79">
        <v>6090.27</v>
      </c>
      <c r="E79">
        <f t="shared" si="9"/>
        <v>2.4923196558419955E-3</v>
      </c>
      <c r="G79">
        <f t="shared" si="6"/>
        <v>-9.8872477570553091E-4</v>
      </c>
      <c r="H79">
        <f t="shared" si="7"/>
        <v>2.3268434653658052E-3</v>
      </c>
    </row>
    <row r="80" spans="1:8" x14ac:dyDescent="0.2">
      <c r="A80" s="1">
        <v>45631</v>
      </c>
      <c r="B80">
        <v>243.04</v>
      </c>
      <c r="C80">
        <f t="shared" si="8"/>
        <v>1.2344409027086238E-4</v>
      </c>
      <c r="D80">
        <v>6075.11</v>
      </c>
      <c r="E80">
        <f t="shared" si="9"/>
        <v>-1.8714648272306858E-3</v>
      </c>
      <c r="G80">
        <f t="shared" si="6"/>
        <v>-4.2032100205328092E-5</v>
      </c>
      <c r="H80">
        <f t="shared" si="7"/>
        <v>-2.0369410177068763E-3</v>
      </c>
    </row>
    <row r="81" spans="1:8" x14ac:dyDescent="0.2">
      <c r="A81" s="1">
        <v>45630</v>
      </c>
      <c r="B81">
        <v>243.01</v>
      </c>
      <c r="C81">
        <f t="shared" si="8"/>
        <v>1.4825189059665656E-3</v>
      </c>
      <c r="D81">
        <v>6086.49</v>
      </c>
      <c r="E81">
        <f t="shared" si="9"/>
        <v>6.0331237505021089E-3</v>
      </c>
      <c r="G81">
        <f t="shared" si="6"/>
        <v>1.3170427154903751E-3</v>
      </c>
      <c r="H81">
        <f t="shared" si="7"/>
        <v>5.8676475600259181E-3</v>
      </c>
    </row>
    <row r="82" spans="1:8" x14ac:dyDescent="0.2">
      <c r="A82" s="1">
        <v>45629</v>
      </c>
      <c r="B82">
        <v>242.65</v>
      </c>
      <c r="C82">
        <f t="shared" si="8"/>
        <v>1.269094670795666E-2</v>
      </c>
      <c r="D82">
        <v>6049.88</v>
      </c>
      <c r="E82">
        <f t="shared" si="9"/>
        <v>4.5135046310470323E-4</v>
      </c>
      <c r="G82">
        <f t="shared" si="6"/>
        <v>1.252547051748047E-2</v>
      </c>
      <c r="H82">
        <f t="shared" si="7"/>
        <v>2.8587427262851274E-4</v>
      </c>
    </row>
    <row r="83" spans="1:8" x14ac:dyDescent="0.2">
      <c r="A83" s="1">
        <v>45628</v>
      </c>
      <c r="B83">
        <v>239.59</v>
      </c>
      <c r="C83">
        <f t="shared" si="8"/>
        <v>9.477551441854002E-3</v>
      </c>
      <c r="D83">
        <v>6047.15</v>
      </c>
      <c r="E83">
        <f t="shared" si="9"/>
        <v>2.4454606033056034E-3</v>
      </c>
      <c r="G83">
        <f t="shared" si="6"/>
        <v>9.3120752513778122E-3</v>
      </c>
      <c r="H83">
        <f t="shared" si="7"/>
        <v>2.2799844128294131E-3</v>
      </c>
    </row>
    <row r="84" spans="1:8" x14ac:dyDescent="0.2">
      <c r="A84" s="1">
        <v>45625</v>
      </c>
      <c r="B84">
        <v>237.33</v>
      </c>
      <c r="C84">
        <f t="shared" si="8"/>
        <v>1.0163980270458799E-2</v>
      </c>
      <c r="D84">
        <v>6032.38</v>
      </c>
      <c r="E84">
        <f t="shared" si="9"/>
        <v>5.5921788939180331E-3</v>
      </c>
      <c r="G84">
        <f t="shared" si="6"/>
        <v>9.9985040799826091E-3</v>
      </c>
      <c r="H84">
        <f t="shared" si="7"/>
        <v>5.4267027034418424E-3</v>
      </c>
    </row>
    <row r="85" spans="1:8" x14ac:dyDescent="0.2">
      <c r="A85" s="1">
        <v>45623</v>
      </c>
      <c r="B85">
        <v>234.93</v>
      </c>
      <c r="C85">
        <f t="shared" si="8"/>
        <v>-5.5320327375206512E-4</v>
      </c>
      <c r="D85">
        <v>5998.74</v>
      </c>
      <c r="E85">
        <f t="shared" si="9"/>
        <v>-3.8085396153748753E-3</v>
      </c>
      <c r="G85">
        <f t="shared" si="6"/>
        <v>-7.1867946422825562E-4</v>
      </c>
      <c r="H85">
        <f t="shared" si="7"/>
        <v>-3.9740158058510656E-3</v>
      </c>
    </row>
    <row r="86" spans="1:8" x14ac:dyDescent="0.2">
      <c r="A86" s="1">
        <v>45622</v>
      </c>
      <c r="B86">
        <v>235.06</v>
      </c>
      <c r="C86">
        <f t="shared" si="8"/>
        <v>9.3604427595636724E-3</v>
      </c>
      <c r="D86">
        <v>6021.63</v>
      </c>
      <c r="E86">
        <f t="shared" si="9"/>
        <v>5.7057361888066833E-3</v>
      </c>
      <c r="G86">
        <f t="shared" si="6"/>
        <v>9.1949665690874826E-3</v>
      </c>
      <c r="H86">
        <f t="shared" si="7"/>
        <v>5.5402599983304926E-3</v>
      </c>
    </row>
    <row r="87" spans="1:8" x14ac:dyDescent="0.2">
      <c r="A87" s="1">
        <v>45621</v>
      </c>
      <c r="B87">
        <v>232.87</v>
      </c>
      <c r="C87">
        <f t="shared" si="8"/>
        <v>1.2966426208818584E-2</v>
      </c>
      <c r="D87">
        <v>5987.37</v>
      </c>
      <c r="E87">
        <f t="shared" si="9"/>
        <v>3.015882072251307E-3</v>
      </c>
      <c r="G87">
        <f t="shared" si="6"/>
        <v>1.2800950018342394E-2</v>
      </c>
      <c r="H87">
        <f t="shared" si="7"/>
        <v>2.8504058817751168E-3</v>
      </c>
    </row>
    <row r="88" spans="1:8" x14ac:dyDescent="0.2">
      <c r="A88" s="1">
        <v>45618</v>
      </c>
      <c r="B88">
        <v>229.87</v>
      </c>
      <c r="C88">
        <f t="shared" si="8"/>
        <v>5.890197880063815E-3</v>
      </c>
      <c r="D88">
        <v>5969.34</v>
      </c>
      <c r="E88">
        <f t="shared" si="9"/>
        <v>3.4619792004100735E-3</v>
      </c>
      <c r="G88">
        <f t="shared" si="6"/>
        <v>5.7247216895876243E-3</v>
      </c>
      <c r="H88">
        <f t="shared" si="7"/>
        <v>3.2965030099338832E-3</v>
      </c>
    </row>
    <row r="89" spans="1:8" x14ac:dyDescent="0.2">
      <c r="A89" s="1">
        <v>45617</v>
      </c>
      <c r="B89">
        <v>228.52</v>
      </c>
      <c r="C89">
        <f t="shared" si="8"/>
        <v>-2.0982696979778065E-3</v>
      </c>
      <c r="D89">
        <v>5948.71</v>
      </c>
      <c r="E89">
        <f t="shared" si="9"/>
        <v>5.3262353051749837E-3</v>
      </c>
      <c r="G89">
        <f t="shared" si="6"/>
        <v>-2.2637458884539967E-3</v>
      </c>
      <c r="H89">
        <f t="shared" si="7"/>
        <v>5.160759114698793E-3</v>
      </c>
    </row>
    <row r="90" spans="1:8" x14ac:dyDescent="0.2">
      <c r="A90" s="1">
        <v>45616</v>
      </c>
      <c r="B90">
        <v>229</v>
      </c>
      <c r="C90">
        <f t="shared" si="8"/>
        <v>3.1490578857323766E-3</v>
      </c>
      <c r="D90">
        <v>5917.11</v>
      </c>
      <c r="E90">
        <f t="shared" si="9"/>
        <v>2.1970426117316337E-5</v>
      </c>
      <c r="G90">
        <f t="shared" si="6"/>
        <v>2.9835816952561863E-3</v>
      </c>
      <c r="H90">
        <f t="shared" si="7"/>
        <v>-1.4350576435887414E-4</v>
      </c>
    </row>
    <row r="91" spans="1:8" x14ac:dyDescent="0.2">
      <c r="A91" s="1">
        <v>45615</v>
      </c>
      <c r="B91">
        <v>228.28</v>
      </c>
      <c r="C91">
        <f t="shared" si="8"/>
        <v>1.1396012629335743E-3</v>
      </c>
      <c r="D91">
        <v>5916.98</v>
      </c>
      <c r="E91">
        <f t="shared" si="9"/>
        <v>3.9557737052673715E-3</v>
      </c>
      <c r="G91">
        <f t="shared" si="6"/>
        <v>9.7412507245738379E-4</v>
      </c>
      <c r="H91">
        <f t="shared" si="7"/>
        <v>3.7902975147911812E-3</v>
      </c>
    </row>
    <row r="92" spans="1:8" x14ac:dyDescent="0.2">
      <c r="A92" s="1">
        <v>45614</v>
      </c>
      <c r="B92">
        <v>228.02</v>
      </c>
      <c r="C92">
        <f t="shared" si="8"/>
        <v>1.3332942201153587E-2</v>
      </c>
      <c r="D92">
        <v>5893.62</v>
      </c>
      <c r="E92">
        <f t="shared" si="9"/>
        <v>3.9101598241076656E-3</v>
      </c>
      <c r="G92">
        <f t="shared" si="6"/>
        <v>1.3167466010677397E-2</v>
      </c>
      <c r="H92">
        <f t="shared" si="7"/>
        <v>3.7446836336314754E-3</v>
      </c>
    </row>
    <row r="93" spans="1:8" x14ac:dyDescent="0.2">
      <c r="A93" s="1">
        <v>45611</v>
      </c>
      <c r="B93">
        <v>225</v>
      </c>
      <c r="C93">
        <f t="shared" si="8"/>
        <v>-1.4209673802113448E-2</v>
      </c>
      <c r="D93">
        <v>5870.62</v>
      </c>
      <c r="E93">
        <f t="shared" si="9"/>
        <v>-1.3291463960568205E-2</v>
      </c>
      <c r="G93">
        <f t="shared" si="6"/>
        <v>-1.4375149992589637E-2</v>
      </c>
      <c r="H93">
        <f t="shared" si="7"/>
        <v>-1.3456940151044395E-2</v>
      </c>
    </row>
    <row r="94" spans="1:8" x14ac:dyDescent="0.2">
      <c r="A94" s="1">
        <v>45610</v>
      </c>
      <c r="B94">
        <v>228.22</v>
      </c>
      <c r="C94">
        <f t="shared" si="8"/>
        <v>1.3676482640454679E-2</v>
      </c>
      <c r="D94">
        <v>5949.17</v>
      </c>
      <c r="E94">
        <f t="shared" si="9"/>
        <v>-6.0681150291174617E-3</v>
      </c>
      <c r="G94">
        <f t="shared" si="6"/>
        <v>1.3511006449978489E-2</v>
      </c>
      <c r="H94">
        <f t="shared" si="7"/>
        <v>-6.2335912195936524E-3</v>
      </c>
    </row>
    <row r="95" spans="1:8" x14ac:dyDescent="0.2">
      <c r="A95" s="1">
        <v>45609</v>
      </c>
      <c r="B95">
        <v>225.12</v>
      </c>
      <c r="C95">
        <f t="shared" si="8"/>
        <v>3.9612825806397481E-3</v>
      </c>
      <c r="D95">
        <v>5985.38</v>
      </c>
      <c r="E95">
        <f t="shared" si="9"/>
        <v>2.322595101076364E-4</v>
      </c>
      <c r="G95">
        <f t="shared" si="6"/>
        <v>3.7958063901635578E-3</v>
      </c>
      <c r="H95">
        <f t="shared" si="7"/>
        <v>6.6783319631445932E-5</v>
      </c>
    </row>
    <row r="96" spans="1:8" x14ac:dyDescent="0.2">
      <c r="A96" s="1">
        <v>45608</v>
      </c>
      <c r="B96">
        <v>224.23</v>
      </c>
      <c r="C96">
        <f t="shared" si="8"/>
        <v>0</v>
      </c>
      <c r="D96">
        <v>5983.99</v>
      </c>
      <c r="E96">
        <f t="shared" si="9"/>
        <v>-2.8968743715661891E-3</v>
      </c>
      <c r="G96">
        <f t="shared" si="6"/>
        <v>-1.6547619047619047E-4</v>
      </c>
      <c r="H96">
        <f t="shared" si="7"/>
        <v>-3.0623505620423794E-3</v>
      </c>
    </row>
    <row r="97" spans="1:8" x14ac:dyDescent="0.2">
      <c r="A97" s="1">
        <v>45607</v>
      </c>
      <c r="B97">
        <v>224.23</v>
      </c>
      <c r="C97">
        <f t="shared" si="8"/>
        <v>-1.2101479715156712E-2</v>
      </c>
      <c r="D97">
        <v>6001.35</v>
      </c>
      <c r="E97">
        <f t="shared" si="9"/>
        <v>9.6858443383637458E-4</v>
      </c>
      <c r="G97">
        <f t="shared" si="6"/>
        <v>-1.2266955905632902E-2</v>
      </c>
      <c r="H97">
        <f t="shared" si="7"/>
        <v>8.0310824336018408E-4</v>
      </c>
    </row>
    <row r="98" spans="1:8" x14ac:dyDescent="0.2">
      <c r="A98" s="1">
        <v>45604</v>
      </c>
      <c r="B98">
        <v>226.96</v>
      </c>
      <c r="C98">
        <f t="shared" si="8"/>
        <v>-2.2885319380029265E-3</v>
      </c>
      <c r="D98">
        <v>5995.54</v>
      </c>
      <c r="E98">
        <f t="shared" si="9"/>
        <v>3.7498038697994338E-3</v>
      </c>
      <c r="G98">
        <f t="shared" si="6"/>
        <v>-2.4540081284791168E-3</v>
      </c>
      <c r="H98">
        <f t="shared" si="7"/>
        <v>3.5843276793232435E-3</v>
      </c>
    </row>
    <row r="99" spans="1:8" x14ac:dyDescent="0.2">
      <c r="A99" s="1">
        <v>45603</v>
      </c>
      <c r="B99">
        <v>227.48</v>
      </c>
      <c r="C99">
        <f t="shared" si="8"/>
        <v>2.1146945292544149E-2</v>
      </c>
      <c r="D99">
        <v>5973.1</v>
      </c>
      <c r="E99">
        <f t="shared" si="9"/>
        <v>7.4037444129894632E-3</v>
      </c>
      <c r="G99">
        <f t="shared" ref="G99:G130" si="10">C99-$F$2/252</f>
        <v>2.0981469102067957E-2</v>
      </c>
      <c r="H99">
        <f t="shared" ref="H99:H130" si="11">E99-$F$2/252</f>
        <v>7.2382682225132725E-3</v>
      </c>
    </row>
    <row r="100" spans="1:8" x14ac:dyDescent="0.2">
      <c r="A100" s="1">
        <v>45602</v>
      </c>
      <c r="B100">
        <v>222.72</v>
      </c>
      <c r="C100">
        <f t="shared" si="8"/>
        <v>-3.2722982334056835E-3</v>
      </c>
      <c r="D100">
        <v>5929.04</v>
      </c>
      <c r="E100">
        <f t="shared" si="9"/>
        <v>2.4981233838896531E-2</v>
      </c>
      <c r="G100">
        <f t="shared" si="10"/>
        <v>-3.4377744238818738E-3</v>
      </c>
      <c r="H100">
        <f t="shared" si="11"/>
        <v>2.4815757648420339E-2</v>
      </c>
    </row>
    <row r="101" spans="1:8" x14ac:dyDescent="0.2">
      <c r="A101" s="1">
        <v>45601</v>
      </c>
      <c r="B101">
        <v>223.45</v>
      </c>
      <c r="C101">
        <f t="shared" si="8"/>
        <v>6.4652494766336294E-3</v>
      </c>
      <c r="D101">
        <v>5782.76</v>
      </c>
      <c r="E101">
        <f t="shared" si="9"/>
        <v>1.219106130274809E-2</v>
      </c>
      <c r="G101">
        <f t="shared" si="10"/>
        <v>6.2997732861574387E-3</v>
      </c>
      <c r="H101">
        <f t="shared" si="11"/>
        <v>1.20255851122719E-2</v>
      </c>
    </row>
    <row r="102" spans="1:8" x14ac:dyDescent="0.2">
      <c r="A102" s="1">
        <v>45600</v>
      </c>
      <c r="B102">
        <v>222.01</v>
      </c>
      <c r="C102">
        <f t="shared" si="8"/>
        <v>-4.0456766500141109E-3</v>
      </c>
      <c r="D102">
        <v>5712.69</v>
      </c>
      <c r="E102">
        <f t="shared" si="9"/>
        <v>-2.8160686495115016E-3</v>
      </c>
      <c r="G102">
        <f t="shared" si="10"/>
        <v>-4.2111528404903016E-3</v>
      </c>
      <c r="H102">
        <f t="shared" si="11"/>
        <v>-2.9815448399876919E-3</v>
      </c>
    </row>
    <row r="103" spans="1:8" x14ac:dyDescent="0.2">
      <c r="A103" s="1">
        <v>45597</v>
      </c>
      <c r="B103">
        <v>222.91</v>
      </c>
      <c r="C103">
        <f t="shared" si="8"/>
        <v>-1.3368587316289905E-2</v>
      </c>
      <c r="D103">
        <v>5728.8</v>
      </c>
      <c r="E103">
        <f t="shared" si="9"/>
        <v>4.0842263302362366E-3</v>
      </c>
      <c r="G103">
        <f t="shared" si="10"/>
        <v>-1.3534063506766095E-2</v>
      </c>
      <c r="H103">
        <f t="shared" si="11"/>
        <v>3.9187501397600459E-3</v>
      </c>
    </row>
    <row r="104" spans="1:8" x14ac:dyDescent="0.2">
      <c r="A104" s="1">
        <v>45596</v>
      </c>
      <c r="B104">
        <v>225.91</v>
      </c>
      <c r="C104">
        <f t="shared" si="8"/>
        <v>-1.8377307172189244E-2</v>
      </c>
      <c r="D104">
        <v>5705.45</v>
      </c>
      <c r="E104">
        <f t="shared" si="9"/>
        <v>-1.8790182599519829E-2</v>
      </c>
      <c r="G104">
        <f t="shared" si="10"/>
        <v>-1.8542783362665436E-2</v>
      </c>
      <c r="H104">
        <f t="shared" si="11"/>
        <v>-1.895565878999602E-2</v>
      </c>
    </row>
    <row r="105" spans="1:8" x14ac:dyDescent="0.2">
      <c r="A105" s="1">
        <v>45595</v>
      </c>
      <c r="B105">
        <v>230.1</v>
      </c>
      <c r="C105">
        <f t="shared" si="8"/>
        <v>-1.5395866558646653E-2</v>
      </c>
      <c r="D105">
        <v>5813.67</v>
      </c>
      <c r="E105">
        <f t="shared" si="9"/>
        <v>-3.3056916281390038E-3</v>
      </c>
      <c r="G105">
        <f t="shared" si="10"/>
        <v>-1.5561342749122842E-2</v>
      </c>
      <c r="H105">
        <f t="shared" si="11"/>
        <v>-3.4711678186151941E-3</v>
      </c>
    </row>
    <row r="106" spans="1:8" x14ac:dyDescent="0.2">
      <c r="A106" s="1">
        <v>45594</v>
      </c>
      <c r="B106">
        <v>233.67</v>
      </c>
      <c r="C106">
        <f t="shared" si="8"/>
        <v>1.1561437475111353E-3</v>
      </c>
      <c r="D106">
        <v>5832.92</v>
      </c>
      <c r="E106">
        <f t="shared" si="9"/>
        <v>1.6128426925638532E-3</v>
      </c>
      <c r="G106">
        <f t="shared" si="10"/>
        <v>9.9066755703494484E-4</v>
      </c>
      <c r="H106">
        <f t="shared" si="11"/>
        <v>1.4473665020876627E-3</v>
      </c>
    </row>
    <row r="107" spans="1:8" x14ac:dyDescent="0.2">
      <c r="A107" s="1">
        <v>45593</v>
      </c>
      <c r="B107">
        <v>233.4</v>
      </c>
      <c r="C107">
        <f t="shared" si="8"/>
        <v>8.5626908148752033E-3</v>
      </c>
      <c r="D107">
        <v>5823.52</v>
      </c>
      <c r="E107">
        <f t="shared" si="9"/>
        <v>2.6479514493707988E-3</v>
      </c>
      <c r="G107">
        <f t="shared" si="10"/>
        <v>8.3972146243990135E-3</v>
      </c>
      <c r="H107">
        <f t="shared" si="11"/>
        <v>2.4824752588946085E-3</v>
      </c>
    </row>
    <row r="108" spans="1:8" x14ac:dyDescent="0.2">
      <c r="A108" s="1">
        <v>45590</v>
      </c>
      <c r="B108">
        <v>231.41</v>
      </c>
      <c r="C108">
        <f t="shared" si="8"/>
        <v>3.6365250690583951E-3</v>
      </c>
      <c r="D108">
        <v>5808.12</v>
      </c>
      <c r="E108">
        <f t="shared" si="9"/>
        <v>-2.9953572187414154E-4</v>
      </c>
      <c r="G108">
        <f t="shared" si="10"/>
        <v>3.4710488785822048E-3</v>
      </c>
      <c r="H108">
        <f t="shared" si="11"/>
        <v>-4.6501191235033199E-4</v>
      </c>
    </row>
    <row r="109" spans="1:8" x14ac:dyDescent="0.2">
      <c r="A109" s="1">
        <v>45589</v>
      </c>
      <c r="B109">
        <v>230.57</v>
      </c>
      <c r="C109">
        <f t="shared" si="8"/>
        <v>-8.2370542016678883E-4</v>
      </c>
      <c r="D109">
        <v>5809.86</v>
      </c>
      <c r="E109">
        <f t="shared" si="9"/>
        <v>2.1434831869283494E-3</v>
      </c>
      <c r="G109">
        <f t="shared" si="10"/>
        <v>-9.8918161064297933E-4</v>
      </c>
      <c r="H109">
        <f t="shared" si="11"/>
        <v>1.9780069964521591E-3</v>
      </c>
    </row>
    <row r="110" spans="1:8" x14ac:dyDescent="0.2">
      <c r="A110" s="1">
        <v>45588</v>
      </c>
      <c r="B110">
        <v>230.76</v>
      </c>
      <c r="C110">
        <f t="shared" si="8"/>
        <v>-2.1860199273135369E-2</v>
      </c>
      <c r="D110">
        <v>5797.42</v>
      </c>
      <c r="E110">
        <f t="shared" si="9"/>
        <v>-9.2337774119530536E-3</v>
      </c>
      <c r="G110">
        <f t="shared" si="10"/>
        <v>-2.202567546361156E-2</v>
      </c>
      <c r="H110">
        <f t="shared" si="11"/>
        <v>-9.3992536024292434E-3</v>
      </c>
    </row>
    <row r="111" spans="1:8" x14ac:dyDescent="0.2">
      <c r="A111" s="1">
        <v>45587</v>
      </c>
      <c r="B111">
        <v>235.86</v>
      </c>
      <c r="C111">
        <f t="shared" si="8"/>
        <v>-2.625229098012868E-3</v>
      </c>
      <c r="D111">
        <v>5851.2</v>
      </c>
      <c r="E111">
        <f t="shared" si="9"/>
        <v>-4.7500338350551163E-4</v>
      </c>
      <c r="G111">
        <f t="shared" si="10"/>
        <v>-2.7907052884890583E-3</v>
      </c>
      <c r="H111">
        <f t="shared" si="11"/>
        <v>-6.4047957398170212E-4</v>
      </c>
    </row>
    <row r="112" spans="1:8" x14ac:dyDescent="0.2">
      <c r="A112" s="1">
        <v>45586</v>
      </c>
      <c r="B112">
        <v>236.48</v>
      </c>
      <c r="C112">
        <f t="shared" si="8"/>
        <v>6.278123615677908E-3</v>
      </c>
      <c r="D112">
        <v>5853.98</v>
      </c>
      <c r="E112">
        <f t="shared" si="9"/>
        <v>-1.8244427413090425E-3</v>
      </c>
      <c r="G112">
        <f t="shared" si="10"/>
        <v>6.1126474252017173E-3</v>
      </c>
      <c r="H112">
        <f t="shared" si="11"/>
        <v>-1.989918931785233E-3</v>
      </c>
    </row>
    <row r="113" spans="1:8" x14ac:dyDescent="0.2">
      <c r="A113" s="1">
        <v>45583</v>
      </c>
      <c r="B113">
        <v>235</v>
      </c>
      <c r="C113">
        <f t="shared" si="8"/>
        <v>1.2201799678228265E-2</v>
      </c>
      <c r="D113">
        <v>5864.67</v>
      </c>
      <c r="E113">
        <f t="shared" si="9"/>
        <v>3.9637370431245362E-3</v>
      </c>
      <c r="G113">
        <f t="shared" si="10"/>
        <v>1.2036323487752075E-2</v>
      </c>
      <c r="H113">
        <f t="shared" si="11"/>
        <v>3.7982608526483459E-3</v>
      </c>
    </row>
    <row r="114" spans="1:8" x14ac:dyDescent="0.2">
      <c r="A114" s="1">
        <v>45582</v>
      </c>
      <c r="B114">
        <v>232.15</v>
      </c>
      <c r="C114">
        <f t="shared" si="8"/>
        <v>1.5950685596858294E-3</v>
      </c>
      <c r="D114">
        <v>5841.47</v>
      </c>
      <c r="E114">
        <f t="shared" si="9"/>
        <v>-1.7117513483320916E-4</v>
      </c>
      <c r="G114">
        <f t="shared" si="10"/>
        <v>1.4295923692096389E-3</v>
      </c>
      <c r="H114">
        <f t="shared" si="11"/>
        <v>-3.3665132530939963E-4</v>
      </c>
    </row>
    <row r="115" spans="1:8" x14ac:dyDescent="0.2">
      <c r="A115" s="1">
        <v>45581</v>
      </c>
      <c r="B115">
        <v>231.78</v>
      </c>
      <c r="C115">
        <f t="shared" si="8"/>
        <v>-8.8912382656501972E-3</v>
      </c>
      <c r="D115">
        <v>5842.47</v>
      </c>
      <c r="E115">
        <f t="shared" si="9"/>
        <v>4.6681557065759915E-3</v>
      </c>
      <c r="G115">
        <f t="shared" si="10"/>
        <v>-9.0567144561263871E-3</v>
      </c>
      <c r="H115">
        <f t="shared" si="11"/>
        <v>4.5026795160998008E-3</v>
      </c>
    </row>
    <row r="116" spans="1:8" x14ac:dyDescent="0.2">
      <c r="A116" s="1">
        <v>45580</v>
      </c>
      <c r="B116">
        <v>233.85</v>
      </c>
      <c r="C116">
        <f t="shared" si="8"/>
        <v>1.0964314934501682E-2</v>
      </c>
      <c r="D116">
        <v>5815.26</v>
      </c>
      <c r="E116">
        <f t="shared" si="9"/>
        <v>-7.6385090687541464E-3</v>
      </c>
      <c r="G116">
        <f t="shared" si="10"/>
        <v>1.0798838744025492E-2</v>
      </c>
      <c r="H116">
        <f t="shared" si="11"/>
        <v>-7.8039852592303371E-3</v>
      </c>
    </row>
    <row r="117" spans="1:8" x14ac:dyDescent="0.2">
      <c r="A117" s="1">
        <v>45579</v>
      </c>
      <c r="B117">
        <v>231.3</v>
      </c>
      <c r="C117">
        <f t="shared" si="8"/>
        <v>1.6345574774742577E-2</v>
      </c>
      <c r="D117">
        <v>5859.85</v>
      </c>
      <c r="E117">
        <f t="shared" si="9"/>
        <v>7.6780609629941675E-3</v>
      </c>
      <c r="G117">
        <f t="shared" si="10"/>
        <v>1.6180098584266386E-2</v>
      </c>
      <c r="H117">
        <f t="shared" si="11"/>
        <v>7.5125847725179768E-3</v>
      </c>
    </row>
    <row r="118" spans="1:8" x14ac:dyDescent="0.2">
      <c r="A118" s="1">
        <v>45576</v>
      </c>
      <c r="B118">
        <v>227.55</v>
      </c>
      <c r="C118">
        <f t="shared" si="8"/>
        <v>-6.5266663272085766E-3</v>
      </c>
      <c r="D118">
        <v>5815.03</v>
      </c>
      <c r="E118">
        <f t="shared" si="9"/>
        <v>6.0336118627852325E-3</v>
      </c>
      <c r="G118">
        <f t="shared" si="10"/>
        <v>-6.6921425176847673E-3</v>
      </c>
      <c r="H118">
        <f t="shared" si="11"/>
        <v>5.8681356723090418E-3</v>
      </c>
    </row>
    <row r="119" spans="1:8" x14ac:dyDescent="0.2">
      <c r="A119" s="1">
        <v>45575</v>
      </c>
      <c r="B119">
        <v>229.04</v>
      </c>
      <c r="C119">
        <f t="shared" si="8"/>
        <v>-2.1806454626626935E-3</v>
      </c>
      <c r="D119">
        <v>5780.05</v>
      </c>
      <c r="E119">
        <f t="shared" si="9"/>
        <v>-2.0722279710146596E-3</v>
      </c>
      <c r="G119">
        <f t="shared" si="10"/>
        <v>-2.3461216531388837E-3</v>
      </c>
      <c r="H119">
        <f t="shared" si="11"/>
        <v>-2.2377041614908499E-3</v>
      </c>
    </row>
    <row r="120" spans="1:8" x14ac:dyDescent="0.2">
      <c r="A120" s="1">
        <v>45574</v>
      </c>
      <c r="B120">
        <v>229.54</v>
      </c>
      <c r="C120">
        <f t="shared" si="8"/>
        <v>1.6560524302640989E-2</v>
      </c>
      <c r="D120">
        <v>5792.04</v>
      </c>
      <c r="E120">
        <f t="shared" si="9"/>
        <v>7.0882038963943272E-3</v>
      </c>
      <c r="G120">
        <f t="shared" si="10"/>
        <v>1.6395048112164797E-2</v>
      </c>
      <c r="H120">
        <f t="shared" si="11"/>
        <v>6.9227277059181365E-3</v>
      </c>
    </row>
    <row r="121" spans="1:8" x14ac:dyDescent="0.2">
      <c r="A121" s="1">
        <v>45573</v>
      </c>
      <c r="B121">
        <v>225.77</v>
      </c>
      <c r="C121">
        <f t="shared" si="8"/>
        <v>1.8236772344019592E-2</v>
      </c>
      <c r="D121">
        <v>5751.13</v>
      </c>
      <c r="E121">
        <f t="shared" si="9"/>
        <v>9.6427168941927138E-3</v>
      </c>
      <c r="G121">
        <f t="shared" si="10"/>
        <v>1.8071296153543401E-2</v>
      </c>
      <c r="H121">
        <f t="shared" si="11"/>
        <v>9.4772407037165239E-3</v>
      </c>
    </row>
    <row r="122" spans="1:8" x14ac:dyDescent="0.2">
      <c r="A122" s="1">
        <v>45572</v>
      </c>
      <c r="B122">
        <v>221.69</v>
      </c>
      <c r="C122">
        <f t="shared" si="8"/>
        <v>-2.2788562247735331E-2</v>
      </c>
      <c r="D122">
        <v>5695.94</v>
      </c>
      <c r="E122">
        <f t="shared" si="9"/>
        <v>-9.6322841074211688E-3</v>
      </c>
      <c r="G122">
        <f t="shared" si="10"/>
        <v>-2.2954038438211522E-2</v>
      </c>
      <c r="H122">
        <f t="shared" si="11"/>
        <v>-9.7977602978973587E-3</v>
      </c>
    </row>
    <row r="123" spans="1:8" x14ac:dyDescent="0.2">
      <c r="A123" s="1">
        <v>45569</v>
      </c>
      <c r="B123">
        <v>226.8</v>
      </c>
      <c r="C123">
        <f t="shared" si="8"/>
        <v>4.9948166697781288E-3</v>
      </c>
      <c r="D123">
        <v>5751.07</v>
      </c>
      <c r="E123">
        <f t="shared" si="9"/>
        <v>8.9302759844378885E-3</v>
      </c>
      <c r="G123">
        <f t="shared" si="10"/>
        <v>4.8293404793019381E-3</v>
      </c>
      <c r="H123">
        <f t="shared" si="11"/>
        <v>8.7647997939616987E-3</v>
      </c>
    </row>
    <row r="124" spans="1:8" x14ac:dyDescent="0.2">
      <c r="A124" s="1">
        <v>45568</v>
      </c>
      <c r="B124">
        <v>225.67</v>
      </c>
      <c r="C124">
        <f t="shared" si="8"/>
        <v>-4.9066293598749146E-3</v>
      </c>
      <c r="D124">
        <v>5699.94</v>
      </c>
      <c r="E124">
        <f t="shared" si="9"/>
        <v>-1.6828115331257495E-3</v>
      </c>
      <c r="G124">
        <f t="shared" si="10"/>
        <v>-5.0721055503511053E-3</v>
      </c>
      <c r="H124">
        <f t="shared" si="11"/>
        <v>-1.84828772360194E-3</v>
      </c>
    </row>
    <row r="125" spans="1:8" x14ac:dyDescent="0.2">
      <c r="A125" s="1">
        <v>45567</v>
      </c>
      <c r="B125">
        <v>226.78</v>
      </c>
      <c r="C125">
        <f t="shared" si="8"/>
        <v>2.5166131739495158E-3</v>
      </c>
      <c r="D125">
        <v>5709.54</v>
      </c>
      <c r="E125">
        <f t="shared" si="9"/>
        <v>1.3837448536698041E-4</v>
      </c>
      <c r="G125">
        <f t="shared" si="10"/>
        <v>2.3511369834733255E-3</v>
      </c>
      <c r="H125">
        <f t="shared" si="11"/>
        <v>-2.7101705109210057E-5</v>
      </c>
    </row>
    <row r="126" spans="1:8" x14ac:dyDescent="0.2">
      <c r="A126" s="1">
        <v>45566</v>
      </c>
      <c r="B126">
        <v>226.21</v>
      </c>
      <c r="C126">
        <f t="shared" si="8"/>
        <v>-2.9574682195956357E-2</v>
      </c>
      <c r="D126">
        <v>5708.75</v>
      </c>
      <c r="E126">
        <f t="shared" si="9"/>
        <v>-9.3678520838370288E-3</v>
      </c>
      <c r="G126">
        <f t="shared" si="10"/>
        <v>-2.9740158386432548E-2</v>
      </c>
      <c r="H126">
        <f t="shared" si="11"/>
        <v>-9.5333282743132186E-3</v>
      </c>
    </row>
    <row r="127" spans="1:8" x14ac:dyDescent="0.2">
      <c r="A127" s="1">
        <v>45565</v>
      </c>
      <c r="B127">
        <v>233</v>
      </c>
      <c r="C127">
        <f t="shared" si="8"/>
        <v>2.2614301672448562E-2</v>
      </c>
      <c r="D127">
        <v>5762.48</v>
      </c>
      <c r="E127">
        <f t="shared" si="9"/>
        <v>4.227593432856073E-3</v>
      </c>
      <c r="G127">
        <f t="shared" si="10"/>
        <v>2.244882548197237E-2</v>
      </c>
      <c r="H127">
        <f t="shared" si="11"/>
        <v>4.0621172423798823E-3</v>
      </c>
    </row>
    <row r="128" spans="1:8" x14ac:dyDescent="0.2">
      <c r="A128" s="1">
        <v>45562</v>
      </c>
      <c r="B128">
        <v>227.79</v>
      </c>
      <c r="C128">
        <f t="shared" si="8"/>
        <v>1.1860052783758518E-3</v>
      </c>
      <c r="D128">
        <v>5738.17</v>
      </c>
      <c r="E128">
        <f t="shared" si="9"/>
        <v>-1.2539688882457197E-3</v>
      </c>
      <c r="G128">
        <f t="shared" si="10"/>
        <v>1.0205290878996613E-3</v>
      </c>
      <c r="H128">
        <f t="shared" si="11"/>
        <v>-1.4194450787219101E-3</v>
      </c>
    </row>
    <row r="129" spans="1:8" x14ac:dyDescent="0.2">
      <c r="A129" s="1">
        <v>45561</v>
      </c>
      <c r="B129">
        <v>227.52</v>
      </c>
      <c r="C129">
        <f t="shared" si="8"/>
        <v>5.0673178998415468E-3</v>
      </c>
      <c r="D129">
        <v>5745.37</v>
      </c>
      <c r="E129">
        <f t="shared" si="9"/>
        <v>4.0304808028723289E-3</v>
      </c>
      <c r="G129">
        <f t="shared" si="10"/>
        <v>4.901841709365356E-3</v>
      </c>
      <c r="H129">
        <f t="shared" si="11"/>
        <v>3.8650046123961386E-3</v>
      </c>
    </row>
    <row r="130" spans="1:8" x14ac:dyDescent="0.2">
      <c r="A130" s="1">
        <v>45560</v>
      </c>
      <c r="B130">
        <v>226.37</v>
      </c>
      <c r="C130">
        <f t="shared" si="8"/>
        <v>-4.407817777012997E-3</v>
      </c>
      <c r="D130">
        <v>5722.26</v>
      </c>
      <c r="E130">
        <f t="shared" si="9"/>
        <v>-1.8629115860669923E-3</v>
      </c>
      <c r="G130">
        <f t="shared" si="10"/>
        <v>-4.5732939674891877E-3</v>
      </c>
      <c r="H130">
        <f t="shared" si="11"/>
        <v>-2.0283877765431826E-3</v>
      </c>
    </row>
    <row r="131" spans="1:8" x14ac:dyDescent="0.2">
      <c r="A131" s="1">
        <v>45559</v>
      </c>
      <c r="B131">
        <v>227.37</v>
      </c>
      <c r="C131">
        <f t="shared" si="8"/>
        <v>3.9661606724042875E-3</v>
      </c>
      <c r="D131">
        <v>5732.93</v>
      </c>
      <c r="E131">
        <f t="shared" si="9"/>
        <v>2.5079697029956895E-3</v>
      </c>
      <c r="G131">
        <f t="shared" ref="G131:G162" si="12">C131-$F$2/252</f>
        <v>3.8006844819280972E-3</v>
      </c>
      <c r="H131">
        <f t="shared" ref="H131:H162" si="13">E131-$F$2/252</f>
        <v>2.3424935125194992E-3</v>
      </c>
    </row>
    <row r="132" spans="1:8" x14ac:dyDescent="0.2">
      <c r="A132" s="1">
        <v>45558</v>
      </c>
      <c r="B132">
        <v>226.47</v>
      </c>
      <c r="C132">
        <f t="shared" ref="C132:C190" si="14">LN(B132/B133)</f>
        <v>-7.6099516083320351E-3</v>
      </c>
      <c r="D132">
        <v>5718.57</v>
      </c>
      <c r="E132">
        <f t="shared" ref="E132:E190" si="15">LN(D132/D133)</f>
        <v>2.8053309143568263E-3</v>
      </c>
      <c r="G132">
        <f t="shared" si="12"/>
        <v>-7.7754277988082258E-3</v>
      </c>
      <c r="H132">
        <f t="shared" si="13"/>
        <v>2.6398547238806361E-3</v>
      </c>
    </row>
    <row r="133" spans="1:8" x14ac:dyDescent="0.2">
      <c r="A133" s="1">
        <v>45555</v>
      </c>
      <c r="B133">
        <v>228.2</v>
      </c>
      <c r="C133">
        <f t="shared" si="14"/>
        <v>-2.9317193422724623E-3</v>
      </c>
      <c r="D133">
        <v>5702.55</v>
      </c>
      <c r="E133">
        <f t="shared" si="15"/>
        <v>-1.942855451501775E-3</v>
      </c>
      <c r="G133">
        <f t="shared" si="12"/>
        <v>-3.0971955327486526E-3</v>
      </c>
      <c r="H133">
        <f t="shared" si="13"/>
        <v>-2.1083316419779653E-3</v>
      </c>
    </row>
    <row r="134" spans="1:8" x14ac:dyDescent="0.2">
      <c r="A134" s="1">
        <v>45554</v>
      </c>
      <c r="B134">
        <v>228.87</v>
      </c>
      <c r="C134">
        <f t="shared" si="14"/>
        <v>3.6395154910179209E-2</v>
      </c>
      <c r="D134">
        <v>5713.64</v>
      </c>
      <c r="E134">
        <f t="shared" si="15"/>
        <v>1.6834291247586949E-2</v>
      </c>
      <c r="G134">
        <f t="shared" si="12"/>
        <v>3.6229678719703021E-2</v>
      </c>
      <c r="H134">
        <f t="shared" si="13"/>
        <v>1.6668815057110757E-2</v>
      </c>
    </row>
    <row r="135" spans="1:8" x14ac:dyDescent="0.2">
      <c r="A135" s="1">
        <v>45553</v>
      </c>
      <c r="B135">
        <v>220.69</v>
      </c>
      <c r="C135">
        <f t="shared" si="14"/>
        <v>1.7829858819643829E-2</v>
      </c>
      <c r="D135">
        <v>5618.26</v>
      </c>
      <c r="E135">
        <f t="shared" si="15"/>
        <v>-2.9006031263851696E-3</v>
      </c>
      <c r="G135">
        <f t="shared" si="12"/>
        <v>1.7664382629167637E-2</v>
      </c>
      <c r="H135">
        <f t="shared" si="13"/>
        <v>-3.0660793168613598E-3</v>
      </c>
    </row>
    <row r="136" spans="1:8" x14ac:dyDescent="0.2">
      <c r="A136" s="1">
        <v>45552</v>
      </c>
      <c r="B136">
        <v>216.79</v>
      </c>
      <c r="C136">
        <f t="shared" si="14"/>
        <v>2.1703501858254429E-3</v>
      </c>
      <c r="D136">
        <v>5634.58</v>
      </c>
      <c r="E136">
        <f t="shared" si="15"/>
        <v>2.6447349073670164E-4</v>
      </c>
      <c r="G136">
        <f t="shared" si="12"/>
        <v>2.0048739953492526E-3</v>
      </c>
      <c r="H136">
        <f t="shared" si="13"/>
        <v>9.8997300260511171E-5</v>
      </c>
    </row>
    <row r="137" spans="1:8" x14ac:dyDescent="0.2">
      <c r="A137" s="1">
        <v>45551</v>
      </c>
      <c r="B137">
        <v>216.32</v>
      </c>
      <c r="C137">
        <f t="shared" si="14"/>
        <v>-2.8168308751695719E-2</v>
      </c>
      <c r="D137">
        <v>5633.09</v>
      </c>
      <c r="E137">
        <f t="shared" si="15"/>
        <v>1.2558720767880025E-3</v>
      </c>
      <c r="G137">
        <f t="shared" si="12"/>
        <v>-2.8333784942171911E-2</v>
      </c>
      <c r="H137">
        <f t="shared" si="13"/>
        <v>1.090395886311812E-3</v>
      </c>
    </row>
    <row r="138" spans="1:8" x14ac:dyDescent="0.2">
      <c r="A138" s="1">
        <v>45548</v>
      </c>
      <c r="B138">
        <v>222.5</v>
      </c>
      <c r="C138">
        <f t="shared" si="14"/>
        <v>-1.2127474704876769E-3</v>
      </c>
      <c r="D138">
        <v>5626.02</v>
      </c>
      <c r="E138">
        <f t="shared" si="15"/>
        <v>5.3930968783714164E-3</v>
      </c>
      <c r="G138">
        <f t="shared" si="12"/>
        <v>-1.3782236609638674E-3</v>
      </c>
      <c r="H138">
        <f t="shared" si="13"/>
        <v>5.2276206878952257E-3</v>
      </c>
    </row>
    <row r="139" spans="1:8" x14ac:dyDescent="0.2">
      <c r="A139" s="1">
        <v>45547</v>
      </c>
      <c r="B139">
        <v>222.77</v>
      </c>
      <c r="C139">
        <f t="shared" si="14"/>
        <v>4.9390477622147076E-4</v>
      </c>
      <c r="D139">
        <v>5595.76</v>
      </c>
      <c r="E139">
        <f t="shared" si="15"/>
        <v>7.46737294203047E-3</v>
      </c>
      <c r="G139">
        <f t="shared" si="12"/>
        <v>3.2842858574528026E-4</v>
      </c>
      <c r="H139">
        <f t="shared" si="13"/>
        <v>7.3018967515542793E-3</v>
      </c>
    </row>
    <row r="140" spans="1:8" x14ac:dyDescent="0.2">
      <c r="A140" s="1">
        <v>45546</v>
      </c>
      <c r="B140">
        <v>222.66</v>
      </c>
      <c r="C140">
        <f t="shared" si="14"/>
        <v>1.1518522906548473E-2</v>
      </c>
      <c r="D140">
        <v>5554.13</v>
      </c>
      <c r="E140">
        <f t="shared" si="15"/>
        <v>1.0608580303038784E-2</v>
      </c>
      <c r="G140">
        <f t="shared" si="12"/>
        <v>1.1353046716072283E-2</v>
      </c>
      <c r="H140">
        <f t="shared" si="13"/>
        <v>1.0443104112562595E-2</v>
      </c>
    </row>
    <row r="141" spans="1:8" x14ac:dyDescent="0.2">
      <c r="A141" s="1">
        <v>45545</v>
      </c>
      <c r="B141">
        <v>220.11</v>
      </c>
      <c r="C141">
        <f t="shared" si="14"/>
        <v>-3.6279573600808664E-3</v>
      </c>
      <c r="D141">
        <v>5495.52</v>
      </c>
      <c r="E141">
        <f t="shared" si="15"/>
        <v>4.4626607244902189E-3</v>
      </c>
      <c r="G141">
        <f t="shared" si="12"/>
        <v>-3.7934335505570567E-3</v>
      </c>
      <c r="H141">
        <f t="shared" si="13"/>
        <v>4.2971845340140282E-3</v>
      </c>
    </row>
    <row r="142" spans="1:8" x14ac:dyDescent="0.2">
      <c r="A142" s="1">
        <v>45544</v>
      </c>
      <c r="B142">
        <v>220.91</v>
      </c>
      <c r="C142">
        <f t="shared" si="14"/>
        <v>4.0748874310253498E-4</v>
      </c>
      <c r="D142">
        <v>5471.05</v>
      </c>
      <c r="E142">
        <f t="shared" si="15"/>
        <v>1.1513555690021488E-2</v>
      </c>
      <c r="G142">
        <f t="shared" si="12"/>
        <v>2.4201255262634451E-4</v>
      </c>
      <c r="H142">
        <f t="shared" si="13"/>
        <v>1.1348079499545298E-2</v>
      </c>
    </row>
    <row r="143" spans="1:8" x14ac:dyDescent="0.2">
      <c r="A143" s="1">
        <v>45541</v>
      </c>
      <c r="B143">
        <v>220.82</v>
      </c>
      <c r="C143">
        <f t="shared" si="14"/>
        <v>-7.0397402641122122E-3</v>
      </c>
      <c r="D143">
        <v>5408.42</v>
      </c>
      <c r="E143">
        <f t="shared" si="15"/>
        <v>-1.7410901670867562E-2</v>
      </c>
      <c r="G143">
        <f t="shared" si="12"/>
        <v>-7.2052164545884029E-3</v>
      </c>
      <c r="H143">
        <f t="shared" si="13"/>
        <v>-1.7576377861343754E-2</v>
      </c>
    </row>
    <row r="144" spans="1:8" x14ac:dyDescent="0.2">
      <c r="A144" s="1">
        <v>45540</v>
      </c>
      <c r="B144">
        <v>222.38</v>
      </c>
      <c r="C144">
        <f t="shared" si="14"/>
        <v>6.9038922325676197E-3</v>
      </c>
      <c r="D144">
        <v>5503.41</v>
      </c>
      <c r="E144">
        <f t="shared" si="15"/>
        <v>-3.0226412501879545E-3</v>
      </c>
      <c r="G144">
        <f t="shared" si="12"/>
        <v>6.738416042091429E-3</v>
      </c>
      <c r="H144">
        <f t="shared" si="13"/>
        <v>-3.1881174406641448E-3</v>
      </c>
    </row>
    <row r="145" spans="1:8" x14ac:dyDescent="0.2">
      <c r="A145" s="1">
        <v>45539</v>
      </c>
      <c r="B145">
        <v>220.85</v>
      </c>
      <c r="C145">
        <f t="shared" si="14"/>
        <v>-8.6561110342471426E-3</v>
      </c>
      <c r="D145">
        <v>5520.07</v>
      </c>
      <c r="E145">
        <f t="shared" si="15"/>
        <v>-1.6037653903594354E-3</v>
      </c>
      <c r="G145">
        <f t="shared" si="12"/>
        <v>-8.8215872247233325E-3</v>
      </c>
      <c r="H145">
        <f t="shared" si="13"/>
        <v>-1.7692415808356259E-3</v>
      </c>
    </row>
    <row r="146" spans="1:8" x14ac:dyDescent="0.2">
      <c r="A146" s="1">
        <v>45538</v>
      </c>
      <c r="B146">
        <v>222.77</v>
      </c>
      <c r="C146">
        <f t="shared" si="14"/>
        <v>-2.7582154477457006E-2</v>
      </c>
      <c r="D146">
        <v>5528.93</v>
      </c>
      <c r="E146">
        <f t="shared" si="15"/>
        <v>-2.137801245458143E-2</v>
      </c>
      <c r="G146">
        <f t="shared" si="12"/>
        <v>-2.7747630667933197E-2</v>
      </c>
      <c r="H146">
        <f t="shared" si="13"/>
        <v>-2.1543488645057621E-2</v>
      </c>
    </row>
    <row r="147" spans="1:8" x14ac:dyDescent="0.2">
      <c r="A147" s="1">
        <v>45534</v>
      </c>
      <c r="B147">
        <v>229</v>
      </c>
      <c r="C147">
        <f t="shared" si="14"/>
        <v>-3.4438448126052909E-3</v>
      </c>
      <c r="D147">
        <v>5648.4</v>
      </c>
      <c r="E147">
        <f t="shared" si="15"/>
        <v>1.0042467382856683E-2</v>
      </c>
      <c r="G147">
        <f t="shared" si="12"/>
        <v>-3.6093210030814812E-3</v>
      </c>
      <c r="H147">
        <f t="shared" si="13"/>
        <v>9.8769911923804934E-3</v>
      </c>
    </row>
    <row r="148" spans="1:8" x14ac:dyDescent="0.2">
      <c r="A148" s="1">
        <v>45533</v>
      </c>
      <c r="B148">
        <v>229.79</v>
      </c>
      <c r="C148">
        <f t="shared" si="14"/>
        <v>1.4465054528776243E-2</v>
      </c>
      <c r="D148">
        <v>5591.96</v>
      </c>
      <c r="E148">
        <f t="shared" si="15"/>
        <v>-3.934142455813639E-5</v>
      </c>
      <c r="G148">
        <f t="shared" si="12"/>
        <v>1.4299578338300053E-2</v>
      </c>
      <c r="H148">
        <f t="shared" si="13"/>
        <v>-2.0481761503432687E-4</v>
      </c>
    </row>
    <row r="149" spans="1:8" x14ac:dyDescent="0.2">
      <c r="A149" s="1">
        <v>45532</v>
      </c>
      <c r="B149">
        <v>226.49</v>
      </c>
      <c r="C149">
        <f t="shared" si="14"/>
        <v>-6.7764054079900871E-3</v>
      </c>
      <c r="D149">
        <v>5592.18</v>
      </c>
      <c r="E149">
        <f t="shared" si="15"/>
        <v>-5.9939669454233853E-3</v>
      </c>
      <c r="G149">
        <f t="shared" si="12"/>
        <v>-6.9418815984662778E-3</v>
      </c>
      <c r="H149">
        <f t="shared" si="13"/>
        <v>-6.159443135899576E-3</v>
      </c>
    </row>
    <row r="150" spans="1:8" x14ac:dyDescent="0.2">
      <c r="A150" s="1">
        <v>45531</v>
      </c>
      <c r="B150">
        <v>228.03</v>
      </c>
      <c r="C150">
        <f t="shared" si="14"/>
        <v>3.7345444427833042E-3</v>
      </c>
      <c r="D150">
        <v>5625.8</v>
      </c>
      <c r="E150">
        <f t="shared" si="15"/>
        <v>1.5939320118754585E-3</v>
      </c>
      <c r="G150">
        <f t="shared" si="12"/>
        <v>3.5690682523071139E-3</v>
      </c>
      <c r="H150">
        <f t="shared" si="13"/>
        <v>1.428455821399268E-3</v>
      </c>
    </row>
    <row r="151" spans="1:8" x14ac:dyDescent="0.2">
      <c r="A151" s="1">
        <v>45530</v>
      </c>
      <c r="B151">
        <v>227.18</v>
      </c>
      <c r="C151">
        <f t="shared" si="14"/>
        <v>1.497731657448228E-3</v>
      </c>
      <c r="D151">
        <v>5616.84</v>
      </c>
      <c r="E151">
        <f t="shared" si="15"/>
        <v>-3.1587066155747872E-3</v>
      </c>
      <c r="G151">
        <f t="shared" si="12"/>
        <v>1.3322554669720375E-3</v>
      </c>
      <c r="H151">
        <f t="shared" si="13"/>
        <v>-3.3241828060509774E-3</v>
      </c>
    </row>
    <row r="152" spans="1:8" x14ac:dyDescent="0.2">
      <c r="A152" s="1">
        <v>45527</v>
      </c>
      <c r="B152">
        <v>226.84</v>
      </c>
      <c r="C152">
        <f t="shared" si="14"/>
        <v>1.0235594601717834E-2</v>
      </c>
      <c r="D152">
        <v>5634.61</v>
      </c>
      <c r="E152">
        <f t="shared" si="15"/>
        <v>1.1417986208502448E-2</v>
      </c>
      <c r="G152">
        <f t="shared" si="12"/>
        <v>1.0070118411241644E-2</v>
      </c>
      <c r="H152">
        <f t="shared" si="13"/>
        <v>1.1252510018026258E-2</v>
      </c>
    </row>
    <row r="153" spans="1:8" x14ac:dyDescent="0.2">
      <c r="A153" s="1">
        <v>45526</v>
      </c>
      <c r="B153">
        <v>224.53</v>
      </c>
      <c r="C153">
        <f t="shared" si="14"/>
        <v>-8.2940177849183654E-3</v>
      </c>
      <c r="D153">
        <v>5570.64</v>
      </c>
      <c r="E153">
        <f t="shared" si="15"/>
        <v>-8.9729494254644684E-3</v>
      </c>
      <c r="G153">
        <f t="shared" si="12"/>
        <v>-8.4594939753945553E-3</v>
      </c>
      <c r="H153">
        <f t="shared" si="13"/>
        <v>-9.1384256159406582E-3</v>
      </c>
    </row>
    <row r="154" spans="1:8" x14ac:dyDescent="0.2">
      <c r="A154" s="1">
        <v>45525</v>
      </c>
      <c r="B154">
        <v>226.4</v>
      </c>
      <c r="C154">
        <f t="shared" si="14"/>
        <v>-4.8574772984859386E-4</v>
      </c>
      <c r="D154">
        <v>5620.85</v>
      </c>
      <c r="E154">
        <f t="shared" si="15"/>
        <v>4.2307182841846242E-3</v>
      </c>
      <c r="G154">
        <f t="shared" si="12"/>
        <v>-6.512239203247843E-4</v>
      </c>
      <c r="H154">
        <f t="shared" si="13"/>
        <v>4.0652420937084335E-3</v>
      </c>
    </row>
    <row r="155" spans="1:8" x14ac:dyDescent="0.2">
      <c r="A155" s="1">
        <v>45524</v>
      </c>
      <c r="B155">
        <v>226.51</v>
      </c>
      <c r="C155">
        <f t="shared" si="14"/>
        <v>2.7409389396927126E-3</v>
      </c>
      <c r="D155">
        <v>5597.12</v>
      </c>
      <c r="E155">
        <f t="shared" si="15"/>
        <v>-1.9865481747165059E-3</v>
      </c>
      <c r="G155">
        <f t="shared" si="12"/>
        <v>2.5754627492165223E-3</v>
      </c>
      <c r="H155">
        <f t="shared" si="13"/>
        <v>-2.1520243651926962E-3</v>
      </c>
    </row>
    <row r="156" spans="1:8" x14ac:dyDescent="0.2">
      <c r="A156" s="1">
        <v>45523</v>
      </c>
      <c r="B156">
        <v>225.89</v>
      </c>
      <c r="C156">
        <f t="shared" si="14"/>
        <v>-7.0805862143046461E-4</v>
      </c>
      <c r="D156">
        <v>5608.25</v>
      </c>
      <c r="E156">
        <f t="shared" si="15"/>
        <v>9.6753274361777754E-3</v>
      </c>
      <c r="G156">
        <f t="shared" si="12"/>
        <v>-8.7353481190665511E-4</v>
      </c>
      <c r="H156">
        <f t="shared" si="13"/>
        <v>9.5098512457015855E-3</v>
      </c>
    </row>
    <row r="157" spans="1:8" x14ac:dyDescent="0.2">
      <c r="A157" s="1">
        <v>45520</v>
      </c>
      <c r="B157">
        <v>226.05</v>
      </c>
      <c r="C157">
        <f t="shared" si="14"/>
        <v>5.9010309446258903E-3</v>
      </c>
      <c r="D157">
        <v>5554.25</v>
      </c>
      <c r="E157">
        <f t="shared" si="15"/>
        <v>1.9878411263283945E-3</v>
      </c>
      <c r="G157">
        <f t="shared" si="12"/>
        <v>5.7355547541496996E-3</v>
      </c>
      <c r="H157">
        <f t="shared" si="13"/>
        <v>1.822364935852204E-3</v>
      </c>
    </row>
    <row r="158" spans="1:8" x14ac:dyDescent="0.2">
      <c r="A158" s="1">
        <v>45519</v>
      </c>
      <c r="B158">
        <v>224.72</v>
      </c>
      <c r="C158">
        <f t="shared" si="14"/>
        <v>1.3439858244384291E-2</v>
      </c>
      <c r="D158">
        <v>5543.22</v>
      </c>
      <c r="E158">
        <f t="shared" si="15"/>
        <v>1.6004444012785939E-2</v>
      </c>
      <c r="G158">
        <f t="shared" si="12"/>
        <v>1.3274382053908101E-2</v>
      </c>
      <c r="H158">
        <f t="shared" si="13"/>
        <v>1.5838967822309747E-2</v>
      </c>
    </row>
    <row r="159" spans="1:8" x14ac:dyDescent="0.2">
      <c r="A159" s="1">
        <v>45518</v>
      </c>
      <c r="B159">
        <v>221.72</v>
      </c>
      <c r="C159">
        <f t="shared" si="14"/>
        <v>2.0316492687641797E-3</v>
      </c>
      <c r="D159">
        <v>5455.21</v>
      </c>
      <c r="E159">
        <f t="shared" si="15"/>
        <v>3.816476067632372E-3</v>
      </c>
      <c r="G159">
        <f t="shared" si="12"/>
        <v>1.8661730782879892E-3</v>
      </c>
      <c r="H159">
        <f t="shared" si="13"/>
        <v>3.6509998771561817E-3</v>
      </c>
    </row>
    <row r="160" spans="1:8" x14ac:dyDescent="0.2">
      <c r="A160" s="1">
        <v>45517</v>
      </c>
      <c r="B160">
        <v>221.27</v>
      </c>
      <c r="C160">
        <f t="shared" si="14"/>
        <v>1.7046903231228767E-2</v>
      </c>
      <c r="D160">
        <v>5434.43</v>
      </c>
      <c r="E160">
        <f t="shared" si="15"/>
        <v>1.6707226654933075E-2</v>
      </c>
      <c r="G160">
        <f t="shared" si="12"/>
        <v>1.6881427040752576E-2</v>
      </c>
      <c r="H160">
        <f t="shared" si="13"/>
        <v>1.6541750464456884E-2</v>
      </c>
    </row>
    <row r="161" spans="1:8" x14ac:dyDescent="0.2">
      <c r="A161" s="1">
        <v>45516</v>
      </c>
      <c r="B161">
        <v>217.53</v>
      </c>
      <c r="C161">
        <f t="shared" si="14"/>
        <v>5.9478700834188188E-3</v>
      </c>
      <c r="D161">
        <v>5344.39</v>
      </c>
      <c r="E161">
        <f t="shared" si="15"/>
        <v>4.3036707511422095E-5</v>
      </c>
      <c r="G161">
        <f t="shared" si="12"/>
        <v>5.7823938929426281E-3</v>
      </c>
      <c r="H161">
        <f t="shared" si="13"/>
        <v>-1.2243948296476837E-4</v>
      </c>
    </row>
    <row r="162" spans="1:8" x14ac:dyDescent="0.2">
      <c r="A162" s="1">
        <v>45513</v>
      </c>
      <c r="B162">
        <v>216.24</v>
      </c>
      <c r="C162">
        <f t="shared" si="14"/>
        <v>1.3642395264465933E-2</v>
      </c>
      <c r="D162">
        <v>5344.16</v>
      </c>
      <c r="E162">
        <f t="shared" si="15"/>
        <v>4.660780212150723E-3</v>
      </c>
      <c r="G162">
        <f t="shared" si="12"/>
        <v>1.3476919073989744E-2</v>
      </c>
      <c r="H162">
        <f t="shared" si="13"/>
        <v>4.4953040216745323E-3</v>
      </c>
    </row>
    <row r="163" spans="1:8" x14ac:dyDescent="0.2">
      <c r="A163" s="1">
        <v>45512</v>
      </c>
      <c r="B163">
        <v>213.31</v>
      </c>
      <c r="C163">
        <f t="shared" si="14"/>
        <v>1.6496486400387027E-2</v>
      </c>
      <c r="D163">
        <v>5319.31</v>
      </c>
      <c r="E163">
        <f t="shared" si="15"/>
        <v>2.2781128575607587E-2</v>
      </c>
      <c r="G163">
        <f t="shared" ref="G163:G190" si="16">C163-$F$2/252</f>
        <v>1.6331010209910835E-2</v>
      </c>
      <c r="H163">
        <f t="shared" ref="H163:H190" si="17">E163-$F$2/252</f>
        <v>2.2615652385131396E-2</v>
      </c>
    </row>
    <row r="164" spans="1:8" x14ac:dyDescent="0.2">
      <c r="A164" s="1">
        <v>45511</v>
      </c>
      <c r="B164">
        <v>209.82</v>
      </c>
      <c r="C164">
        <f t="shared" si="14"/>
        <v>1.2420732753943361E-2</v>
      </c>
      <c r="D164">
        <v>5199.5</v>
      </c>
      <c r="E164">
        <f t="shared" si="15"/>
        <v>-7.7647563892511828E-3</v>
      </c>
      <c r="G164">
        <f t="shared" si="16"/>
        <v>1.2255256563467171E-2</v>
      </c>
      <c r="H164">
        <f t="shared" si="17"/>
        <v>-7.9302325797273726E-3</v>
      </c>
    </row>
    <row r="165" spans="1:8" x14ac:dyDescent="0.2">
      <c r="A165" s="1">
        <v>45510</v>
      </c>
      <c r="B165">
        <v>207.23</v>
      </c>
      <c r="C165">
        <f t="shared" si="14"/>
        <v>-9.7959967031821006E-3</v>
      </c>
      <c r="D165">
        <v>5240.03</v>
      </c>
      <c r="E165">
        <f t="shared" si="15"/>
        <v>1.0300905557719547E-2</v>
      </c>
      <c r="G165">
        <f t="shared" si="16"/>
        <v>-9.9614728936582905E-3</v>
      </c>
      <c r="H165">
        <f t="shared" si="17"/>
        <v>1.0135429367243357E-2</v>
      </c>
    </row>
    <row r="166" spans="1:8" x14ac:dyDescent="0.2">
      <c r="A166" s="1">
        <v>45509</v>
      </c>
      <c r="B166">
        <v>209.27</v>
      </c>
      <c r="C166">
        <f t="shared" si="14"/>
        <v>-4.9365695898139543E-2</v>
      </c>
      <c r="D166">
        <v>5186.33</v>
      </c>
      <c r="E166">
        <f t="shared" si="15"/>
        <v>-3.0427045496882188E-2</v>
      </c>
      <c r="G166">
        <f t="shared" si="16"/>
        <v>-4.9531172088615731E-2</v>
      </c>
      <c r="H166">
        <f t="shared" si="17"/>
        <v>-3.059252168735838E-2</v>
      </c>
    </row>
    <row r="167" spans="1:8" x14ac:dyDescent="0.2">
      <c r="A167" s="1">
        <v>45506</v>
      </c>
      <c r="B167">
        <v>219.86</v>
      </c>
      <c r="C167">
        <f t="shared" si="14"/>
        <v>6.8459032371609137E-3</v>
      </c>
      <c r="D167">
        <v>5346.56</v>
      </c>
      <c r="E167">
        <f t="shared" si="15"/>
        <v>-1.8552885294602865E-2</v>
      </c>
      <c r="G167">
        <f t="shared" si="16"/>
        <v>6.680427046684723E-3</v>
      </c>
      <c r="H167">
        <f t="shared" si="17"/>
        <v>-1.8718361485079056E-2</v>
      </c>
    </row>
    <row r="168" spans="1:8" x14ac:dyDescent="0.2">
      <c r="A168" s="1">
        <v>45505</v>
      </c>
      <c r="B168">
        <v>218.36</v>
      </c>
      <c r="C168">
        <f t="shared" si="14"/>
        <v>-1.689260040488277E-2</v>
      </c>
      <c r="D168">
        <v>5446.68</v>
      </c>
      <c r="E168">
        <f t="shared" si="15"/>
        <v>-1.3788191433053192E-2</v>
      </c>
      <c r="G168">
        <f t="shared" si="16"/>
        <v>-1.7058076595358962E-2</v>
      </c>
      <c r="H168">
        <f t="shared" si="17"/>
        <v>-1.3953667623529382E-2</v>
      </c>
    </row>
    <row r="169" spans="1:8" x14ac:dyDescent="0.2">
      <c r="A169" s="1">
        <v>45504</v>
      </c>
      <c r="B169">
        <v>222.08</v>
      </c>
      <c r="C169">
        <f t="shared" si="14"/>
        <v>1.4879606770613507E-2</v>
      </c>
      <c r="D169">
        <v>5522.3</v>
      </c>
      <c r="E169">
        <f t="shared" si="15"/>
        <v>1.567000529191805E-2</v>
      </c>
      <c r="G169">
        <f t="shared" si="16"/>
        <v>1.4714130580137317E-2</v>
      </c>
      <c r="H169">
        <f t="shared" si="17"/>
        <v>1.550452910144186E-2</v>
      </c>
    </row>
    <row r="170" spans="1:8" x14ac:dyDescent="0.2">
      <c r="A170" s="1">
        <v>45503</v>
      </c>
      <c r="B170">
        <v>218.8</v>
      </c>
      <c r="C170">
        <f t="shared" si="14"/>
        <v>2.5626958927289704E-3</v>
      </c>
      <c r="D170">
        <v>5436.44</v>
      </c>
      <c r="E170">
        <f t="shared" si="15"/>
        <v>-4.9724964337360253E-3</v>
      </c>
      <c r="G170">
        <f t="shared" si="16"/>
        <v>2.3972197022527801E-3</v>
      </c>
      <c r="H170">
        <f t="shared" si="17"/>
        <v>-5.137972624212216E-3</v>
      </c>
    </row>
    <row r="171" spans="1:8" x14ac:dyDescent="0.2">
      <c r="A171" s="1">
        <v>45502</v>
      </c>
      <c r="B171">
        <v>218.24</v>
      </c>
      <c r="C171">
        <f t="shared" si="14"/>
        <v>1.2838149401997857E-3</v>
      </c>
      <c r="D171">
        <v>5463.54</v>
      </c>
      <c r="E171">
        <f t="shared" si="15"/>
        <v>8.129903108684501E-4</v>
      </c>
      <c r="G171">
        <f t="shared" si="16"/>
        <v>1.1183387497235952E-3</v>
      </c>
      <c r="H171">
        <f t="shared" si="17"/>
        <v>6.4751412039225961E-4</v>
      </c>
    </row>
    <row r="172" spans="1:8" x14ac:dyDescent="0.2">
      <c r="A172" s="1">
        <v>45499</v>
      </c>
      <c r="B172">
        <v>217.96</v>
      </c>
      <c r="C172">
        <f t="shared" si="14"/>
        <v>2.1586872546282805E-3</v>
      </c>
      <c r="D172">
        <v>5459.1</v>
      </c>
      <c r="E172">
        <f t="shared" si="15"/>
        <v>1.1029442312488889E-2</v>
      </c>
      <c r="G172">
        <f t="shared" si="16"/>
        <v>1.9932110641520903E-3</v>
      </c>
      <c r="H172">
        <f t="shared" si="17"/>
        <v>1.0863966122012699E-2</v>
      </c>
    </row>
    <row r="173" spans="1:8" x14ac:dyDescent="0.2">
      <c r="A173" s="1">
        <v>45498</v>
      </c>
      <c r="B173">
        <v>217.49</v>
      </c>
      <c r="C173">
        <f t="shared" si="14"/>
        <v>-4.8161916823298888E-3</v>
      </c>
      <c r="D173">
        <v>5399.22</v>
      </c>
      <c r="E173">
        <f t="shared" si="15"/>
        <v>-5.1559504042484414E-3</v>
      </c>
      <c r="G173">
        <f t="shared" si="16"/>
        <v>-4.9816678728060795E-3</v>
      </c>
      <c r="H173">
        <f t="shared" si="17"/>
        <v>-5.3214265947246321E-3</v>
      </c>
    </row>
    <row r="174" spans="1:8" x14ac:dyDescent="0.2">
      <c r="A174" s="1">
        <v>45497</v>
      </c>
      <c r="B174">
        <v>218.54</v>
      </c>
      <c r="C174">
        <f t="shared" si="14"/>
        <v>-2.917578151864024E-2</v>
      </c>
      <c r="D174">
        <v>5427.13</v>
      </c>
      <c r="E174">
        <f t="shared" si="15"/>
        <v>-2.3421178443889513E-2</v>
      </c>
      <c r="G174">
        <f t="shared" si="16"/>
        <v>-2.9341257709116431E-2</v>
      </c>
      <c r="H174">
        <f t="shared" si="17"/>
        <v>-2.3586654634365704E-2</v>
      </c>
    </row>
    <row r="175" spans="1:8" x14ac:dyDescent="0.2">
      <c r="A175" s="1">
        <v>45496</v>
      </c>
      <c r="B175">
        <v>225.01</v>
      </c>
      <c r="C175">
        <f t="shared" si="14"/>
        <v>4.6773811805469389E-3</v>
      </c>
      <c r="D175">
        <v>5555.74</v>
      </c>
      <c r="E175">
        <f t="shared" si="15"/>
        <v>-1.5593317997995005E-3</v>
      </c>
      <c r="G175">
        <f t="shared" si="16"/>
        <v>4.5119049900707482E-3</v>
      </c>
      <c r="H175">
        <f t="shared" si="17"/>
        <v>-1.724807990275691E-3</v>
      </c>
    </row>
    <row r="176" spans="1:8" x14ac:dyDescent="0.2">
      <c r="A176" s="1">
        <v>45495</v>
      </c>
      <c r="B176">
        <v>223.96</v>
      </c>
      <c r="C176">
        <f t="shared" si="14"/>
        <v>-1.5615591992412968E-3</v>
      </c>
      <c r="D176">
        <v>5564.41</v>
      </c>
      <c r="E176">
        <f t="shared" si="15"/>
        <v>1.0734189165974961E-2</v>
      </c>
      <c r="G176">
        <f t="shared" si="16"/>
        <v>-1.7270353897174873E-3</v>
      </c>
      <c r="H176">
        <f t="shared" si="17"/>
        <v>1.0568712975498771E-2</v>
      </c>
    </row>
    <row r="177" spans="1:8" x14ac:dyDescent="0.2">
      <c r="A177" s="1">
        <v>45492</v>
      </c>
      <c r="B177">
        <v>224.31</v>
      </c>
      <c r="C177">
        <f t="shared" si="14"/>
        <v>5.7972308698451202E-4</v>
      </c>
      <c r="D177">
        <v>5505</v>
      </c>
      <c r="E177">
        <f t="shared" si="15"/>
        <v>-7.1659074070294041E-3</v>
      </c>
      <c r="G177">
        <f t="shared" si="16"/>
        <v>4.1424689650832152E-4</v>
      </c>
      <c r="H177">
        <f t="shared" si="17"/>
        <v>-7.3313835975055948E-3</v>
      </c>
    </row>
    <row r="178" spans="1:8" x14ac:dyDescent="0.2">
      <c r="A178" s="1">
        <v>45491</v>
      </c>
      <c r="B178">
        <v>224.18</v>
      </c>
      <c r="C178">
        <f t="shared" si="14"/>
        <v>-2.0748548148905522E-2</v>
      </c>
      <c r="D178">
        <v>5544.59</v>
      </c>
      <c r="E178">
        <f t="shared" si="15"/>
        <v>-7.8470804696827295E-3</v>
      </c>
      <c r="G178">
        <f t="shared" si="16"/>
        <v>-2.0914024339381714E-2</v>
      </c>
      <c r="H178">
        <f t="shared" si="17"/>
        <v>-8.0125566601589194E-3</v>
      </c>
    </row>
    <row r="179" spans="1:8" x14ac:dyDescent="0.2">
      <c r="A179" s="1">
        <v>45490</v>
      </c>
      <c r="B179">
        <v>228.88</v>
      </c>
      <c r="C179">
        <f t="shared" si="14"/>
        <v>-2.5621414460210976E-2</v>
      </c>
      <c r="D179">
        <v>5588.27</v>
      </c>
      <c r="E179">
        <f t="shared" si="15"/>
        <v>-1.4025410555021933E-2</v>
      </c>
      <c r="G179">
        <f t="shared" si="16"/>
        <v>-2.5786890650687167E-2</v>
      </c>
      <c r="H179">
        <f t="shared" si="17"/>
        <v>-1.4190886745498123E-2</v>
      </c>
    </row>
    <row r="180" spans="1:8" x14ac:dyDescent="0.2">
      <c r="A180" s="1">
        <v>45489</v>
      </c>
      <c r="B180">
        <v>234.82</v>
      </c>
      <c r="C180">
        <f t="shared" si="14"/>
        <v>1.790205499208203E-3</v>
      </c>
      <c r="D180">
        <v>5667.2</v>
      </c>
      <c r="E180">
        <f t="shared" si="15"/>
        <v>6.3690536600414091E-3</v>
      </c>
      <c r="G180">
        <f t="shared" si="16"/>
        <v>1.6247293087320125E-3</v>
      </c>
      <c r="H180">
        <f t="shared" si="17"/>
        <v>6.2035774695652184E-3</v>
      </c>
    </row>
    <row r="181" spans="1:8" x14ac:dyDescent="0.2">
      <c r="A181" s="1">
        <v>45488</v>
      </c>
      <c r="B181">
        <v>234.4</v>
      </c>
      <c r="C181">
        <f t="shared" si="14"/>
        <v>1.6604674529990988E-2</v>
      </c>
      <c r="D181">
        <v>5631.22</v>
      </c>
      <c r="E181">
        <f t="shared" si="15"/>
        <v>2.822195662042845E-3</v>
      </c>
      <c r="G181">
        <f t="shared" si="16"/>
        <v>1.6439198339514797E-2</v>
      </c>
      <c r="H181">
        <f t="shared" si="17"/>
        <v>2.6567194715666547E-3</v>
      </c>
    </row>
    <row r="182" spans="1:8" x14ac:dyDescent="0.2">
      <c r="A182" s="1">
        <v>45485</v>
      </c>
      <c r="B182">
        <v>230.54</v>
      </c>
      <c r="C182">
        <f t="shared" si="14"/>
        <v>1.2966499801739235E-2</v>
      </c>
      <c r="D182">
        <v>5615.35</v>
      </c>
      <c r="E182">
        <f t="shared" si="15"/>
        <v>5.5018536287759819E-3</v>
      </c>
      <c r="G182">
        <f t="shared" si="16"/>
        <v>1.2801023611263045E-2</v>
      </c>
      <c r="H182">
        <f t="shared" si="17"/>
        <v>5.3363774382997912E-3</v>
      </c>
    </row>
    <row r="183" spans="1:8" x14ac:dyDescent="0.2">
      <c r="A183" s="1">
        <v>45484</v>
      </c>
      <c r="B183">
        <v>227.57</v>
      </c>
      <c r="C183">
        <f t="shared" si="14"/>
        <v>-2.349472960050368E-2</v>
      </c>
      <c r="D183">
        <v>5584.54</v>
      </c>
      <c r="E183">
        <f t="shared" si="15"/>
        <v>-8.8016292301766504E-3</v>
      </c>
      <c r="G183">
        <f t="shared" si="16"/>
        <v>-2.3660205790979872E-2</v>
      </c>
      <c r="H183">
        <f t="shared" si="17"/>
        <v>-8.9671054206528402E-3</v>
      </c>
    </row>
    <row r="184" spans="1:8" x14ac:dyDescent="0.2">
      <c r="A184" s="1">
        <v>45483</v>
      </c>
      <c r="B184">
        <v>232.98</v>
      </c>
      <c r="C184">
        <f t="shared" si="14"/>
        <v>1.8628966575860231E-2</v>
      </c>
      <c r="D184">
        <v>5633.91</v>
      </c>
      <c r="E184">
        <f t="shared" si="15"/>
        <v>1.0156283642139425E-2</v>
      </c>
      <c r="G184">
        <f t="shared" si="16"/>
        <v>1.846349038538404E-2</v>
      </c>
      <c r="H184">
        <f t="shared" si="17"/>
        <v>9.9908074516632354E-3</v>
      </c>
    </row>
    <row r="185" spans="1:8" x14ac:dyDescent="0.2">
      <c r="A185" s="1">
        <v>45482</v>
      </c>
      <c r="B185">
        <v>228.68</v>
      </c>
      <c r="C185">
        <f t="shared" si="14"/>
        <v>3.7678029240046994E-3</v>
      </c>
      <c r="D185">
        <v>5576.98</v>
      </c>
      <c r="E185">
        <f t="shared" si="15"/>
        <v>7.4081850375864739E-4</v>
      </c>
      <c r="G185">
        <f t="shared" si="16"/>
        <v>3.6023267335285091E-3</v>
      </c>
      <c r="H185">
        <f t="shared" si="17"/>
        <v>5.753423132824569E-4</v>
      </c>
    </row>
    <row r="186" spans="1:8" x14ac:dyDescent="0.2">
      <c r="A186" s="1">
        <v>45481</v>
      </c>
      <c r="B186">
        <v>227.82</v>
      </c>
      <c r="C186">
        <f t="shared" si="14"/>
        <v>6.5175499339704939E-3</v>
      </c>
      <c r="D186">
        <v>5572.85</v>
      </c>
      <c r="E186">
        <f t="shared" si="15"/>
        <v>1.0161544279964853E-3</v>
      </c>
      <c r="G186">
        <f t="shared" si="16"/>
        <v>6.3520737434943032E-3</v>
      </c>
      <c r="H186">
        <f t="shared" si="17"/>
        <v>8.5067823752029478E-4</v>
      </c>
    </row>
    <row r="187" spans="1:8" x14ac:dyDescent="0.2">
      <c r="A187" s="1">
        <v>45478</v>
      </c>
      <c r="B187">
        <v>226.34</v>
      </c>
      <c r="C187">
        <f t="shared" si="14"/>
        <v>2.1389995892297006E-2</v>
      </c>
      <c r="D187">
        <v>5567.19</v>
      </c>
      <c r="E187">
        <f t="shared" si="15"/>
        <v>5.4339884131971751E-3</v>
      </c>
      <c r="G187">
        <f t="shared" si="16"/>
        <v>2.1224519701820814E-2</v>
      </c>
      <c r="H187">
        <f t="shared" si="17"/>
        <v>5.2685122227209844E-3</v>
      </c>
    </row>
    <row r="188" spans="1:8" x14ac:dyDescent="0.2">
      <c r="A188" s="1">
        <v>45476</v>
      </c>
      <c r="B188">
        <v>221.55</v>
      </c>
      <c r="C188">
        <f t="shared" si="14"/>
        <v>5.7942310494322798E-3</v>
      </c>
      <c r="D188">
        <v>5537.02</v>
      </c>
      <c r="E188">
        <f t="shared" si="15"/>
        <v>5.0715161981972666E-3</v>
      </c>
      <c r="G188">
        <f t="shared" si="16"/>
        <v>5.6287548589560891E-3</v>
      </c>
      <c r="H188">
        <f t="shared" si="17"/>
        <v>4.9060400077210759E-3</v>
      </c>
    </row>
    <row r="189" spans="1:8" x14ac:dyDescent="0.2">
      <c r="A189" s="1">
        <v>45475</v>
      </c>
      <c r="B189">
        <v>220.27</v>
      </c>
      <c r="C189">
        <f t="shared" si="14"/>
        <v>1.6109450935414969E-2</v>
      </c>
      <c r="D189">
        <v>5509.01</v>
      </c>
      <c r="E189">
        <f t="shared" si="15"/>
        <v>6.1762197767835335E-3</v>
      </c>
      <c r="G189">
        <f t="shared" si="16"/>
        <v>1.5943974744938777E-2</v>
      </c>
      <c r="H189">
        <f t="shared" si="17"/>
        <v>6.0107435863073428E-3</v>
      </c>
    </row>
    <row r="190" spans="1:8" x14ac:dyDescent="0.2">
      <c r="A190" s="1">
        <v>45474</v>
      </c>
      <c r="B190">
        <v>216.75</v>
      </c>
      <c r="C190" t="e">
        <f t="shared" si="14"/>
        <v>#DIV/0!</v>
      </c>
      <c r="D190">
        <v>5475.09</v>
      </c>
      <c r="E190" t="e">
        <f t="shared" si="15"/>
        <v>#DIV/0!</v>
      </c>
      <c r="G190" t="e">
        <f t="shared" si="16"/>
        <v>#DIV/0!</v>
      </c>
      <c r="H190" t="e">
        <f t="shared" si="17"/>
        <v>#DIV/0!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F2829-CB6B-4ECB-A4A0-2F17DB09FBD4}">
  <dimension ref="A1:H194"/>
  <sheetViews>
    <sheetView zoomScale="125" zoomScaleNormal="70" workbookViewId="0">
      <selection activeCell="F17" sqref="F17"/>
    </sheetView>
  </sheetViews>
  <sheetFormatPr baseColWidth="10" defaultColWidth="8.83203125" defaultRowHeight="15" x14ac:dyDescent="0.2"/>
  <cols>
    <col min="1" max="1" width="10.1640625" style="5" bestFit="1" customWidth="1"/>
    <col min="2" max="2" width="9" style="5"/>
    <col min="3" max="3" width="9.1640625" bestFit="1" customWidth="1"/>
    <col min="4" max="5" width="10" bestFit="1" customWidth="1"/>
    <col min="6" max="6" width="11.83203125" style="5" customWidth="1"/>
    <col min="7" max="7" width="9.1640625" style="5" bestFit="1" customWidth="1"/>
    <col min="8" max="8" width="8.6640625" style="5" bestFit="1" customWidth="1"/>
  </cols>
  <sheetData>
    <row r="1" spans="1:8" x14ac:dyDescent="0.2">
      <c r="B1" s="5" t="s">
        <v>21</v>
      </c>
      <c r="C1" s="5">
        <v>9</v>
      </c>
      <c r="D1" s="5">
        <v>12</v>
      </c>
      <c r="E1" s="5">
        <v>26</v>
      </c>
      <c r="G1" s="5">
        <v>9</v>
      </c>
    </row>
    <row r="2" spans="1:8" x14ac:dyDescent="0.2">
      <c r="B2" s="5" t="s">
        <v>25</v>
      </c>
      <c r="C2" s="6">
        <f>2/(1+C1)</f>
        <v>0.2</v>
      </c>
      <c r="D2" s="6">
        <f>2/(1+D1)</f>
        <v>0.15384615384615385</v>
      </c>
      <c r="E2" s="6">
        <f>2/(1+E1)</f>
        <v>7.407407407407407E-2</v>
      </c>
      <c r="F2" s="7"/>
      <c r="G2" s="6">
        <f>2/(1+G1)</f>
        <v>0.2</v>
      </c>
      <c r="H2" s="12"/>
    </row>
    <row r="4" spans="1:8" x14ac:dyDescent="0.2">
      <c r="A4" s="8" t="s">
        <v>0</v>
      </c>
      <c r="B4" s="8" t="s">
        <v>29</v>
      </c>
      <c r="C4" t="s">
        <v>22</v>
      </c>
      <c r="D4" t="s">
        <v>23</v>
      </c>
      <c r="E4" t="s">
        <v>24</v>
      </c>
      <c r="F4" s="5" t="s">
        <v>26</v>
      </c>
      <c r="G4" s="5" t="s">
        <v>27</v>
      </c>
      <c r="H4" s="5" t="s">
        <v>28</v>
      </c>
    </row>
    <row r="5" spans="1:8" x14ac:dyDescent="0.2">
      <c r="A5" s="1">
        <v>45474</v>
      </c>
      <c r="B5">
        <v>216.75</v>
      </c>
      <c r="C5" s="9">
        <f>IF(COUNTA($B$5:$B5)&lt;=C$1,AVERAGE($B$5:$B5),C$2*($B5-$C4)+$C4)</f>
        <v>216.75</v>
      </c>
      <c r="D5" s="9">
        <f>IF(COUNTA($B$5:$B5)&lt;=D$1,AVERAGE($B$5:$B5),D$2*($B5-$D4)+$D4)</f>
        <v>216.75</v>
      </c>
      <c r="E5" s="9">
        <f>IF(COUNTA($B$5:$B5)&lt;=E$1,AVERAGE($B$5:$B5),E$2*($B5-$E4)+$E4)</f>
        <v>216.75</v>
      </c>
      <c r="F5" s="7"/>
    </row>
    <row r="6" spans="1:8" x14ac:dyDescent="0.2">
      <c r="A6" s="1">
        <v>45475</v>
      </c>
      <c r="B6">
        <v>220.27</v>
      </c>
      <c r="C6" s="9">
        <f>IF(COUNTA($B$5:$B6)&lt;=C$1,AVERAGE($B$5:$B6),C$2*($B6-$C5)+$C5)</f>
        <v>218.51</v>
      </c>
      <c r="D6" s="9">
        <f>IF(COUNTA($B$5:$B6)&lt;=D$1,AVERAGE($B$5:$B6),D$2*($B6-$D5)+$D5)</f>
        <v>218.51</v>
      </c>
      <c r="E6" s="9">
        <f>IF(COUNTA($B$5:$B6)&lt;=E$1,AVERAGE($B$5:$B6),E$2*($B6-$E5)+$E5)</f>
        <v>218.51</v>
      </c>
      <c r="F6" s="7"/>
    </row>
    <row r="7" spans="1:8" x14ac:dyDescent="0.2">
      <c r="A7" s="1">
        <v>45476</v>
      </c>
      <c r="B7">
        <v>221.55</v>
      </c>
      <c r="C7" s="9">
        <f>IF(COUNTA($B$5:$B7)&lt;=C$1,AVERAGE($B$5:$B7),C$2*($B7-$C6)+$C6)</f>
        <v>219.52333333333331</v>
      </c>
      <c r="D7" s="9">
        <f>IF(COUNTA($B$5:$B7)&lt;=D$1,AVERAGE($B$5:$B7),D$2*($B7-$D6)+$D6)</f>
        <v>219.52333333333331</v>
      </c>
      <c r="E7" s="9">
        <f>IF(COUNTA($B$5:$B7)&lt;=E$1,AVERAGE($B$5:$B7),E$2*($B7-$E6)+$E6)</f>
        <v>219.52333333333331</v>
      </c>
      <c r="F7" s="7"/>
    </row>
    <row r="8" spans="1:8" x14ac:dyDescent="0.2">
      <c r="A8" s="1">
        <v>45478</v>
      </c>
      <c r="B8">
        <v>226.34</v>
      </c>
      <c r="C8" s="9">
        <f>IF(COUNTA($B$5:$B8)&lt;=C$1,AVERAGE($B$5:$B8),C$2*($B8-$C7)+$C7)</f>
        <v>221.22749999999999</v>
      </c>
      <c r="D8" s="9">
        <f>IF(COUNTA($B$5:$B8)&lt;=D$1,AVERAGE($B$5:$B8),D$2*($B8-$D7)+$D7)</f>
        <v>221.22749999999999</v>
      </c>
      <c r="E8" s="9">
        <f>IF(COUNTA($B$5:$B8)&lt;=E$1,AVERAGE($B$5:$B8),E$2*($B8-$E7)+$E7)</f>
        <v>221.22749999999999</v>
      </c>
      <c r="F8" s="7"/>
    </row>
    <row r="9" spans="1:8" x14ac:dyDescent="0.2">
      <c r="A9" s="1">
        <v>45481</v>
      </c>
      <c r="B9">
        <v>227.82</v>
      </c>
      <c r="C9" s="9">
        <f>IF(COUNTA($B$5:$B9)&lt;=C$1,AVERAGE($B$5:$B9),C$2*($B9-$C8)+$C8)</f>
        <v>222.54599999999999</v>
      </c>
      <c r="D9" s="9">
        <f>IF(COUNTA($B$5:$B9)&lt;=D$1,AVERAGE($B$5:$B9),D$2*($B9-$D8)+$D8)</f>
        <v>222.54599999999999</v>
      </c>
      <c r="E9" s="9">
        <f>IF(COUNTA($B$5:$B9)&lt;=E$1,AVERAGE($B$5:$B9),E$2*($B9-$E8)+$E8)</f>
        <v>222.54599999999999</v>
      </c>
      <c r="F9" s="7"/>
    </row>
    <row r="10" spans="1:8" x14ac:dyDescent="0.2">
      <c r="A10" s="1">
        <v>45482</v>
      </c>
      <c r="B10">
        <v>228.68</v>
      </c>
      <c r="C10" s="9">
        <f>IF(COUNTA($B$5:$B10)&lt;=C$1,AVERAGE($B$5:$B10),C$2*($B10-$C9)+$C9)</f>
        <v>223.56833333333336</v>
      </c>
      <c r="D10" s="9">
        <f>IF(COUNTA($B$5:$B10)&lt;=D$1,AVERAGE($B$5:$B10),D$2*($B10-$D9)+$D9)</f>
        <v>223.56833333333336</v>
      </c>
      <c r="E10" s="9">
        <f>IF(COUNTA($B$5:$B10)&lt;=E$1,AVERAGE($B$5:$B10),E$2*($B10-$E9)+$E9)</f>
        <v>223.56833333333336</v>
      </c>
      <c r="F10" s="7"/>
    </row>
    <row r="11" spans="1:8" x14ac:dyDescent="0.2">
      <c r="A11" s="1">
        <v>45483</v>
      </c>
      <c r="B11">
        <v>232.98</v>
      </c>
      <c r="C11" s="9">
        <f>IF(COUNTA($B$5:$B11)&lt;=C$1,AVERAGE($B$5:$B11),C$2*($B11-$C10)+$C10)</f>
        <v>224.91285714285715</v>
      </c>
      <c r="D11" s="9">
        <f>IF(COUNTA($B$5:$B11)&lt;=D$1,AVERAGE($B$5:$B11),D$2*($B11-$D10)+$D10)</f>
        <v>224.91285714285715</v>
      </c>
      <c r="E11" s="9">
        <f>IF(COUNTA($B$5:$B11)&lt;=E$1,AVERAGE($B$5:$B11),E$2*($B11-$E10)+$E10)</f>
        <v>224.91285714285715</v>
      </c>
      <c r="F11" s="7"/>
    </row>
    <row r="12" spans="1:8" x14ac:dyDescent="0.2">
      <c r="A12" s="1">
        <v>45484</v>
      </c>
      <c r="B12">
        <v>227.57</v>
      </c>
      <c r="C12" s="9">
        <f>IF(COUNTA($B$5:$B12)&lt;=C$1,AVERAGE($B$5:$B12),C$2*($B12-$C11)+$C11)</f>
        <v>225.245</v>
      </c>
      <c r="D12" s="9">
        <f>IF(COUNTA($B$5:$B12)&lt;=D$1,AVERAGE($B$5:$B12),D$2*($B12-$D11)+$D11)</f>
        <v>225.245</v>
      </c>
      <c r="E12" s="9">
        <f>IF(COUNTA($B$5:$B12)&lt;=E$1,AVERAGE($B$5:$B12),E$2*($B12-$E11)+$E11)</f>
        <v>225.245</v>
      </c>
      <c r="F12" s="7"/>
    </row>
    <row r="13" spans="1:8" x14ac:dyDescent="0.2">
      <c r="A13" s="1">
        <v>45485</v>
      </c>
      <c r="B13">
        <v>230.54</v>
      </c>
      <c r="C13" s="9">
        <f>IF(COUNTA($B$5:$B13)&lt;=C$1,AVERAGE($B$5:$B13),C$2*($B13-$C12)+$C12)</f>
        <v>225.83333333333334</v>
      </c>
      <c r="D13" s="9">
        <f>IF(COUNTA($B$5:$B13)&lt;=D$1,AVERAGE($B$5:$B13),D$2*($B13-$D12)+$D12)</f>
        <v>225.83333333333334</v>
      </c>
      <c r="E13" s="9">
        <f>IF(COUNTA($B$5:$B13)&lt;=E$1,AVERAGE($B$5:$B13),E$2*($B13-$E12)+$E12)</f>
        <v>225.83333333333334</v>
      </c>
      <c r="F13" s="7"/>
    </row>
    <row r="14" spans="1:8" x14ac:dyDescent="0.2">
      <c r="A14" s="1">
        <v>45488</v>
      </c>
      <c r="B14">
        <v>234.4</v>
      </c>
      <c r="C14" s="11">
        <f>IF(COUNTA($B$5:$B14)&lt;=C$1,AVERAGE($B$5:$B14),C$2*($B14-$C13)+$C13)</f>
        <v>227.54666666666668</v>
      </c>
      <c r="D14" s="9">
        <f>IF(COUNTA($B$5:$B14)&lt;=D$1,AVERAGE($B$5:$B14),D$2*($B14-$D13)+$D13)</f>
        <v>226.69</v>
      </c>
      <c r="E14" s="9">
        <f>IF(COUNTA($B$5:$B14)&lt;=E$1,AVERAGE($B$5:$B14),E$2*($B14-$E13)+$E13)</f>
        <v>226.69</v>
      </c>
      <c r="F14" s="7"/>
    </row>
    <row r="15" spans="1:8" x14ac:dyDescent="0.2">
      <c r="A15" s="1">
        <v>45489</v>
      </c>
      <c r="B15">
        <v>234.82</v>
      </c>
      <c r="C15" s="9">
        <f>IF(COUNTA($B$5:$B15)&lt;=C$1,AVERAGE($B$5:$B15),C$2*($B15-$C14)+$C14)</f>
        <v>229.00133333333335</v>
      </c>
      <c r="D15" s="9">
        <f>IF(COUNTA($B$5:$B15)&lt;=D$1,AVERAGE($B$5:$B15),D$2*($B15-$D14)+$D14)</f>
        <v>227.42909090909095</v>
      </c>
      <c r="E15" s="9">
        <f>IF(COUNTA($B$5:$B15)&lt;=E$1,AVERAGE($B$5:$B15),E$2*($B15-$E14)+$E14)</f>
        <v>227.42909090909095</v>
      </c>
      <c r="F15" s="7"/>
    </row>
    <row r="16" spans="1:8" x14ac:dyDescent="0.2">
      <c r="A16" s="1">
        <v>45490</v>
      </c>
      <c r="B16">
        <v>228.88</v>
      </c>
      <c r="C16" s="9">
        <f>IF(COUNTA($B$5:$B16)&lt;=C$1,AVERAGE($B$5:$B16),C$2*($B16-$C15)+$C15)</f>
        <v>228.97706666666667</v>
      </c>
      <c r="D16" s="9">
        <f>IF(COUNTA($B$5:$B16)&lt;=D$1,AVERAGE($B$5:$B16),D$2*($B16-$D15)+$D15)</f>
        <v>227.55000000000004</v>
      </c>
      <c r="E16" s="9">
        <f>IF(COUNTA($B$5:$B16)&lt;=E$1,AVERAGE($B$5:$B16),E$2*($B16-$E15)+$E15)</f>
        <v>227.55000000000004</v>
      </c>
      <c r="F16" s="7"/>
    </row>
    <row r="17" spans="1:8" x14ac:dyDescent="0.2">
      <c r="A17" s="1">
        <v>45491</v>
      </c>
      <c r="B17">
        <v>224.18</v>
      </c>
      <c r="C17" s="9">
        <f>IF(COUNTA($B$5:$B17)&lt;=C$1,AVERAGE($B$5:$B17),C$2*($B17-$C16)+$C16)</f>
        <v>228.01765333333333</v>
      </c>
      <c r="D17" s="11">
        <f>IF(COUNTA($B$5:$B17)&lt;=D$1,AVERAGE($B$5:$B17),D$2*($B17-$D16)+$D16)</f>
        <v>227.0315384615385</v>
      </c>
      <c r="E17" s="9">
        <f>IF(COUNTA($B$5:$B17)&lt;=E$1,AVERAGE($B$5:$B17),E$2*($B17-$E16)+$E16)</f>
        <v>227.29076923076926</v>
      </c>
      <c r="F17" s="7">
        <f>D17-E17</f>
        <v>-0.25923076923075428</v>
      </c>
      <c r="G17" s="7">
        <f>IF(COUNTA($F$5:$F17)&lt;=G$1,AVERAGE($F$5:$F17),G$2*($F17-$G16)+$G16)</f>
        <v>-0.25923076923075428</v>
      </c>
      <c r="H17" s="7">
        <f>F17-G17</f>
        <v>0</v>
      </c>
    </row>
    <row r="18" spans="1:8" x14ac:dyDescent="0.2">
      <c r="A18" s="1">
        <v>45492</v>
      </c>
      <c r="B18">
        <v>224.31</v>
      </c>
      <c r="C18" s="9">
        <f>IF(COUNTA($B$5:$B18)&lt;=C$1,AVERAGE($B$5:$B18),C$2*($B18-$C17)+$C17)</f>
        <v>227.27612266666665</v>
      </c>
      <c r="D18" s="9">
        <f>IF(COUNTA($B$5:$B18)&lt;=D$1,AVERAGE($B$5:$B18),D$2*($B18-$D17)+$D17)</f>
        <v>226.61284023668642</v>
      </c>
      <c r="E18" s="9">
        <f>IF(COUNTA($B$5:$B18)&lt;=E$1,AVERAGE($B$5:$B18),E$2*($B18-$E17)+$E17)</f>
        <v>227.07785714285714</v>
      </c>
      <c r="F18" s="7">
        <f t="shared" ref="F18:F81" si="0">D18-E18</f>
        <v>-0.46501690617071745</v>
      </c>
      <c r="G18" s="7">
        <f>IF(COUNTA($F$5:$F18)&lt;=G$1,AVERAGE($F$5:$F18),G$2*($F18-$G17)+$G17)</f>
        <v>-0.36212383770073586</v>
      </c>
      <c r="H18" s="7">
        <f t="shared" ref="H18:H81" si="1">F18-G18</f>
        <v>-0.10289306846998159</v>
      </c>
    </row>
    <row r="19" spans="1:8" x14ac:dyDescent="0.2">
      <c r="A19" s="1">
        <v>45495</v>
      </c>
      <c r="B19">
        <v>223.96</v>
      </c>
      <c r="C19" s="9">
        <f>IF(COUNTA($B$5:$B19)&lt;=C$1,AVERAGE($B$5:$B19),C$2*($B19-$C18)+$C18)</f>
        <v>226.61289813333332</v>
      </c>
      <c r="D19" s="9">
        <f>IF(COUNTA($B$5:$B19)&lt;=D$1,AVERAGE($B$5:$B19),D$2*($B19-$D18)+$D18)</f>
        <v>226.20471096950391</v>
      </c>
      <c r="E19" s="9">
        <f>IF(COUNTA($B$5:$B19)&lt;=E$1,AVERAGE($B$5:$B19),E$2*($B19-$E18)+$E18)</f>
        <v>226.87</v>
      </c>
      <c r="F19" s="7">
        <f t="shared" si="0"/>
        <v>-0.66528903049609767</v>
      </c>
      <c r="G19" s="7">
        <f>IF(COUNTA($F$5:$F19)&lt;=G$1,AVERAGE($F$5:$F19),G$2*($F19-$G18)+$G18)</f>
        <v>-0.46317890196585648</v>
      </c>
      <c r="H19" s="7">
        <f t="shared" si="1"/>
        <v>-0.20211012853024118</v>
      </c>
    </row>
    <row r="20" spans="1:8" x14ac:dyDescent="0.2">
      <c r="A20" s="1">
        <v>45496</v>
      </c>
      <c r="B20">
        <v>225.01</v>
      </c>
      <c r="C20" s="9">
        <f>IF(COUNTA($B$5:$B20)&lt;=C$1,AVERAGE($B$5:$B20),C$2*($B20-$C19)+$C19)</f>
        <v>226.29231850666665</v>
      </c>
      <c r="D20" s="9">
        <f>IF(COUNTA($B$5:$B20)&lt;=D$1,AVERAGE($B$5:$B20),D$2*($B20-$D19)+$D19)</f>
        <v>226.02090928188792</v>
      </c>
      <c r="E20" s="9">
        <f>IF(COUNTA($B$5:$B20)&lt;=E$1,AVERAGE($B$5:$B20),E$2*($B20-$E19)+$E19)</f>
        <v>226.75375000000003</v>
      </c>
      <c r="F20" s="7">
        <f t="shared" si="0"/>
        <v>-0.73284071811210083</v>
      </c>
      <c r="G20" s="7">
        <f>IF(COUNTA($F$5:$F20)&lt;=G$1,AVERAGE($F$5:$F20),G$2*($F20-$G19)+$G19)</f>
        <v>-0.53059435600241756</v>
      </c>
      <c r="H20" s="7">
        <f t="shared" si="1"/>
        <v>-0.20224636210968328</v>
      </c>
    </row>
    <row r="21" spans="1:8" x14ac:dyDescent="0.2">
      <c r="A21" s="1">
        <v>45497</v>
      </c>
      <c r="B21">
        <v>218.54</v>
      </c>
      <c r="C21" s="9">
        <f>IF(COUNTA($B$5:$B21)&lt;=C$1,AVERAGE($B$5:$B21),C$2*($B21-$C20)+$C20)</f>
        <v>224.7418548053333</v>
      </c>
      <c r="D21" s="9">
        <f>IF(COUNTA($B$5:$B21)&lt;=D$1,AVERAGE($B$5:$B21),D$2*($B21-$D20)+$D20)</f>
        <v>224.87000016159746</v>
      </c>
      <c r="E21" s="9">
        <f>IF(COUNTA($B$5:$B21)&lt;=E$1,AVERAGE($B$5:$B21),E$2*($B21-$E20)+$E20)</f>
        <v>226.27058823529413</v>
      </c>
      <c r="F21" s="7">
        <f t="shared" si="0"/>
        <v>-1.4005880736966674</v>
      </c>
      <c r="G21" s="7">
        <f>IF(COUNTA($F$5:$F21)&lt;=G$1,AVERAGE($F$5:$F21),G$2*($F21-$G20)+$G20)</f>
        <v>-0.70459309954126748</v>
      </c>
      <c r="H21" s="7">
        <f t="shared" si="1"/>
        <v>-0.6959949741553999</v>
      </c>
    </row>
    <row r="22" spans="1:8" x14ac:dyDescent="0.2">
      <c r="A22" s="1">
        <v>45498</v>
      </c>
      <c r="B22">
        <v>217.49</v>
      </c>
      <c r="C22" s="9">
        <f>IF(COUNTA($B$5:$B22)&lt;=C$1,AVERAGE($B$5:$B22),C$2*($B22-$C21)+$C21)</f>
        <v>223.29148384426665</v>
      </c>
      <c r="D22" s="9">
        <f>IF(COUNTA($B$5:$B22)&lt;=D$1,AVERAGE($B$5:$B22),D$2*($B22-$D21)+$D21)</f>
        <v>223.73461552135169</v>
      </c>
      <c r="E22" s="9">
        <f>IF(COUNTA($B$5:$B22)&lt;=E$1,AVERAGE($B$5:$B22),E$2*($B22-$E21)+$E21)</f>
        <v>225.7827777777778</v>
      </c>
      <c r="F22" s="7">
        <f t="shared" si="0"/>
        <v>-2.0481622564261102</v>
      </c>
      <c r="G22" s="7">
        <f>IF(COUNTA($F$5:$F22)&lt;=G$1,AVERAGE($F$5:$F22),G$2*($F22-$G21)+$G21)</f>
        <v>-0.92852129235540792</v>
      </c>
      <c r="H22" s="7">
        <f t="shared" si="1"/>
        <v>-1.1196409640707023</v>
      </c>
    </row>
    <row r="23" spans="1:8" x14ac:dyDescent="0.2">
      <c r="A23" s="1">
        <v>45499</v>
      </c>
      <c r="B23">
        <v>217.96</v>
      </c>
      <c r="C23" s="9">
        <f>IF(COUNTA($B$5:$B23)&lt;=C$1,AVERAGE($B$5:$B23),C$2*($B23-$C22)+$C22)</f>
        <v>222.22518707541332</v>
      </c>
      <c r="D23" s="9">
        <f>IF(COUNTA($B$5:$B23)&lt;=D$1,AVERAGE($B$5:$B23),D$2*($B23-$D22)+$D22)</f>
        <v>222.84621313345141</v>
      </c>
      <c r="E23" s="9">
        <f>IF(COUNTA($B$5:$B23)&lt;=E$1,AVERAGE($B$5:$B23),E$2*($B23-$E22)+$E22)</f>
        <v>225.37105263157895</v>
      </c>
      <c r="F23" s="7">
        <f t="shared" si="0"/>
        <v>-2.5248394981275339</v>
      </c>
      <c r="G23" s="7">
        <f>IF(COUNTA($F$5:$F23)&lt;=G$1,AVERAGE($F$5:$F23),G$2*($F23-$G22)+$G22)</f>
        <v>-1.1565667503228545</v>
      </c>
      <c r="H23" s="7">
        <f t="shared" si="1"/>
        <v>-1.3682727478046794</v>
      </c>
    </row>
    <row r="24" spans="1:8" x14ac:dyDescent="0.2">
      <c r="A24" s="1">
        <v>45502</v>
      </c>
      <c r="B24">
        <v>218.24</v>
      </c>
      <c r="C24" s="9">
        <f>IF(COUNTA($B$5:$B24)&lt;=C$1,AVERAGE($B$5:$B24),C$2*($B24-$C23)+$C23)</f>
        <v>221.42814966033066</v>
      </c>
      <c r="D24" s="9">
        <f>IF(COUNTA($B$5:$B24)&lt;=D$1,AVERAGE($B$5:$B24),D$2*($B24-$D23)+$D23)</f>
        <v>222.13756495907427</v>
      </c>
      <c r="E24" s="9">
        <f>IF(COUNTA($B$5:$B24)&lt;=E$1,AVERAGE($B$5:$B24),E$2*($B24-$E23)+$E23)</f>
        <v>225.0145</v>
      </c>
      <c r="F24" s="7">
        <f t="shared" si="0"/>
        <v>-2.8769350409257299</v>
      </c>
      <c r="G24" s="7">
        <f>IF(COUNTA($F$5:$F24)&lt;=G$1,AVERAGE($F$5:$F24),G$2*($F24-$G23)+$G23)</f>
        <v>-1.371612786648214</v>
      </c>
      <c r="H24" s="7">
        <f t="shared" si="1"/>
        <v>-1.505322254277516</v>
      </c>
    </row>
    <row r="25" spans="1:8" x14ac:dyDescent="0.2">
      <c r="A25" s="1">
        <v>45503</v>
      </c>
      <c r="B25">
        <v>218.8</v>
      </c>
      <c r="C25" s="9">
        <f>IF(COUNTA($B$5:$B25)&lt;=C$1,AVERAGE($B$5:$B25),C$2*($B25-$C24)+$C24)</f>
        <v>220.90251972826454</v>
      </c>
      <c r="D25" s="9">
        <f>IF(COUNTA($B$5:$B25)&lt;=D$1,AVERAGE($B$5:$B25),D$2*($B25-$D24)+$D24)</f>
        <v>221.62409342690898</v>
      </c>
      <c r="E25" s="9">
        <f>IF(COUNTA($B$5:$B25)&lt;=E$1,AVERAGE($B$5:$B25),E$2*($B25-$E24)+$E24)</f>
        <v>224.71857142857144</v>
      </c>
      <c r="F25" s="7">
        <f t="shared" si="0"/>
        <v>-3.094478001662452</v>
      </c>
      <c r="G25" s="7">
        <f>IF(COUNTA($F$5:$F25)&lt;=G$1,AVERAGE($F$5:$F25),G$2*($F25-$G24)+$G24)</f>
        <v>-1.5630422549831293</v>
      </c>
      <c r="H25" s="7">
        <f t="shared" si="1"/>
        <v>-1.5314357466793227</v>
      </c>
    </row>
    <row r="26" spans="1:8" x14ac:dyDescent="0.2">
      <c r="A26" s="1">
        <v>45504</v>
      </c>
      <c r="B26">
        <v>222.08</v>
      </c>
      <c r="C26" s="9">
        <f>IF(COUNTA($B$5:$B26)&lt;=C$1,AVERAGE($B$5:$B26),C$2*($B26-$C25)+$C25)</f>
        <v>221.13801578261163</v>
      </c>
      <c r="D26" s="9">
        <f>IF(COUNTA($B$5:$B26)&lt;=D$1,AVERAGE($B$5:$B26),D$2*($B26-$D25)+$D25)</f>
        <v>221.69423289969222</v>
      </c>
      <c r="E26" s="9">
        <f>IF(COUNTA($B$5:$B26)&lt;=E$1,AVERAGE($B$5:$B26),E$2*($B26-$E25)+$E25)</f>
        <v>224.59863636363636</v>
      </c>
      <c r="F26" s="7">
        <f t="shared" si="0"/>
        <v>-2.904403463944135</v>
      </c>
      <c r="G26" s="7">
        <f>IF(COUNTA($F$5:$F26)&lt;=G$1,AVERAGE($F$5:$F26),G$2*($F26-$G25)+$G25)</f>
        <v>-1.8313144967753305</v>
      </c>
      <c r="H26" s="7">
        <f t="shared" si="1"/>
        <v>-1.0730889671688044</v>
      </c>
    </row>
    <row r="27" spans="1:8" x14ac:dyDescent="0.2">
      <c r="A27" s="1">
        <v>45505</v>
      </c>
      <c r="B27">
        <v>218.36</v>
      </c>
      <c r="C27" s="9">
        <f>IF(COUNTA($B$5:$B27)&lt;=C$1,AVERAGE($B$5:$B27),C$2*($B27-$C26)+$C26)</f>
        <v>220.58241262608931</v>
      </c>
      <c r="D27" s="9">
        <f>IF(COUNTA($B$5:$B27)&lt;=D$1,AVERAGE($B$5:$B27),D$2*($B27-$D26)+$D26)</f>
        <v>221.18127399204727</v>
      </c>
      <c r="E27" s="9">
        <f>IF(COUNTA($B$5:$B27)&lt;=E$1,AVERAGE($B$5:$B27),E$2*($B27-$E26)+$E26)</f>
        <v>224.32739130434783</v>
      </c>
      <c r="F27" s="7">
        <f t="shared" si="0"/>
        <v>-3.1461173123005608</v>
      </c>
      <c r="G27" s="7">
        <f>IF(COUNTA($F$5:$F27)&lt;=G$1,AVERAGE($F$5:$F27),G$2*($F27-$G26)+$G26)</f>
        <v>-2.0942750598803768</v>
      </c>
      <c r="H27" s="7">
        <f t="shared" si="1"/>
        <v>-1.051842252420184</v>
      </c>
    </row>
    <row r="28" spans="1:8" x14ac:dyDescent="0.2">
      <c r="A28" s="1">
        <v>45506</v>
      </c>
      <c r="B28">
        <v>219.86</v>
      </c>
      <c r="C28" s="9">
        <f>IF(COUNTA($B$5:$B28)&lt;=C$1,AVERAGE($B$5:$B28),C$2*($B28-$C27)+$C27)</f>
        <v>220.43793010087145</v>
      </c>
      <c r="D28" s="9">
        <f>IF(COUNTA($B$5:$B28)&lt;=D$1,AVERAGE($B$5:$B28),D$2*($B28-$D27)+$D27)</f>
        <v>220.97800107019384</v>
      </c>
      <c r="E28" s="9">
        <f>IF(COUNTA($B$5:$B28)&lt;=E$1,AVERAGE($B$5:$B28),E$2*($B28-$E27)+$E27)</f>
        <v>224.14124999999999</v>
      </c>
      <c r="F28" s="7">
        <f t="shared" si="0"/>
        <v>-3.1632489298061444</v>
      </c>
      <c r="G28" s="7">
        <f>IF(COUNTA($F$5:$F28)&lt;=G$1,AVERAGE($F$5:$F28),G$2*($F28-$G27)+$G27)</f>
        <v>-2.3080698338655301</v>
      </c>
      <c r="H28" s="7">
        <f t="shared" si="1"/>
        <v>-0.85517909594061425</v>
      </c>
    </row>
    <row r="29" spans="1:8" x14ac:dyDescent="0.2">
      <c r="A29" s="1">
        <v>45509</v>
      </c>
      <c r="B29">
        <v>209.27</v>
      </c>
      <c r="C29" s="9">
        <f>IF(COUNTA($B$5:$B29)&lt;=C$1,AVERAGE($B$5:$B29),C$2*($B29-$C28)+$C28)</f>
        <v>218.20434408069715</v>
      </c>
      <c r="D29" s="9">
        <f>IF(COUNTA($B$5:$B29)&lt;=D$1,AVERAGE($B$5:$B29),D$2*($B29-$D28)+$D28)</f>
        <v>219.17677013631786</v>
      </c>
      <c r="E29" s="9">
        <f>IF(COUNTA($B$5:$B29)&lt;=E$1,AVERAGE($B$5:$B29),E$2*($B29-$E28)+$E28)</f>
        <v>223.54640000000001</v>
      </c>
      <c r="F29" s="7">
        <f t="shared" si="0"/>
        <v>-4.3696298636821496</v>
      </c>
      <c r="G29" s="7">
        <f>IF(COUNTA($F$5:$F29)&lt;=G$1,AVERAGE($F$5:$F29),G$2*($F29-$G28)+$G28)</f>
        <v>-2.7203818398288542</v>
      </c>
      <c r="H29" s="7">
        <f t="shared" si="1"/>
        <v>-1.6492480238532954</v>
      </c>
    </row>
    <row r="30" spans="1:8" x14ac:dyDescent="0.2">
      <c r="A30" s="1">
        <v>45510</v>
      </c>
      <c r="B30">
        <v>207.23</v>
      </c>
      <c r="C30" s="9">
        <f>IF(COUNTA($B$5:$B30)&lt;=C$1,AVERAGE($B$5:$B30),C$2*($B30-$C29)+$C29)</f>
        <v>216.00947526455772</v>
      </c>
      <c r="D30" s="9">
        <f>IF(COUNTA($B$5:$B30)&lt;=D$1,AVERAGE($B$5:$B30),D$2*($B30-$D29)+$D29)</f>
        <v>217.33880549996127</v>
      </c>
      <c r="E30" s="9">
        <f>IF(COUNTA($B$5:$B30)&lt;=E$1,AVERAGE($B$5:$B30),E$2*($B30-$E29)+$E29)</f>
        <v>222.91884615384612</v>
      </c>
      <c r="F30" s="7">
        <f t="shared" si="0"/>
        <v>-5.5800406538848506</v>
      </c>
      <c r="G30" s="7">
        <f>IF(COUNTA($F$5:$F30)&lt;=G$1,AVERAGE($F$5:$F30),G$2*($F30-$G29)+$G29)</f>
        <v>-3.2923136026400535</v>
      </c>
      <c r="H30" s="7">
        <f t="shared" si="1"/>
        <v>-2.2877270512447971</v>
      </c>
    </row>
    <row r="31" spans="1:8" x14ac:dyDescent="0.2">
      <c r="A31" s="1">
        <v>45511</v>
      </c>
      <c r="B31">
        <v>209.82</v>
      </c>
      <c r="C31" s="9">
        <f>IF(COUNTA($B$5:$B31)&lt;=C$1,AVERAGE($B$5:$B31),C$2*($B31-$C30)+$C30)</f>
        <v>214.77158021164618</v>
      </c>
      <c r="D31" s="9">
        <f>IF(COUNTA($B$5:$B31)&lt;=D$1,AVERAGE($B$5:$B31),D$2*($B31-$D30)+$D30)</f>
        <v>216.18206619227493</v>
      </c>
      <c r="E31" s="11">
        <f>IF(COUNTA($B$5:$B31)&lt;=E$1,AVERAGE($B$5:$B31),E$2*($B31-$E30)+$E30)</f>
        <v>221.94856125356122</v>
      </c>
      <c r="F31" s="7">
        <f t="shared" si="0"/>
        <v>-5.7664950612862924</v>
      </c>
      <c r="G31" s="7">
        <f>IF(COUNTA($F$5:$F31)&lt;=G$1,AVERAGE($F$5:$F31),G$2*($F31-$G30)+$G30)</f>
        <v>-3.7871498943693012</v>
      </c>
      <c r="H31" s="7">
        <f t="shared" si="1"/>
        <v>-1.9793451669169912</v>
      </c>
    </row>
    <row r="32" spans="1:8" x14ac:dyDescent="0.2">
      <c r="A32" s="1">
        <v>45512</v>
      </c>
      <c r="B32">
        <v>213.31</v>
      </c>
      <c r="C32" s="9">
        <f>IF(COUNTA($B$5:$B32)&lt;=C$1,AVERAGE($B$5:$B32),C$2*($B32-$C31)+$C31)</f>
        <v>214.47926416931693</v>
      </c>
      <c r="D32" s="9">
        <f>IF(COUNTA($B$5:$B32)&lt;=D$1,AVERAGE($B$5:$B32),D$2*($B32-$D31)+$D31)</f>
        <v>215.74020985500186</v>
      </c>
      <c r="E32" s="9">
        <f>IF(COUNTA($B$5:$B32)&lt;=E$1,AVERAGE($B$5:$B32),E$2*($B32-$E31)+$E31)</f>
        <v>221.30866782737149</v>
      </c>
      <c r="F32" s="7">
        <f t="shared" si="0"/>
        <v>-5.5684579723696288</v>
      </c>
      <c r="G32" s="7">
        <f>IF(COUNTA($F$5:$F32)&lt;=G$1,AVERAGE($F$5:$F32),G$2*($F32-$G31)+$G31)</f>
        <v>-4.1434115099693667</v>
      </c>
      <c r="H32" s="7">
        <f t="shared" si="1"/>
        <v>-1.4250464624002621</v>
      </c>
    </row>
    <row r="33" spans="1:8" x14ac:dyDescent="0.2">
      <c r="A33" s="1">
        <v>45513</v>
      </c>
      <c r="B33">
        <v>216.24</v>
      </c>
      <c r="C33" s="9">
        <f>IF(COUNTA($B$5:$B33)&lt;=C$1,AVERAGE($B$5:$B33),C$2*($B33-$C32)+$C32)</f>
        <v>214.83141133545354</v>
      </c>
      <c r="D33" s="9">
        <f>IF(COUNTA($B$5:$B33)&lt;=D$1,AVERAGE($B$5:$B33),D$2*($B33-$D32)+$D32)</f>
        <v>215.81710064654004</v>
      </c>
      <c r="E33" s="9">
        <f>IF(COUNTA($B$5:$B33)&lt;=E$1,AVERAGE($B$5:$B33),E$2*($B33-$E32)+$E32)</f>
        <v>220.9332109512699</v>
      </c>
      <c r="F33" s="7">
        <f t="shared" si="0"/>
        <v>-5.1161103047298582</v>
      </c>
      <c r="G33" s="7">
        <f>IF(COUNTA($F$5:$F33)&lt;=G$1,AVERAGE($F$5:$F33),G$2*($F33-$G32)+$G32)</f>
        <v>-4.337951268921465</v>
      </c>
      <c r="H33" s="7">
        <f t="shared" si="1"/>
        <v>-0.77815903580839318</v>
      </c>
    </row>
    <row r="34" spans="1:8" x14ac:dyDescent="0.2">
      <c r="A34" s="1">
        <v>45516</v>
      </c>
      <c r="B34">
        <v>217.53</v>
      </c>
      <c r="C34" s="9">
        <f>IF(COUNTA($B$5:$B34)&lt;=C$1,AVERAGE($B$5:$B34),C$2*($B34-$C33)+$C33)</f>
        <v>215.37112906836282</v>
      </c>
      <c r="D34" s="9">
        <f>IF(COUNTA($B$5:$B34)&lt;=D$1,AVERAGE($B$5:$B34),D$2*($B34-$D33)+$D33)</f>
        <v>216.08062362399542</v>
      </c>
      <c r="E34" s="9">
        <f>IF(COUNTA($B$5:$B34)&lt;=E$1,AVERAGE($B$5:$B34),E$2*($B34-$E33)+$E33)</f>
        <v>220.68112125117582</v>
      </c>
      <c r="F34" s="7">
        <f t="shared" si="0"/>
        <v>-4.6004976271804026</v>
      </c>
      <c r="G34" s="7">
        <f>IF(COUNTA($F$5:$F34)&lt;=G$1,AVERAGE($F$5:$F34),G$2*($F34-$G33)+$G33)</f>
        <v>-4.3904605405732529</v>
      </c>
      <c r="H34" s="7">
        <f t="shared" si="1"/>
        <v>-0.2100370866071497</v>
      </c>
    </row>
    <row r="35" spans="1:8" x14ac:dyDescent="0.2">
      <c r="A35" s="1">
        <v>45517</v>
      </c>
      <c r="B35">
        <v>221.27</v>
      </c>
      <c r="C35" s="9">
        <f>IF(COUNTA($B$5:$B35)&lt;=C$1,AVERAGE($B$5:$B35),C$2*($B35-$C34)+$C34)</f>
        <v>216.55090325469027</v>
      </c>
      <c r="D35" s="9">
        <f>IF(COUNTA($B$5:$B35)&lt;=D$1,AVERAGE($B$5:$B35),D$2*($B35-$D34)+$D34)</f>
        <v>216.87898922030382</v>
      </c>
      <c r="E35" s="9">
        <f>IF(COUNTA($B$5:$B35)&lt;=E$1,AVERAGE($B$5:$B35),E$2*($B35-$E34)+$E34)</f>
        <v>220.72474189923688</v>
      </c>
      <c r="F35" s="7">
        <f t="shared" si="0"/>
        <v>-3.8457526789330529</v>
      </c>
      <c r="G35" s="7">
        <f>IF(COUNTA($F$5:$F35)&lt;=G$1,AVERAGE($F$5:$F35),G$2*($F35-$G34)+$G34)</f>
        <v>-4.2815189682452131</v>
      </c>
      <c r="H35" s="7">
        <f t="shared" si="1"/>
        <v>0.4357662893121601</v>
      </c>
    </row>
    <row r="36" spans="1:8" x14ac:dyDescent="0.2">
      <c r="A36" s="1">
        <v>45518</v>
      </c>
      <c r="B36">
        <v>221.72</v>
      </c>
      <c r="C36" s="9">
        <f>IF(COUNTA($B$5:$B36)&lt;=C$1,AVERAGE($B$5:$B36),C$2*($B36-$C35)+$C35)</f>
        <v>217.58472260375223</v>
      </c>
      <c r="D36" s="9">
        <f>IF(COUNTA($B$5:$B36)&lt;=D$1,AVERAGE($B$5:$B36),D$2*($B36-$D35)+$D35)</f>
        <v>217.62376010948785</v>
      </c>
      <c r="E36" s="9">
        <f>IF(COUNTA($B$5:$B36)&lt;=E$1,AVERAGE($B$5:$B36),E$2*($B36-$E35)+$E35)</f>
        <v>220.79846472151561</v>
      </c>
      <c r="F36" s="7">
        <f t="shared" si="0"/>
        <v>-3.1747046120277673</v>
      </c>
      <c r="G36" s="7">
        <f>IF(COUNTA($F$5:$F36)&lt;=G$1,AVERAGE($F$5:$F36),G$2*($F36-$G35)+$G35)</f>
        <v>-4.0601560970017241</v>
      </c>
      <c r="H36" s="7">
        <f t="shared" si="1"/>
        <v>0.88545148497395676</v>
      </c>
    </row>
    <row r="37" spans="1:8" x14ac:dyDescent="0.2">
      <c r="A37" s="1">
        <v>45519</v>
      </c>
      <c r="B37">
        <v>224.72</v>
      </c>
      <c r="C37" s="9">
        <f>IF(COUNTA($B$5:$B37)&lt;=C$1,AVERAGE($B$5:$B37),C$2*($B37-$C36)+$C36)</f>
        <v>219.01177808300179</v>
      </c>
      <c r="D37" s="9">
        <f>IF(COUNTA($B$5:$B37)&lt;=D$1,AVERAGE($B$5:$B37),D$2*($B37-$D36)+$D36)</f>
        <v>218.71548932341278</v>
      </c>
      <c r="E37" s="9">
        <f>IF(COUNTA($B$5:$B37)&lt;=E$1,AVERAGE($B$5:$B37),E$2*($B37-$E36)+$E36)</f>
        <v>221.08894881621816</v>
      </c>
      <c r="F37" s="7">
        <f t="shared" si="0"/>
        <v>-2.3734594928053809</v>
      </c>
      <c r="G37" s="7">
        <f>IF(COUNTA($F$5:$F37)&lt;=G$1,AVERAGE($F$5:$F37),G$2*($F37-$G36)+$G36)</f>
        <v>-3.7228167761624555</v>
      </c>
      <c r="H37" s="7">
        <f t="shared" si="1"/>
        <v>1.3493572833570746</v>
      </c>
    </row>
    <row r="38" spans="1:8" x14ac:dyDescent="0.2">
      <c r="A38" s="1">
        <v>45520</v>
      </c>
      <c r="B38">
        <v>226.05</v>
      </c>
      <c r="C38" s="9">
        <f>IF(COUNTA($B$5:$B38)&lt;=C$1,AVERAGE($B$5:$B38),C$2*($B38-$C37)+$C37)</f>
        <v>220.41942246640144</v>
      </c>
      <c r="D38" s="9">
        <f>IF(COUNTA($B$5:$B38)&lt;=D$1,AVERAGE($B$5:$B38),D$2*($B38-$D37)+$D37)</f>
        <v>219.84387558134927</v>
      </c>
      <c r="E38" s="9">
        <f>IF(COUNTA($B$5:$B38)&lt;=E$1,AVERAGE($B$5:$B38),E$2*($B38-$E37)+$E37)</f>
        <v>221.45643408909089</v>
      </c>
      <c r="F38" s="7">
        <f t="shared" si="0"/>
        <v>-1.6125585077416247</v>
      </c>
      <c r="G38" s="7">
        <f>IF(COUNTA($F$5:$F38)&lt;=G$1,AVERAGE($F$5:$F38),G$2*($F38-$G37)+$G37)</f>
        <v>-3.3007651224782895</v>
      </c>
      <c r="H38" s="7">
        <f t="shared" si="1"/>
        <v>1.6882066147366648</v>
      </c>
    </row>
    <row r="39" spans="1:8" x14ac:dyDescent="0.2">
      <c r="A39" s="1">
        <v>45523</v>
      </c>
      <c r="B39">
        <v>225.89</v>
      </c>
      <c r="C39" s="9">
        <f>IF(COUNTA($B$5:$B39)&lt;=C$1,AVERAGE($B$5:$B39),C$2*($B39-$C38)+$C38)</f>
        <v>221.51353797312115</v>
      </c>
      <c r="D39" s="9">
        <f>IF(COUNTA($B$5:$B39)&lt;=D$1,AVERAGE($B$5:$B39),D$2*($B39-$D38)+$D38)</f>
        <v>220.77404856883399</v>
      </c>
      <c r="E39" s="9">
        <f>IF(COUNTA($B$5:$B39)&lt;=E$1,AVERAGE($B$5:$B39),E$2*($B39-$E38)+$E38)</f>
        <v>221.78484637878785</v>
      </c>
      <c r="F39" s="7">
        <f t="shared" si="0"/>
        <v>-1.010797809953857</v>
      </c>
      <c r="G39" s="7">
        <f>IF(COUNTA($F$5:$F39)&lt;=G$1,AVERAGE($F$5:$F39),G$2*($F39-$G38)+$G38)</f>
        <v>-2.842771659973403</v>
      </c>
      <c r="H39" s="7">
        <f t="shared" si="1"/>
        <v>1.8319738500195459</v>
      </c>
    </row>
    <row r="40" spans="1:8" x14ac:dyDescent="0.2">
      <c r="A40" s="1">
        <v>45524</v>
      </c>
      <c r="B40">
        <v>226.51</v>
      </c>
      <c r="C40" s="9">
        <f>IF(COUNTA($B$5:$B40)&lt;=C$1,AVERAGE($B$5:$B40),C$2*($B40-$C39)+$C39)</f>
        <v>222.51283037849691</v>
      </c>
      <c r="D40" s="9">
        <f>IF(COUNTA($B$5:$B40)&lt;=D$1,AVERAGE($B$5:$B40),D$2*($B40-$D39)+$D39)</f>
        <v>221.65650263516721</v>
      </c>
      <c r="E40" s="9">
        <f>IF(COUNTA($B$5:$B40)&lt;=E$1,AVERAGE($B$5:$B40),E$2*($B40-$E39)+$E39)</f>
        <v>222.13485775813689</v>
      </c>
      <c r="F40" s="7">
        <f t="shared" si="0"/>
        <v>-0.47835512296967408</v>
      </c>
      <c r="G40" s="7">
        <f>IF(COUNTA($F$5:$F40)&lt;=G$1,AVERAGE($F$5:$F40),G$2*($F40-$G39)+$G39)</f>
        <v>-2.3698883525726573</v>
      </c>
      <c r="H40" s="7">
        <f t="shared" si="1"/>
        <v>1.8915332296029832</v>
      </c>
    </row>
    <row r="41" spans="1:8" x14ac:dyDescent="0.2">
      <c r="A41" s="1">
        <v>45525</v>
      </c>
      <c r="B41">
        <v>226.4</v>
      </c>
      <c r="C41" s="9">
        <f>IF(COUNTA($B$5:$B41)&lt;=C$1,AVERAGE($B$5:$B41),C$2*($B41-$C40)+$C40)</f>
        <v>223.29026430279754</v>
      </c>
      <c r="D41" s="9">
        <f>IF(COUNTA($B$5:$B41)&lt;=D$1,AVERAGE($B$5:$B41),D$2*($B41-$D40)+$D40)</f>
        <v>222.3862714605261</v>
      </c>
      <c r="E41" s="9">
        <f>IF(COUNTA($B$5:$B41)&lt;=E$1,AVERAGE($B$5:$B41),E$2*($B41-$E40)+$E40)</f>
        <v>222.45079422049713</v>
      </c>
      <c r="F41" s="7">
        <f t="shared" si="0"/>
        <v>-6.4522759971026744E-2</v>
      </c>
      <c r="G41" s="7">
        <f>IF(COUNTA($F$5:$F41)&lt;=G$1,AVERAGE($F$5:$F41),G$2*($F41-$G40)+$G40)</f>
        <v>-1.9088152340523312</v>
      </c>
      <c r="H41" s="7">
        <f t="shared" si="1"/>
        <v>1.8442924740813045</v>
      </c>
    </row>
    <row r="42" spans="1:8" x14ac:dyDescent="0.2">
      <c r="A42" s="1">
        <v>45526</v>
      </c>
      <c r="B42">
        <v>224.53</v>
      </c>
      <c r="C42" s="9">
        <f>IF(COUNTA($B$5:$B42)&lt;=C$1,AVERAGE($B$5:$B42),C$2*($B42-$C41)+$C41)</f>
        <v>223.53821144223804</v>
      </c>
      <c r="D42" s="9">
        <f>IF(COUNTA($B$5:$B42)&lt;=D$1,AVERAGE($B$5:$B42),D$2*($B42-$D41)+$D41)</f>
        <v>222.71607585121438</v>
      </c>
      <c r="E42" s="9">
        <f>IF(COUNTA($B$5:$B42)&lt;=E$1,AVERAGE($B$5:$B42),E$2*($B42-$E41)+$E41)</f>
        <v>222.60480946342327</v>
      </c>
      <c r="F42" s="7">
        <f t="shared" si="0"/>
        <v>0.11126638779111886</v>
      </c>
      <c r="G42" s="7">
        <f>IF(COUNTA($F$5:$F42)&lt;=G$1,AVERAGE($F$5:$F42),G$2*($F42-$G41)+$G41)</f>
        <v>-1.5047989096836412</v>
      </c>
      <c r="H42" s="7">
        <f t="shared" si="1"/>
        <v>1.61606529747476</v>
      </c>
    </row>
    <row r="43" spans="1:8" x14ac:dyDescent="0.2">
      <c r="A43" s="1">
        <v>45527</v>
      </c>
      <c r="B43">
        <v>226.84</v>
      </c>
      <c r="C43" s="9">
        <f>IF(COUNTA($B$5:$B43)&lt;=C$1,AVERAGE($B$5:$B43),C$2*($B43-$C42)+$C42)</f>
        <v>224.19856915379043</v>
      </c>
      <c r="D43" s="9">
        <f>IF(COUNTA($B$5:$B43)&lt;=D$1,AVERAGE($B$5:$B43),D$2*($B43-$D42)+$D42)</f>
        <v>223.35052572025833</v>
      </c>
      <c r="E43" s="9">
        <f>IF(COUNTA($B$5:$B43)&lt;=E$1,AVERAGE($B$5:$B43),E$2*($B43-$E42)+$E42)</f>
        <v>222.91852728094747</v>
      </c>
      <c r="F43" s="7">
        <f t="shared" si="0"/>
        <v>0.43199843931085979</v>
      </c>
      <c r="G43" s="7">
        <f>IF(COUNTA($F$5:$F43)&lt;=G$1,AVERAGE($F$5:$F43),G$2*($F43-$G42)+$G42)</f>
        <v>-1.1174394398847409</v>
      </c>
      <c r="H43" s="7">
        <f t="shared" si="1"/>
        <v>1.5494378791956007</v>
      </c>
    </row>
    <row r="44" spans="1:8" x14ac:dyDescent="0.2">
      <c r="A44" s="1">
        <v>45530</v>
      </c>
      <c r="B44">
        <v>227.18</v>
      </c>
      <c r="C44" s="9">
        <f>IF(COUNTA($B$5:$B44)&lt;=C$1,AVERAGE($B$5:$B44),C$2*($B44-$C43)+$C43)</f>
        <v>224.79485532303235</v>
      </c>
      <c r="D44" s="9">
        <f>IF(COUNTA($B$5:$B44)&lt;=D$1,AVERAGE($B$5:$B44),D$2*($B44-$D43)+$D43)</f>
        <v>223.93967560944935</v>
      </c>
      <c r="E44" s="9">
        <f>IF(COUNTA($B$5:$B44)&lt;=E$1,AVERAGE($B$5:$B44),E$2*($B44-$E43)+$E43)</f>
        <v>223.23419192680322</v>
      </c>
      <c r="F44" s="7">
        <f t="shared" si="0"/>
        <v>0.70548368264613259</v>
      </c>
      <c r="G44" s="7">
        <f>IF(COUNTA($F$5:$F44)&lt;=G$1,AVERAGE($F$5:$F44),G$2*($F44-$G43)+$G43)</f>
        <v>-0.75285481537856613</v>
      </c>
      <c r="H44" s="7">
        <f t="shared" si="1"/>
        <v>1.4583384980246987</v>
      </c>
    </row>
    <row r="45" spans="1:8" x14ac:dyDescent="0.2">
      <c r="A45" s="1">
        <v>45531</v>
      </c>
      <c r="B45">
        <v>228.03</v>
      </c>
      <c r="C45" s="9">
        <f>IF(COUNTA($B$5:$B45)&lt;=C$1,AVERAGE($B$5:$B45),C$2*($B45-$C44)+$C44)</f>
        <v>225.44188425842589</v>
      </c>
      <c r="D45" s="9">
        <f>IF(COUNTA($B$5:$B45)&lt;=D$1,AVERAGE($B$5:$B45),D$2*($B45-$D44)+$D44)</f>
        <v>224.56895628491867</v>
      </c>
      <c r="E45" s="9">
        <f>IF(COUNTA($B$5:$B45)&lt;=E$1,AVERAGE($B$5:$B45),E$2*($B45-$E44)+$E44)</f>
        <v>223.58943696926224</v>
      </c>
      <c r="F45" s="7">
        <f t="shared" si="0"/>
        <v>0.97951931565643235</v>
      </c>
      <c r="G45" s="7">
        <f>IF(COUNTA($F$5:$F45)&lt;=G$1,AVERAGE($F$5:$F45),G$2*($F45-$G44)+$G44)</f>
        <v>-0.40637998917156642</v>
      </c>
      <c r="H45" s="7">
        <f t="shared" si="1"/>
        <v>1.3858993048279988</v>
      </c>
    </row>
    <row r="46" spans="1:8" x14ac:dyDescent="0.2">
      <c r="A46" s="1">
        <v>45532</v>
      </c>
      <c r="B46">
        <v>226.49</v>
      </c>
      <c r="C46" s="9">
        <f>IF(COUNTA($B$5:$B46)&lt;=C$1,AVERAGE($B$5:$B46),C$2*($B46-$C45)+$C45)</f>
        <v>225.65150740674071</v>
      </c>
      <c r="D46" s="9">
        <f>IF(COUNTA($B$5:$B46)&lt;=D$1,AVERAGE($B$5:$B46),D$2*($B46-$D45)+$D45)</f>
        <v>224.86450147185425</v>
      </c>
      <c r="E46" s="9">
        <f>IF(COUNTA($B$5:$B46)&lt;=E$1,AVERAGE($B$5:$B46),E$2*($B46-$E45)+$E45)</f>
        <v>223.80429349005763</v>
      </c>
      <c r="F46" s="7">
        <f t="shared" si="0"/>
        <v>1.0602079817966228</v>
      </c>
      <c r="G46" s="7">
        <f>IF(COUNTA($F$5:$F46)&lt;=G$1,AVERAGE($F$5:$F46),G$2*($F46-$G45)+$G45)</f>
        <v>-0.11306239497792858</v>
      </c>
      <c r="H46" s="7">
        <f t="shared" si="1"/>
        <v>1.1732703767745514</v>
      </c>
    </row>
    <row r="47" spans="1:8" x14ac:dyDescent="0.2">
      <c r="A47" s="1">
        <v>45533</v>
      </c>
      <c r="B47">
        <v>229.79</v>
      </c>
      <c r="C47" s="9">
        <f>IF(COUNTA($B$5:$B47)&lt;=C$1,AVERAGE($B$5:$B47),C$2*($B47-$C46)+$C46)</f>
        <v>226.47920592539256</v>
      </c>
      <c r="D47" s="9">
        <f>IF(COUNTA($B$5:$B47)&lt;=D$1,AVERAGE($B$5:$B47),D$2*($B47-$D46)+$D46)</f>
        <v>225.62227047618435</v>
      </c>
      <c r="E47" s="9">
        <f>IF(COUNTA($B$5:$B47)&lt;=E$1,AVERAGE($B$5:$B47),E$2*($B47-$E46)+$E46)</f>
        <v>224.24767915746077</v>
      </c>
      <c r="F47" s="7">
        <f t="shared" si="0"/>
        <v>1.3745913187235885</v>
      </c>
      <c r="G47" s="7">
        <f>IF(COUNTA($F$5:$F47)&lt;=G$1,AVERAGE($F$5:$F47),G$2*($F47-$G46)+$G46)</f>
        <v>0.18446834776237486</v>
      </c>
      <c r="H47" s="7">
        <f t="shared" si="1"/>
        <v>1.1901229709612138</v>
      </c>
    </row>
    <row r="48" spans="1:8" x14ac:dyDescent="0.2">
      <c r="A48" s="1">
        <v>45534</v>
      </c>
      <c r="B48">
        <v>229</v>
      </c>
      <c r="C48" s="9">
        <f>IF(COUNTA($B$5:$B48)&lt;=C$1,AVERAGE($B$5:$B48),C$2*($B48-$C47)+$C47)</f>
        <v>226.98336474031404</v>
      </c>
      <c r="D48" s="9">
        <f>IF(COUNTA($B$5:$B48)&lt;=D$1,AVERAGE($B$5:$B48),D$2*($B48-$D47)+$D47)</f>
        <v>226.141921172156</v>
      </c>
      <c r="E48" s="9">
        <f>IF(COUNTA($B$5:$B48)&lt;=E$1,AVERAGE($B$5:$B48),E$2*($B48-$E47)+$E47)</f>
        <v>224.5997029235748</v>
      </c>
      <c r="F48" s="7">
        <f t="shared" si="0"/>
        <v>1.5422182485812073</v>
      </c>
      <c r="G48" s="7">
        <f>IF(COUNTA($F$5:$F48)&lt;=G$1,AVERAGE($F$5:$F48),G$2*($F48-$G47)+$G47)</f>
        <v>0.45601832792614139</v>
      </c>
      <c r="H48" s="7">
        <f t="shared" si="1"/>
        <v>1.0861999206550659</v>
      </c>
    </row>
    <row r="49" spans="1:8" x14ac:dyDescent="0.2">
      <c r="A49" s="1">
        <v>45538</v>
      </c>
      <c r="B49">
        <v>222.77</v>
      </c>
      <c r="C49" s="9">
        <f>IF(COUNTA($B$5:$B49)&lt;=C$1,AVERAGE($B$5:$B49),C$2*($B49-$C48)+$C48)</f>
        <v>226.14069179225123</v>
      </c>
      <c r="D49" s="9">
        <f>IF(COUNTA($B$5:$B49)&lt;=D$1,AVERAGE($B$5:$B49),D$2*($B49-$D48)+$D48)</f>
        <v>225.6231640687474</v>
      </c>
      <c r="E49" s="9">
        <f>IF(COUNTA($B$5:$B49)&lt;=E$1,AVERAGE($B$5:$B49),E$2*($B49-$E48)+$E48)</f>
        <v>224.46416937368036</v>
      </c>
      <c r="F49" s="7">
        <f t="shared" si="0"/>
        <v>1.1589946950670367</v>
      </c>
      <c r="G49" s="7">
        <f>IF(COUNTA($F$5:$F49)&lt;=G$1,AVERAGE($F$5:$F49),G$2*($F49-$G48)+$G48)</f>
        <v>0.5966136013543204</v>
      </c>
      <c r="H49" s="7">
        <f t="shared" si="1"/>
        <v>0.56238109371271627</v>
      </c>
    </row>
    <row r="50" spans="1:8" x14ac:dyDescent="0.2">
      <c r="A50" s="1">
        <v>45539</v>
      </c>
      <c r="B50">
        <v>220.85</v>
      </c>
      <c r="C50" s="9">
        <f>IF(COUNTA($B$5:$B50)&lt;=C$1,AVERAGE($B$5:$B50),C$2*($B50-$C49)+$C49)</f>
        <v>225.082553433801</v>
      </c>
      <c r="D50" s="9">
        <f>IF(COUNTA($B$5:$B50)&lt;=D$1,AVERAGE($B$5:$B50),D$2*($B50-$D49)+$D49)</f>
        <v>224.88883113509397</v>
      </c>
      <c r="E50" s="9">
        <f>IF(COUNTA($B$5:$B50)&lt;=E$1,AVERAGE($B$5:$B50),E$2*($B50-$E49)+$E49)</f>
        <v>224.19645312377813</v>
      </c>
      <c r="F50" s="7">
        <f t="shared" si="0"/>
        <v>0.69237801131583865</v>
      </c>
      <c r="G50" s="7">
        <f>IF(COUNTA($F$5:$F50)&lt;=G$1,AVERAGE($F$5:$F50),G$2*($F50-$G49)+$G49)</f>
        <v>0.61576648334662409</v>
      </c>
      <c r="H50" s="7">
        <f t="shared" si="1"/>
        <v>7.6611527969214555E-2</v>
      </c>
    </row>
    <row r="51" spans="1:8" x14ac:dyDescent="0.2">
      <c r="A51" s="1">
        <v>45540</v>
      </c>
      <c r="B51">
        <v>222.38</v>
      </c>
      <c r="C51" s="9">
        <f>IF(COUNTA($B$5:$B51)&lt;=C$1,AVERAGE($B$5:$B51),C$2*($B51-$C50)+$C50)</f>
        <v>224.5420427470408</v>
      </c>
      <c r="D51" s="9">
        <f>IF(COUNTA($B$5:$B51)&lt;=D$1,AVERAGE($B$5:$B51),D$2*($B51-$D50)+$D50)</f>
        <v>224.50285711431027</v>
      </c>
      <c r="E51" s="9">
        <f>IF(COUNTA($B$5:$B51)&lt;=E$1,AVERAGE($B$5:$B51),E$2*($B51-$E50)+$E50)</f>
        <v>224.0619010405353</v>
      </c>
      <c r="F51" s="7">
        <f t="shared" si="0"/>
        <v>0.44095607377497004</v>
      </c>
      <c r="G51" s="7">
        <f>IF(COUNTA($F$5:$F51)&lt;=G$1,AVERAGE($F$5:$F51),G$2*($F51-$G50)+$G50)</f>
        <v>0.58080440143229328</v>
      </c>
      <c r="H51" s="7">
        <f t="shared" si="1"/>
        <v>-0.13984832765732325</v>
      </c>
    </row>
    <row r="52" spans="1:8" x14ac:dyDescent="0.2">
      <c r="A52" s="1">
        <v>45541</v>
      </c>
      <c r="B52">
        <v>220.82</v>
      </c>
      <c r="C52" s="9">
        <f>IF(COUNTA($B$5:$B52)&lt;=C$1,AVERAGE($B$5:$B52),C$2*($B52-$C51)+$C51)</f>
        <v>223.79763419763265</v>
      </c>
      <c r="D52" s="9">
        <f>IF(COUNTA($B$5:$B52)&lt;=D$1,AVERAGE($B$5:$B52),D$2*($B52-$D51)+$D51)</f>
        <v>223.93626371210868</v>
      </c>
      <c r="E52" s="9">
        <f>IF(COUNTA($B$5:$B52)&lt;=E$1,AVERAGE($B$5:$B52),E$2*($B52-$E51)+$E51)</f>
        <v>223.82176022271787</v>
      </c>
      <c r="F52" s="7">
        <f t="shared" si="0"/>
        <v>0.11450348939081323</v>
      </c>
      <c r="G52" s="7">
        <f>IF(COUNTA($F$5:$F52)&lt;=G$1,AVERAGE($F$5:$F52),G$2*($F52-$G51)+$G51)</f>
        <v>0.48754421902399725</v>
      </c>
      <c r="H52" s="7">
        <f t="shared" si="1"/>
        <v>-0.37304072963318402</v>
      </c>
    </row>
    <row r="53" spans="1:8" x14ac:dyDescent="0.2">
      <c r="A53" s="1">
        <v>45544</v>
      </c>
      <c r="B53">
        <v>220.91</v>
      </c>
      <c r="C53" s="9">
        <f>IF(COUNTA($B$5:$B53)&lt;=C$1,AVERAGE($B$5:$B53),C$2*($B53-$C52)+$C52)</f>
        <v>223.22010735810611</v>
      </c>
      <c r="D53" s="9">
        <f>IF(COUNTA($B$5:$B53)&lt;=D$1,AVERAGE($B$5:$B53),D$2*($B53-$D52)+$D52)</f>
        <v>223.47068467947659</v>
      </c>
      <c r="E53" s="9">
        <f>IF(COUNTA($B$5:$B53)&lt;=E$1,AVERAGE($B$5:$B53),E$2*($B53-$E52)+$E52)</f>
        <v>223.60607428029434</v>
      </c>
      <c r="F53" s="7">
        <f t="shared" si="0"/>
        <v>-0.13538960081774576</v>
      </c>
      <c r="G53" s="7">
        <f>IF(COUNTA($F$5:$F53)&lt;=G$1,AVERAGE($F$5:$F53),G$2*($F53-$G52)+$G52)</f>
        <v>0.36295745505564864</v>
      </c>
      <c r="H53" s="7">
        <f t="shared" si="1"/>
        <v>-0.4983470558733944</v>
      </c>
    </row>
    <row r="54" spans="1:8" x14ac:dyDescent="0.2">
      <c r="A54" s="1">
        <v>45545</v>
      </c>
      <c r="B54">
        <v>220.11</v>
      </c>
      <c r="C54" s="9">
        <f>IF(COUNTA($B$5:$B54)&lt;=C$1,AVERAGE($B$5:$B54),C$2*($B54-$C53)+$C53)</f>
        <v>222.59808588648488</v>
      </c>
      <c r="D54" s="9">
        <f>IF(COUNTA($B$5:$B54)&lt;=D$1,AVERAGE($B$5:$B54),D$2*($B54-$D53)+$D53)</f>
        <v>222.95365626724941</v>
      </c>
      <c r="E54" s="9">
        <f>IF(COUNTA($B$5:$B54)&lt;=E$1,AVERAGE($B$5:$B54),E$2*($B54-$E53)+$E53)</f>
        <v>223.34710581508736</v>
      </c>
      <c r="F54" s="7">
        <f t="shared" si="0"/>
        <v>-0.39344954783794606</v>
      </c>
      <c r="G54" s="7">
        <f>IF(COUNTA($F$5:$F54)&lt;=G$1,AVERAGE($F$5:$F54),G$2*($F54-$G53)+$G53)</f>
        <v>0.21167605447692966</v>
      </c>
      <c r="H54" s="7">
        <f t="shared" si="1"/>
        <v>-0.60512560231487567</v>
      </c>
    </row>
    <row r="55" spans="1:8" x14ac:dyDescent="0.2">
      <c r="A55" s="1">
        <v>45546</v>
      </c>
      <c r="B55">
        <v>222.66</v>
      </c>
      <c r="C55" s="9">
        <f>IF(COUNTA($B$5:$B55)&lt;=C$1,AVERAGE($B$5:$B55),C$2*($B55-$C54)+$C54)</f>
        <v>222.6104687091879</v>
      </c>
      <c r="D55" s="9">
        <f>IF(COUNTA($B$5:$B55)&lt;=D$1,AVERAGE($B$5:$B55),D$2*($B55-$D54)+$D54)</f>
        <v>222.90847837998027</v>
      </c>
      <c r="E55" s="9">
        <f>IF(COUNTA($B$5:$B55)&lt;=E$1,AVERAGE($B$5:$B55),E$2*($B55-$E54)+$E54)</f>
        <v>223.29620908804384</v>
      </c>
      <c r="F55" s="7">
        <f t="shared" si="0"/>
        <v>-0.38773070806357168</v>
      </c>
      <c r="G55" s="7">
        <f>IF(COUNTA($F$5:$F55)&lt;=G$1,AVERAGE($F$5:$F55),G$2*($F55-$G54)+$G54)</f>
        <v>9.1794701968829398E-2</v>
      </c>
      <c r="H55" s="7">
        <f t="shared" si="1"/>
        <v>-0.47952541003240107</v>
      </c>
    </row>
    <row r="56" spans="1:8" x14ac:dyDescent="0.2">
      <c r="A56" s="1">
        <v>45547</v>
      </c>
      <c r="B56">
        <v>222.77</v>
      </c>
      <c r="C56" s="9">
        <f>IF(COUNTA($B$5:$B56)&lt;=C$1,AVERAGE($B$5:$B56),C$2*($B56-$C55)+$C55)</f>
        <v>222.64237496735032</v>
      </c>
      <c r="D56" s="9">
        <f>IF(COUNTA($B$5:$B56)&lt;=D$1,AVERAGE($B$5:$B56),D$2*($B56-$D55)+$D55)</f>
        <v>222.88717401382945</v>
      </c>
      <c r="E56" s="9">
        <f>IF(COUNTA($B$5:$B56)&lt;=E$1,AVERAGE($B$5:$B56),E$2*($B56-$E55)+$E55)</f>
        <v>223.25723063707764</v>
      </c>
      <c r="F56" s="7">
        <f t="shared" si="0"/>
        <v>-0.370056623248189</v>
      </c>
      <c r="G56" s="7">
        <f>IF(COUNTA($F$5:$F56)&lt;=G$1,AVERAGE($F$5:$F56),G$2*($F56-$G55)+$G55)</f>
        <v>-5.7556307457427847E-4</v>
      </c>
      <c r="H56" s="7">
        <f t="shared" si="1"/>
        <v>-0.36948106017361471</v>
      </c>
    </row>
    <row r="57" spans="1:8" x14ac:dyDescent="0.2">
      <c r="A57" s="1">
        <v>45548</v>
      </c>
      <c r="B57">
        <v>222.5</v>
      </c>
      <c r="C57" s="9">
        <f>IF(COUNTA($B$5:$B57)&lt;=C$1,AVERAGE($B$5:$B57),C$2*($B57-$C56)+$C56)</f>
        <v>222.61389997388025</v>
      </c>
      <c r="D57" s="9">
        <f>IF(COUNTA($B$5:$B57)&lt;=D$1,AVERAGE($B$5:$B57),D$2*($B57-$D56)+$D56)</f>
        <v>222.82760878093262</v>
      </c>
      <c r="E57" s="9">
        <f>IF(COUNTA($B$5:$B57)&lt;=E$1,AVERAGE($B$5:$B57),E$2*($B57-$E56)+$E56)</f>
        <v>223.20113947877559</v>
      </c>
      <c r="F57" s="7">
        <f t="shared" si="0"/>
        <v>-0.37353069784296622</v>
      </c>
      <c r="G57" s="7">
        <f>IF(COUNTA($F$5:$F57)&lt;=G$1,AVERAGE($F$5:$F57),G$2*($F57-$G56)+$G56)</f>
        <v>-7.5166590028252669E-2</v>
      </c>
      <c r="H57" s="7">
        <f t="shared" si="1"/>
        <v>-0.29836410781471356</v>
      </c>
    </row>
    <row r="58" spans="1:8" x14ac:dyDescent="0.2">
      <c r="A58" s="1">
        <v>45551</v>
      </c>
      <c r="B58">
        <v>216.32</v>
      </c>
      <c r="C58" s="9">
        <f>IF(COUNTA($B$5:$B58)&lt;=C$1,AVERAGE($B$5:$B58),C$2*($B58-$C57)+$C57)</f>
        <v>221.35511997910419</v>
      </c>
      <c r="D58" s="9">
        <f>IF(COUNTA($B$5:$B58)&lt;=D$1,AVERAGE($B$5:$B58),D$2*($B58-$D57)+$D57)</f>
        <v>221.82643819925067</v>
      </c>
      <c r="E58" s="9">
        <f>IF(COUNTA($B$5:$B58)&lt;=E$1,AVERAGE($B$5:$B58),E$2*($B58-$E57)+$E57)</f>
        <v>222.69142544331072</v>
      </c>
      <c r="F58" s="7">
        <f t="shared" si="0"/>
        <v>-0.86498724406004612</v>
      </c>
      <c r="G58" s="7">
        <f>IF(COUNTA($F$5:$F58)&lt;=G$1,AVERAGE($F$5:$F58),G$2*($F58-$G57)+$G57)</f>
        <v>-0.23313072083461139</v>
      </c>
      <c r="H58" s="7">
        <f t="shared" si="1"/>
        <v>-0.63185652322543473</v>
      </c>
    </row>
    <row r="59" spans="1:8" x14ac:dyDescent="0.2">
      <c r="A59" s="1">
        <v>45552</v>
      </c>
      <c r="B59">
        <v>216.79</v>
      </c>
      <c r="C59" s="9">
        <f>IF(COUNTA($B$5:$B59)&lt;=C$1,AVERAGE($B$5:$B59),C$2*($B59-$C58)+$C58)</f>
        <v>220.44209598328334</v>
      </c>
      <c r="D59" s="9">
        <f>IF(COUNTA($B$5:$B59)&lt;=D$1,AVERAGE($B$5:$B59),D$2*($B59-$D58)+$D58)</f>
        <v>221.05160155321209</v>
      </c>
      <c r="E59" s="9">
        <f>IF(COUNTA($B$5:$B59)&lt;=E$1,AVERAGE($B$5:$B59),E$2*($B59-$E58)+$E58)</f>
        <v>222.25428281788029</v>
      </c>
      <c r="F59" s="7">
        <f t="shared" si="0"/>
        <v>-1.2026812646682004</v>
      </c>
      <c r="G59" s="7">
        <f>IF(COUNTA($F$5:$F59)&lt;=G$1,AVERAGE($F$5:$F59),G$2*($F59-$G58)+$G58)</f>
        <v>-0.42704082960132916</v>
      </c>
      <c r="H59" s="7">
        <f t="shared" si="1"/>
        <v>-0.77564043506687119</v>
      </c>
    </row>
    <row r="60" spans="1:8" x14ac:dyDescent="0.2">
      <c r="A60" s="1">
        <v>45553</v>
      </c>
      <c r="B60">
        <v>220.69</v>
      </c>
      <c r="C60" s="9">
        <f>IF(COUNTA($B$5:$B60)&lt;=C$1,AVERAGE($B$5:$B60),C$2*($B60-$C59)+$C59)</f>
        <v>220.49167678662667</v>
      </c>
      <c r="D60" s="9">
        <f>IF(COUNTA($B$5:$B60)&lt;=D$1,AVERAGE($B$5:$B60),D$2*($B60-$D59)+$D59)</f>
        <v>220.99597054502561</v>
      </c>
      <c r="E60" s="9">
        <f>IF(COUNTA($B$5:$B60)&lt;=E$1,AVERAGE($B$5:$B60),E$2*($B60-$E59)+$E59)</f>
        <v>222.13841001655584</v>
      </c>
      <c r="F60" s="7">
        <f t="shared" si="0"/>
        <v>-1.1424394715302242</v>
      </c>
      <c r="G60" s="7">
        <f>IF(COUNTA($F$5:$F60)&lt;=G$1,AVERAGE($F$5:$F60),G$2*($F60-$G59)+$G59)</f>
        <v>-0.57012055798710815</v>
      </c>
      <c r="H60" s="7">
        <f t="shared" si="1"/>
        <v>-0.57231891354311604</v>
      </c>
    </row>
    <row r="61" spans="1:8" x14ac:dyDescent="0.2">
      <c r="A61" s="1">
        <v>45554</v>
      </c>
      <c r="B61">
        <v>228.87</v>
      </c>
      <c r="C61" s="9">
        <f>IF(COUNTA($B$5:$B61)&lt;=C$1,AVERAGE($B$5:$B61),C$2*($B61-$C60)+$C60)</f>
        <v>222.16734142930133</v>
      </c>
      <c r="D61" s="9">
        <f>IF(COUNTA($B$5:$B61)&lt;=D$1,AVERAGE($B$5:$B61),D$2*($B61-$D60)+$D60)</f>
        <v>222.20735969194476</v>
      </c>
      <c r="E61" s="9">
        <f>IF(COUNTA($B$5:$B61)&lt;=E$1,AVERAGE($B$5:$B61),E$2*($B61-$E60)+$E60)</f>
        <v>222.63704631162577</v>
      </c>
      <c r="F61" s="7">
        <f t="shared" si="0"/>
        <v>-0.42968661968100719</v>
      </c>
      <c r="G61" s="7">
        <f>IF(COUNTA($F$5:$F61)&lt;=G$1,AVERAGE($F$5:$F61),G$2*($F61-$G60)+$G60)</f>
        <v>-0.54203377032588795</v>
      </c>
      <c r="H61" s="7">
        <f t="shared" si="1"/>
        <v>0.11234715064488077</v>
      </c>
    </row>
    <row r="62" spans="1:8" x14ac:dyDescent="0.2">
      <c r="A62" s="1">
        <v>45555</v>
      </c>
      <c r="B62">
        <v>228.2</v>
      </c>
      <c r="C62" s="9">
        <f>IF(COUNTA($B$5:$B62)&lt;=C$1,AVERAGE($B$5:$B62),C$2*($B62-$C61)+$C61)</f>
        <v>223.37387314344107</v>
      </c>
      <c r="D62" s="9">
        <f>IF(COUNTA($B$5:$B62)&lt;=D$1,AVERAGE($B$5:$B62),D$2*($B62-$D61)+$D61)</f>
        <v>223.12930435472248</v>
      </c>
      <c r="E62" s="9">
        <f>IF(COUNTA($B$5:$B62)&lt;=E$1,AVERAGE($B$5:$B62),E$2*($B62-$E61)+$E61)</f>
        <v>223.04911695520903</v>
      </c>
      <c r="F62" s="7">
        <f t="shared" si="0"/>
        <v>8.0187399513448554E-2</v>
      </c>
      <c r="G62" s="7">
        <f>IF(COUNTA($F$5:$F62)&lt;=G$1,AVERAGE($F$5:$F62),G$2*($F62-$G61)+$G61)</f>
        <v>-0.41758953635802065</v>
      </c>
      <c r="H62" s="7">
        <f t="shared" si="1"/>
        <v>0.49777693587146921</v>
      </c>
    </row>
    <row r="63" spans="1:8" x14ac:dyDescent="0.2">
      <c r="A63" s="1">
        <v>45558</v>
      </c>
      <c r="B63">
        <v>226.47</v>
      </c>
      <c r="C63" s="9">
        <f>IF(COUNTA($B$5:$B63)&lt;=C$1,AVERAGE($B$5:$B63),C$2*($B63-$C62)+$C62)</f>
        <v>223.99309851475286</v>
      </c>
      <c r="D63" s="9">
        <f>IF(COUNTA($B$5:$B63)&lt;=D$1,AVERAGE($B$5:$B63),D$2*($B63-$D62)+$D62)</f>
        <v>223.64325753091902</v>
      </c>
      <c r="E63" s="9">
        <f>IF(COUNTA($B$5:$B63)&lt;=E$1,AVERAGE($B$5:$B63),E$2*($B63-$E62)+$E62)</f>
        <v>223.30251569926762</v>
      </c>
      <c r="F63" s="7">
        <f t="shared" si="0"/>
        <v>0.34074183165139971</v>
      </c>
      <c r="G63" s="7">
        <f>IF(COUNTA($F$5:$F63)&lt;=G$1,AVERAGE($F$5:$F63),G$2*($F63-$G62)+$G62)</f>
        <v>-0.26592326275613654</v>
      </c>
      <c r="H63" s="7">
        <f t="shared" si="1"/>
        <v>0.60666509440753624</v>
      </c>
    </row>
    <row r="64" spans="1:8" x14ac:dyDescent="0.2">
      <c r="A64" s="1">
        <v>45559</v>
      </c>
      <c r="B64">
        <v>227.37</v>
      </c>
      <c r="C64" s="9">
        <f>IF(COUNTA($B$5:$B64)&lt;=C$1,AVERAGE($B$5:$B64),C$2*($B64-$C63)+$C63)</f>
        <v>224.66847881180229</v>
      </c>
      <c r="D64" s="9">
        <f>IF(COUNTA($B$5:$B64)&lt;=D$1,AVERAGE($B$5:$B64),D$2*($B64-$D63)+$D63)</f>
        <v>224.21660252616223</v>
      </c>
      <c r="E64" s="9">
        <f>IF(COUNTA($B$5:$B64)&lt;=E$1,AVERAGE($B$5:$B64),E$2*($B64-$E63)+$E63)</f>
        <v>223.6038108326552</v>
      </c>
      <c r="F64" s="7">
        <f t="shared" si="0"/>
        <v>0.61279169350703455</v>
      </c>
      <c r="G64" s="7">
        <f>IF(COUNTA($F$5:$F64)&lt;=G$1,AVERAGE($F$5:$F64),G$2*($F64-$G63)+$G63)</f>
        <v>-9.0180271503502302E-2</v>
      </c>
      <c r="H64" s="7">
        <f t="shared" si="1"/>
        <v>0.70297196501053683</v>
      </c>
    </row>
    <row r="65" spans="1:8" x14ac:dyDescent="0.2">
      <c r="A65" s="1">
        <v>45560</v>
      </c>
      <c r="B65">
        <v>226.37</v>
      </c>
      <c r="C65" s="9">
        <f>IF(COUNTA($B$5:$B65)&lt;=C$1,AVERAGE($B$5:$B65),C$2*($B65-$C64)+$C64)</f>
        <v>225.00878304944183</v>
      </c>
      <c r="D65" s="9">
        <f>IF(COUNTA($B$5:$B65)&lt;=D$1,AVERAGE($B$5:$B65),D$2*($B65-$D64)+$D64)</f>
        <v>224.54789444521421</v>
      </c>
      <c r="E65" s="9">
        <f>IF(COUNTA($B$5:$B65)&lt;=E$1,AVERAGE($B$5:$B65),E$2*($B65-$E64)+$E64)</f>
        <v>223.80871373394001</v>
      </c>
      <c r="F65" s="7">
        <f t="shared" si="0"/>
        <v>0.73918071127420149</v>
      </c>
      <c r="G65" s="7">
        <f>IF(COUNTA($F$5:$F65)&lt;=G$1,AVERAGE($F$5:$F65),G$2*($F65-$G64)+$G64)</f>
        <v>7.569192505203845E-2</v>
      </c>
      <c r="H65" s="7">
        <f t="shared" si="1"/>
        <v>0.66348878622216301</v>
      </c>
    </row>
    <row r="66" spans="1:8" x14ac:dyDescent="0.2">
      <c r="A66" s="1">
        <v>45561</v>
      </c>
      <c r="B66">
        <v>227.52</v>
      </c>
      <c r="C66" s="9">
        <f>IF(COUNTA($B$5:$B66)&lt;=C$1,AVERAGE($B$5:$B66),C$2*($B66-$C65)+$C65)</f>
        <v>225.51102643955346</v>
      </c>
      <c r="D66" s="9">
        <f>IF(COUNTA($B$5:$B66)&lt;=D$1,AVERAGE($B$5:$B66),D$2*($B66-$D65)+$D65)</f>
        <v>225.00514145364281</v>
      </c>
      <c r="E66" s="9">
        <f>IF(COUNTA($B$5:$B66)&lt;=E$1,AVERAGE($B$5:$B66),E$2*($B66-$E65)+$E65)</f>
        <v>224.08362382772222</v>
      </c>
      <c r="F66" s="7">
        <f t="shared" si="0"/>
        <v>0.92151762592058617</v>
      </c>
      <c r="G66" s="7">
        <f>IF(COUNTA($F$5:$F66)&lt;=G$1,AVERAGE($F$5:$F66),G$2*($F66-$G65)+$G65)</f>
        <v>0.24485706522574799</v>
      </c>
      <c r="H66" s="7">
        <f t="shared" si="1"/>
        <v>0.67666056069483815</v>
      </c>
    </row>
    <row r="67" spans="1:8" x14ac:dyDescent="0.2">
      <c r="A67" s="1">
        <v>45562</v>
      </c>
      <c r="B67">
        <v>227.79</v>
      </c>
      <c r="C67" s="9">
        <f>IF(COUNTA($B$5:$B67)&lt;=C$1,AVERAGE($B$5:$B67),C$2*($B67-$C66)+$C66)</f>
        <v>225.96682115164276</v>
      </c>
      <c r="D67" s="9">
        <f>IF(COUNTA($B$5:$B67)&lt;=D$1,AVERAGE($B$5:$B67),D$2*($B67-$D66)+$D66)</f>
        <v>225.43358123000544</v>
      </c>
      <c r="E67" s="9">
        <f>IF(COUNTA($B$5:$B67)&lt;=E$1,AVERAGE($B$5:$B67),E$2*($B67-$E66)+$E66)</f>
        <v>224.3581702108539</v>
      </c>
      <c r="F67" s="7">
        <f t="shared" si="0"/>
        <v>1.0754110191515451</v>
      </c>
      <c r="G67" s="7">
        <f>IF(COUNTA($F$5:$F67)&lt;=G$1,AVERAGE($F$5:$F67),G$2*($F67-$G66)+$G66)</f>
        <v>0.41096785601090746</v>
      </c>
      <c r="H67" s="7">
        <f t="shared" si="1"/>
        <v>0.66444316314063767</v>
      </c>
    </row>
    <row r="68" spans="1:8" x14ac:dyDescent="0.2">
      <c r="A68" s="1">
        <v>45565</v>
      </c>
      <c r="B68">
        <v>233</v>
      </c>
      <c r="C68" s="9">
        <f>IF(COUNTA($B$5:$B68)&lt;=C$1,AVERAGE($B$5:$B68),C$2*($B68-$C67)+$C67)</f>
        <v>227.37345692131422</v>
      </c>
      <c r="D68" s="9">
        <f>IF(COUNTA($B$5:$B68)&lt;=D$1,AVERAGE($B$5:$B68),D$2*($B68-$D67)+$D67)</f>
        <v>226.59764565615845</v>
      </c>
      <c r="E68" s="9">
        <f>IF(COUNTA($B$5:$B68)&lt;=E$1,AVERAGE($B$5:$B68),E$2*($B68-$E67)+$E67)</f>
        <v>224.99830575079065</v>
      </c>
      <c r="F68" s="7">
        <f t="shared" si="0"/>
        <v>1.599339905367799</v>
      </c>
      <c r="G68" s="7">
        <f>IF(COUNTA($F$5:$F68)&lt;=G$1,AVERAGE($F$5:$F68),G$2*($F68-$G67)+$G67)</f>
        <v>0.6486422658822858</v>
      </c>
      <c r="H68" s="7">
        <f t="shared" si="1"/>
        <v>0.95069763948551322</v>
      </c>
    </row>
    <row r="69" spans="1:8" x14ac:dyDescent="0.2">
      <c r="A69" s="1">
        <v>45566</v>
      </c>
      <c r="B69">
        <v>226.21</v>
      </c>
      <c r="C69" s="9">
        <f>IF(COUNTA($B$5:$B69)&lt;=C$1,AVERAGE($B$5:$B69),C$2*($B69-$C68)+$C68)</f>
        <v>227.14076553705138</v>
      </c>
      <c r="D69" s="9">
        <f>IF(COUNTA($B$5:$B69)&lt;=D$1,AVERAGE($B$5:$B69),D$2*($B69-$D68)+$D68)</f>
        <v>226.5380078629033</v>
      </c>
      <c r="E69" s="9">
        <f>IF(COUNTA($B$5:$B69)&lt;=E$1,AVERAGE($B$5:$B69),E$2*($B69-$E68)+$E68)</f>
        <v>225.08806088036172</v>
      </c>
      <c r="F69" s="7">
        <f t="shared" si="0"/>
        <v>1.4499469825415758</v>
      </c>
      <c r="G69" s="7">
        <f>IF(COUNTA($F$5:$F69)&lt;=G$1,AVERAGE($F$5:$F69),G$2*($F69-$G68)+$G68)</f>
        <v>0.80890320921414383</v>
      </c>
      <c r="H69" s="7">
        <f t="shared" si="1"/>
        <v>0.64104377332743201</v>
      </c>
    </row>
    <row r="70" spans="1:8" x14ac:dyDescent="0.2">
      <c r="A70" s="1">
        <v>45567</v>
      </c>
      <c r="B70">
        <v>226.78</v>
      </c>
      <c r="C70" s="9">
        <f>IF(COUNTA($B$5:$B70)&lt;=C$1,AVERAGE($B$5:$B70),C$2*($B70-$C69)+$C69)</f>
        <v>227.06861242964109</v>
      </c>
      <c r="D70" s="9">
        <f>IF(COUNTA($B$5:$B70)&lt;=D$1,AVERAGE($B$5:$B70),D$2*($B70-$D69)+$D69)</f>
        <v>226.57523742245664</v>
      </c>
      <c r="E70" s="9">
        <f>IF(COUNTA($B$5:$B70)&lt;=E$1,AVERAGE($B$5:$B70),E$2*($B70-$E69)+$E69)</f>
        <v>225.21338970403863</v>
      </c>
      <c r="F70" s="7">
        <f t="shared" si="0"/>
        <v>1.3618477184180051</v>
      </c>
      <c r="G70" s="7">
        <f>IF(COUNTA($F$5:$F70)&lt;=G$1,AVERAGE($F$5:$F70),G$2*($F70-$G69)+$G69)</f>
        <v>0.91949211105491613</v>
      </c>
      <c r="H70" s="7">
        <f t="shared" si="1"/>
        <v>0.44235560736308899</v>
      </c>
    </row>
    <row r="71" spans="1:8" x14ac:dyDescent="0.2">
      <c r="A71" s="1">
        <v>45568</v>
      </c>
      <c r="B71">
        <v>225.67</v>
      </c>
      <c r="C71" s="9">
        <f>IF(COUNTA($B$5:$B71)&lt;=C$1,AVERAGE($B$5:$B71),C$2*($B71-$C70)+$C70)</f>
        <v>226.78888994371286</v>
      </c>
      <c r="D71" s="9">
        <f>IF(COUNTA($B$5:$B71)&lt;=D$1,AVERAGE($B$5:$B71),D$2*($B71-$D70)+$D70)</f>
        <v>226.43597012669409</v>
      </c>
      <c r="E71" s="9">
        <f>IF(COUNTA($B$5:$B71)&lt;=E$1,AVERAGE($B$5:$B71),E$2*($B71-$E70)+$E70)</f>
        <v>225.24721268892466</v>
      </c>
      <c r="F71" s="7">
        <f t="shared" si="0"/>
        <v>1.188757437769425</v>
      </c>
      <c r="G71" s="7">
        <f>IF(COUNTA($F$5:$F71)&lt;=G$1,AVERAGE($F$5:$F71),G$2*($F71-$G70)+$G70)</f>
        <v>0.97334517639781792</v>
      </c>
      <c r="H71" s="7">
        <f t="shared" si="1"/>
        <v>0.21541226137160707</v>
      </c>
    </row>
    <row r="72" spans="1:8" x14ac:dyDescent="0.2">
      <c r="A72" s="1">
        <v>45569</v>
      </c>
      <c r="B72">
        <v>226.8</v>
      </c>
      <c r="C72" s="9">
        <f>IF(COUNTA($B$5:$B72)&lt;=C$1,AVERAGE($B$5:$B72),C$2*($B72-$C71)+$C71)</f>
        <v>226.79111195497029</v>
      </c>
      <c r="D72" s="9">
        <f>IF(COUNTA($B$5:$B72)&lt;=D$1,AVERAGE($B$5:$B72),D$2*($B72-$D71)+$D71)</f>
        <v>226.49197472258732</v>
      </c>
      <c r="E72" s="9">
        <f>IF(COUNTA($B$5:$B72)&lt;=E$1,AVERAGE($B$5:$B72),E$2*($B72-$E71)+$E71)</f>
        <v>225.36223397122654</v>
      </c>
      <c r="F72" s="7">
        <f t="shared" si="0"/>
        <v>1.1297407513607709</v>
      </c>
      <c r="G72" s="7">
        <f>IF(COUNTA($F$5:$F72)&lt;=G$1,AVERAGE($F$5:$F72),G$2*($F72-$G71)+$G71)</f>
        <v>1.0046242913904084</v>
      </c>
      <c r="H72" s="7">
        <f t="shared" si="1"/>
        <v>0.12511645997036247</v>
      </c>
    </row>
    <row r="73" spans="1:8" x14ac:dyDescent="0.2">
      <c r="A73" s="1">
        <v>45572</v>
      </c>
      <c r="B73">
        <v>221.69</v>
      </c>
      <c r="C73" s="9">
        <f>IF(COUNTA($B$5:$B73)&lt;=C$1,AVERAGE($B$5:$B73),C$2*($B73-$C72)+$C72)</f>
        <v>225.77088956397623</v>
      </c>
      <c r="D73" s="9">
        <f>IF(COUNTA($B$5:$B73)&lt;=D$1,AVERAGE($B$5:$B73),D$2*($B73-$D72)+$D72)</f>
        <v>225.75320938065082</v>
      </c>
      <c r="E73" s="9">
        <f>IF(COUNTA($B$5:$B73)&lt;=E$1,AVERAGE($B$5:$B73),E$2*($B73-$E72)+$E72)</f>
        <v>225.09021664002458</v>
      </c>
      <c r="F73" s="7">
        <f t="shared" si="0"/>
        <v>0.66299274062623681</v>
      </c>
      <c r="G73" s="7">
        <f>IF(COUNTA($F$5:$F73)&lt;=G$1,AVERAGE($F$5:$F73),G$2*($F73-$G72)+$G72)</f>
        <v>0.93629798123757413</v>
      </c>
      <c r="H73" s="7">
        <f t="shared" si="1"/>
        <v>-0.27330524061133732</v>
      </c>
    </row>
    <row r="74" spans="1:8" x14ac:dyDescent="0.2">
      <c r="A74" s="1">
        <v>45573</v>
      </c>
      <c r="B74">
        <v>225.77</v>
      </c>
      <c r="C74" s="9">
        <f>IF(COUNTA($B$5:$B74)&lt;=C$1,AVERAGE($B$5:$B74),C$2*($B74-$C73)+$C73)</f>
        <v>225.77071165118099</v>
      </c>
      <c r="D74" s="9">
        <f>IF(COUNTA($B$5:$B74)&lt;=D$1,AVERAGE($B$5:$B74),D$2*($B74-$D73)+$D73)</f>
        <v>225.7557925528584</v>
      </c>
      <c r="E74" s="9">
        <f>IF(COUNTA($B$5:$B74)&lt;=E$1,AVERAGE($B$5:$B74),E$2*($B74-$E73)+$E73)</f>
        <v>225.14057096298572</v>
      </c>
      <c r="F74" s="7">
        <f t="shared" si="0"/>
        <v>0.61522158987267517</v>
      </c>
      <c r="G74" s="7">
        <f>IF(COUNTA($F$5:$F74)&lt;=G$1,AVERAGE($F$5:$F74),G$2*($F74-$G73)+$G73)</f>
        <v>0.87208270296459434</v>
      </c>
      <c r="H74" s="7">
        <f t="shared" si="1"/>
        <v>-0.25686111309191917</v>
      </c>
    </row>
    <row r="75" spans="1:8" x14ac:dyDescent="0.2">
      <c r="A75" s="1">
        <v>45574</v>
      </c>
      <c r="B75">
        <v>229.54</v>
      </c>
      <c r="C75" s="9">
        <f>IF(COUNTA($B$5:$B75)&lt;=C$1,AVERAGE($B$5:$B75),C$2*($B75-$C74)+$C74)</f>
        <v>226.52456932094478</v>
      </c>
      <c r="D75" s="9">
        <f>IF(COUNTA($B$5:$B75)&lt;=D$1,AVERAGE($B$5:$B75),D$2*($B75-$D74)+$D74)</f>
        <v>226.33797831395711</v>
      </c>
      <c r="E75" s="9">
        <f>IF(COUNTA($B$5:$B75)&lt;=E$1,AVERAGE($B$5:$B75),E$2*($B75-$E74)+$E74)</f>
        <v>225.46645459535713</v>
      </c>
      <c r="F75" s="7">
        <f t="shared" si="0"/>
        <v>0.87152371859997402</v>
      </c>
      <c r="G75" s="7">
        <f>IF(COUNTA($F$5:$F75)&lt;=G$1,AVERAGE($F$5:$F75),G$2*($F75-$G74)+$G74)</f>
        <v>0.87197090609167027</v>
      </c>
      <c r="H75" s="7">
        <f t="shared" si="1"/>
        <v>-4.4718749169625482E-4</v>
      </c>
    </row>
    <row r="76" spans="1:8" x14ac:dyDescent="0.2">
      <c r="A76" s="1">
        <v>45575</v>
      </c>
      <c r="B76">
        <v>229.04</v>
      </c>
      <c r="C76" s="9">
        <f>IF(COUNTA($B$5:$B76)&lt;=C$1,AVERAGE($B$5:$B76),C$2*($B76-$C75)+$C75)</f>
        <v>227.02765545675581</v>
      </c>
      <c r="D76" s="9">
        <f>IF(COUNTA($B$5:$B76)&lt;=D$1,AVERAGE($B$5:$B76),D$2*($B76-$D75)+$D75)</f>
        <v>226.75367395796371</v>
      </c>
      <c r="E76" s="9">
        <f>IF(COUNTA($B$5:$B76)&lt;=E$1,AVERAGE($B$5:$B76),E$2*($B76-$E75)+$E75)</f>
        <v>225.73116166236773</v>
      </c>
      <c r="F76" s="7">
        <f t="shared" si="0"/>
        <v>1.0225122955959876</v>
      </c>
      <c r="G76" s="7">
        <f>IF(COUNTA($F$5:$F76)&lt;=G$1,AVERAGE($F$5:$F76),G$2*($F76-$G75)+$G75)</f>
        <v>0.90207918399253373</v>
      </c>
      <c r="H76" s="7">
        <f t="shared" si="1"/>
        <v>0.12043311160345382</v>
      </c>
    </row>
    <row r="77" spans="1:8" x14ac:dyDescent="0.2">
      <c r="A77" s="1">
        <v>45576</v>
      </c>
      <c r="B77">
        <v>227.55</v>
      </c>
      <c r="C77" s="9">
        <f>IF(COUNTA($B$5:$B77)&lt;=C$1,AVERAGE($B$5:$B77),C$2*($B77-$C76)+$C76)</f>
        <v>227.13212436540465</v>
      </c>
      <c r="D77" s="9">
        <f>IF(COUNTA($B$5:$B77)&lt;=D$1,AVERAGE($B$5:$B77),D$2*($B77-$D76)+$D76)</f>
        <v>226.87618565673853</v>
      </c>
      <c r="E77" s="9">
        <f>IF(COUNTA($B$5:$B77)&lt;=E$1,AVERAGE($B$5:$B77),E$2*($B77-$E76)+$E76)</f>
        <v>225.86589042811826</v>
      </c>
      <c r="F77" s="7">
        <f t="shared" si="0"/>
        <v>1.0102952286202651</v>
      </c>
      <c r="G77" s="7">
        <f>IF(COUNTA($F$5:$F77)&lt;=G$1,AVERAGE($F$5:$F77),G$2*($F77-$G76)+$G76)</f>
        <v>0.92372239291808</v>
      </c>
      <c r="H77" s="7">
        <f t="shared" si="1"/>
        <v>8.6572835702185102E-2</v>
      </c>
    </row>
    <row r="78" spans="1:8" x14ac:dyDescent="0.2">
      <c r="A78" s="1">
        <v>45579</v>
      </c>
      <c r="B78">
        <v>231.3</v>
      </c>
      <c r="C78" s="9">
        <f>IF(COUNTA($B$5:$B78)&lt;=C$1,AVERAGE($B$5:$B78),C$2*($B78-$C77)+$C77)</f>
        <v>227.96569949232372</v>
      </c>
      <c r="D78" s="9">
        <f>IF(COUNTA($B$5:$B78)&lt;=D$1,AVERAGE($B$5:$B78),D$2*($B78-$D77)+$D77)</f>
        <v>227.55677247877875</v>
      </c>
      <c r="E78" s="9">
        <f>IF(COUNTA($B$5:$B78)&lt;=E$1,AVERAGE($B$5:$B78),E$2*($B78-$E77)+$E77)</f>
        <v>226.26841706307246</v>
      </c>
      <c r="F78" s="7">
        <f t="shared" si="0"/>
        <v>1.2883554157062918</v>
      </c>
      <c r="G78" s="7">
        <f>IF(COUNTA($F$5:$F78)&lt;=G$1,AVERAGE($F$5:$F78),G$2*($F78-$G77)+$G77)</f>
        <v>0.99664899747572233</v>
      </c>
      <c r="H78" s="7">
        <f t="shared" si="1"/>
        <v>0.29170641823056942</v>
      </c>
    </row>
    <row r="79" spans="1:8" x14ac:dyDescent="0.2">
      <c r="A79" s="1">
        <v>45580</v>
      </c>
      <c r="B79">
        <v>233.85</v>
      </c>
      <c r="C79" s="9">
        <f>IF(COUNTA($B$5:$B79)&lt;=C$1,AVERAGE($B$5:$B79),C$2*($B79-$C78)+$C78)</f>
        <v>229.14255959385898</v>
      </c>
      <c r="D79" s="9">
        <f>IF(COUNTA($B$5:$B79)&lt;=D$1,AVERAGE($B$5:$B79),D$2*($B79-$D78)+$D78)</f>
        <v>228.52496132819741</v>
      </c>
      <c r="E79" s="9">
        <f>IF(COUNTA($B$5:$B79)&lt;=E$1,AVERAGE($B$5:$B79),E$2*($B79-$E78)+$E78)</f>
        <v>226.83001579914117</v>
      </c>
      <c r="F79" s="7">
        <f t="shared" si="0"/>
        <v>1.6949455290562412</v>
      </c>
      <c r="G79" s="7">
        <f>IF(COUNTA($F$5:$F79)&lt;=G$1,AVERAGE($F$5:$F79),G$2*($F79-$G78)+$G78)</f>
        <v>1.136308303791826</v>
      </c>
      <c r="H79" s="7">
        <f t="shared" si="1"/>
        <v>0.55863722526441517</v>
      </c>
    </row>
    <row r="80" spans="1:8" x14ac:dyDescent="0.2">
      <c r="A80" s="1">
        <v>45581</v>
      </c>
      <c r="B80">
        <v>231.78</v>
      </c>
      <c r="C80" s="9">
        <f>IF(COUNTA($B$5:$B80)&lt;=C$1,AVERAGE($B$5:$B80),C$2*($B80-$C79)+$C79)</f>
        <v>229.67004767508718</v>
      </c>
      <c r="D80" s="9">
        <f>IF(COUNTA($B$5:$B80)&lt;=D$1,AVERAGE($B$5:$B80),D$2*($B80-$D79)+$D79)</f>
        <v>229.02573650847472</v>
      </c>
      <c r="E80" s="9">
        <f>IF(COUNTA($B$5:$B80)&lt;=E$1,AVERAGE($B$5:$B80),E$2*($B80-$E79)+$E79)</f>
        <v>227.19668129550107</v>
      </c>
      <c r="F80" s="7">
        <f t="shared" si="0"/>
        <v>1.8290552129736568</v>
      </c>
      <c r="G80" s="7">
        <f>IF(COUNTA($F$5:$F80)&lt;=G$1,AVERAGE($F$5:$F80),G$2*($F80-$G79)+$G79)</f>
        <v>1.2748576856281921</v>
      </c>
      <c r="H80" s="7">
        <f t="shared" si="1"/>
        <v>0.55419752734546468</v>
      </c>
    </row>
    <row r="81" spans="1:8" x14ac:dyDescent="0.2">
      <c r="A81" s="1">
        <v>45582</v>
      </c>
      <c r="B81">
        <v>232.15</v>
      </c>
      <c r="C81" s="9">
        <f>IF(COUNTA($B$5:$B81)&lt;=C$1,AVERAGE($B$5:$B81),C$2*($B81-$C80)+$C80)</f>
        <v>230.16603814006973</v>
      </c>
      <c r="D81" s="9">
        <f>IF(COUNTA($B$5:$B81)&lt;=D$1,AVERAGE($B$5:$B81),D$2*($B81-$D80)+$D80)</f>
        <v>229.50639243024784</v>
      </c>
      <c r="E81" s="9">
        <f>IF(COUNTA($B$5:$B81)&lt;=E$1,AVERAGE($B$5:$B81),E$2*($B81-$E80)+$E80)</f>
        <v>227.5635937921306</v>
      </c>
      <c r="F81" s="7">
        <f t="shared" si="0"/>
        <v>1.9427986381172389</v>
      </c>
      <c r="G81" s="7">
        <f>IF(COUNTA($F$5:$F81)&lt;=G$1,AVERAGE($F$5:$F81),G$2*($F81-$G80)+$G80)</f>
        <v>1.4084458761260015</v>
      </c>
      <c r="H81" s="7">
        <f t="shared" si="1"/>
        <v>0.53435276199123738</v>
      </c>
    </row>
    <row r="82" spans="1:8" x14ac:dyDescent="0.2">
      <c r="A82" s="1">
        <v>45583</v>
      </c>
      <c r="B82">
        <v>235</v>
      </c>
      <c r="C82" s="9">
        <f>IF(COUNTA($B$5:$B82)&lt;=C$1,AVERAGE($B$5:$B82),C$2*($B82-$C81)+$C81)</f>
        <v>231.13283051205579</v>
      </c>
      <c r="D82" s="9">
        <f>IF(COUNTA($B$5:$B82)&lt;=D$1,AVERAGE($B$5:$B82),D$2*($B82-$D81)+$D81)</f>
        <v>230.35156282559433</v>
      </c>
      <c r="E82" s="9">
        <f>IF(COUNTA($B$5:$B82)&lt;=E$1,AVERAGE($B$5:$B82),E$2*($B82-$E81)+$E81)</f>
        <v>228.11443869641724</v>
      </c>
      <c r="F82" s="7">
        <f t="shared" ref="F82:F145" si="2">D82-E82</f>
        <v>2.23712412917709</v>
      </c>
      <c r="G82" s="7">
        <f>IF(COUNTA($F$5:$F82)&lt;=G$1,AVERAGE($F$5:$F82),G$2*($F82-$G81)+$G81)</f>
        <v>1.5741815267362191</v>
      </c>
      <c r="H82" s="7">
        <f t="shared" ref="H82:H145" si="3">F82-G82</f>
        <v>0.66294260244087089</v>
      </c>
    </row>
    <row r="83" spans="1:8" x14ac:dyDescent="0.2">
      <c r="A83" s="1">
        <v>45586</v>
      </c>
      <c r="B83">
        <v>236.48</v>
      </c>
      <c r="C83" s="9">
        <f>IF(COUNTA($B$5:$B83)&lt;=C$1,AVERAGE($B$5:$B83),C$2*($B83-$C82)+$C82)</f>
        <v>232.20226440964464</v>
      </c>
      <c r="D83" s="9">
        <f>IF(COUNTA($B$5:$B83)&lt;=D$1,AVERAGE($B$5:$B83),D$2*($B83-$D82)+$D82)</f>
        <v>231.29439931396442</v>
      </c>
      <c r="E83" s="9">
        <f>IF(COUNTA($B$5:$B83)&lt;=E$1,AVERAGE($B$5:$B83),E$2*($B83-$E82)+$E82)</f>
        <v>228.73410990409005</v>
      </c>
      <c r="F83" s="7">
        <f t="shared" si="2"/>
        <v>2.5602894098743718</v>
      </c>
      <c r="G83" s="7">
        <f>IF(COUNTA($F$5:$F83)&lt;=G$1,AVERAGE($F$5:$F83),G$2*($F83-$G82)+$G82)</f>
        <v>1.7714031033638498</v>
      </c>
      <c r="H83" s="7">
        <f t="shared" si="3"/>
        <v>0.78888630651052205</v>
      </c>
    </row>
    <row r="84" spans="1:8" x14ac:dyDescent="0.2">
      <c r="A84" s="1">
        <v>45587</v>
      </c>
      <c r="B84">
        <v>235.86</v>
      </c>
      <c r="C84" s="9">
        <f>IF(COUNTA($B$5:$B84)&lt;=C$1,AVERAGE($B$5:$B84),C$2*($B84-$C83)+$C83)</f>
        <v>232.9338115277157</v>
      </c>
      <c r="D84" s="9">
        <f>IF(COUNTA($B$5:$B84)&lt;=D$1,AVERAGE($B$5:$B84),D$2*($B84-$D83)+$D83)</f>
        <v>231.99679941950836</v>
      </c>
      <c r="E84" s="9">
        <f>IF(COUNTA($B$5:$B84)&lt;=E$1,AVERAGE($B$5:$B84),E$2*($B84-$E83)+$E83)</f>
        <v>229.2619536148982</v>
      </c>
      <c r="F84" s="7">
        <f t="shared" si="2"/>
        <v>2.7348458046101598</v>
      </c>
      <c r="G84" s="7">
        <f>IF(COUNTA($F$5:$F84)&lt;=G$1,AVERAGE($F$5:$F84),G$2*($F84-$G83)+$G83)</f>
        <v>1.9640916436131117</v>
      </c>
      <c r="H84" s="7">
        <f t="shared" si="3"/>
        <v>0.77075416099704808</v>
      </c>
    </row>
    <row r="85" spans="1:8" x14ac:dyDescent="0.2">
      <c r="A85" s="1">
        <v>45588</v>
      </c>
      <c r="B85">
        <v>230.76</v>
      </c>
      <c r="C85" s="9">
        <f>IF(COUNTA($B$5:$B85)&lt;=C$1,AVERAGE($B$5:$B85),C$2*($B85-$C84)+$C84)</f>
        <v>232.49904922217257</v>
      </c>
      <c r="D85" s="9">
        <f>IF(COUNTA($B$5:$B85)&lt;=D$1,AVERAGE($B$5:$B85),D$2*($B85-$D84)+$D84)</f>
        <v>231.80652258573784</v>
      </c>
      <c r="E85" s="9">
        <f>IF(COUNTA($B$5:$B85)&lt;=E$1,AVERAGE($B$5:$B85),E$2*($B85-$E84)+$E84)</f>
        <v>229.37292001379464</v>
      </c>
      <c r="F85" s="7">
        <f t="shared" si="2"/>
        <v>2.4336025719431973</v>
      </c>
      <c r="G85" s="7">
        <f>IF(COUNTA($F$5:$F85)&lt;=G$1,AVERAGE($F$5:$F85),G$2*($F85-$G84)+$G84)</f>
        <v>2.0579938292791287</v>
      </c>
      <c r="H85" s="7">
        <f t="shared" si="3"/>
        <v>0.37560874266406863</v>
      </c>
    </row>
    <row r="86" spans="1:8" x14ac:dyDescent="0.2">
      <c r="A86" s="1">
        <v>45589</v>
      </c>
      <c r="B86">
        <v>230.57</v>
      </c>
      <c r="C86" s="9">
        <f>IF(COUNTA($B$5:$B86)&lt;=C$1,AVERAGE($B$5:$B86),C$2*($B86-$C85)+$C85)</f>
        <v>232.11323937773807</v>
      </c>
      <c r="D86" s="9">
        <f>IF(COUNTA($B$5:$B86)&lt;=D$1,AVERAGE($B$5:$B86),D$2*($B86-$D85)+$D85)</f>
        <v>231.61628834177816</v>
      </c>
      <c r="E86" s="9">
        <f>IF(COUNTA($B$5:$B86)&lt;=E$1,AVERAGE($B$5:$B86),E$2*($B86-$E85)+$E85)</f>
        <v>229.46159260536541</v>
      </c>
      <c r="F86" s="7">
        <f t="shared" si="2"/>
        <v>2.1546957364127479</v>
      </c>
      <c r="G86" s="7">
        <f>IF(COUNTA($F$5:$F86)&lt;=G$1,AVERAGE($F$5:$F86),G$2*($F86-$G85)+$G85)</f>
        <v>2.0773342107058523</v>
      </c>
      <c r="H86" s="7">
        <f t="shared" si="3"/>
        <v>7.7361525706895584E-2</v>
      </c>
    </row>
    <row r="87" spans="1:8" x14ac:dyDescent="0.2">
      <c r="A87" s="1">
        <v>45590</v>
      </c>
      <c r="B87">
        <v>231.41</v>
      </c>
      <c r="C87" s="9">
        <f>IF(COUNTA($B$5:$B87)&lt;=C$1,AVERAGE($B$5:$B87),C$2*($B87-$C86)+$C86)</f>
        <v>231.97259150219045</v>
      </c>
      <c r="D87" s="9">
        <f>IF(COUNTA($B$5:$B87)&lt;=D$1,AVERAGE($B$5:$B87),D$2*($B87-$D86)+$D86)</f>
        <v>231.58455167381229</v>
      </c>
      <c r="E87" s="9">
        <f>IF(COUNTA($B$5:$B87)&lt;=E$1,AVERAGE($B$5:$B87),E$2*($B87-$E86)+$E86)</f>
        <v>229.60591907904205</v>
      </c>
      <c r="F87" s="7">
        <f t="shared" si="2"/>
        <v>1.9786325947702323</v>
      </c>
      <c r="G87" s="7">
        <f>IF(COUNTA($F$5:$F87)&lt;=G$1,AVERAGE($F$5:$F87),G$2*($F87-$G86)+$G86)</f>
        <v>2.0575938875187285</v>
      </c>
      <c r="H87" s="7">
        <f t="shared" si="3"/>
        <v>-7.896129274849617E-2</v>
      </c>
    </row>
    <row r="88" spans="1:8" x14ac:dyDescent="0.2">
      <c r="A88" s="1">
        <v>45593</v>
      </c>
      <c r="B88">
        <v>233.4</v>
      </c>
      <c r="C88" s="9">
        <f>IF(COUNTA($B$5:$B88)&lt;=C$1,AVERAGE($B$5:$B88),C$2*($B88-$C87)+$C87)</f>
        <v>232.25807320175235</v>
      </c>
      <c r="D88" s="9">
        <f>IF(COUNTA($B$5:$B88)&lt;=D$1,AVERAGE($B$5:$B88),D$2*($B88-$D87)+$D87)</f>
        <v>231.86385141630271</v>
      </c>
      <c r="E88" s="9">
        <f>IF(COUNTA($B$5:$B88)&lt;=E$1,AVERAGE($B$5:$B88),E$2*($B88-$E87)+$E87)</f>
        <v>229.88696211022412</v>
      </c>
      <c r="F88" s="7">
        <f t="shared" si="2"/>
        <v>1.9768893060785899</v>
      </c>
      <c r="G88" s="7">
        <f>IF(COUNTA($F$5:$F88)&lt;=G$1,AVERAGE($F$5:$F88),G$2*($F88-$G87)+$G87)</f>
        <v>2.0414529712307008</v>
      </c>
      <c r="H88" s="7">
        <f t="shared" si="3"/>
        <v>-6.4563665152110872E-2</v>
      </c>
    </row>
    <row r="89" spans="1:8" x14ac:dyDescent="0.2">
      <c r="A89" s="1">
        <v>45594</v>
      </c>
      <c r="B89">
        <v>233.67</v>
      </c>
      <c r="C89" s="9">
        <f>IF(COUNTA($B$5:$B89)&lt;=C$1,AVERAGE($B$5:$B89),C$2*($B89-$C88)+$C88)</f>
        <v>232.54045856140189</v>
      </c>
      <c r="D89" s="9">
        <f>IF(COUNTA($B$5:$B89)&lt;=D$1,AVERAGE($B$5:$B89),D$2*($B89-$D88)+$D88)</f>
        <v>232.1417204291792</v>
      </c>
      <c r="E89" s="9">
        <f>IF(COUNTA($B$5:$B89)&lt;=E$1,AVERAGE($B$5:$B89),E$2*($B89-$E88)+$E88)</f>
        <v>230.1671871390964</v>
      </c>
      <c r="F89" s="7">
        <f t="shared" si="2"/>
        <v>1.9745332900828032</v>
      </c>
      <c r="G89" s="7">
        <f>IF(COUNTA($F$5:$F89)&lt;=G$1,AVERAGE($F$5:$F89),G$2*($F89-$G88)+$G88)</f>
        <v>2.0280690350011215</v>
      </c>
      <c r="H89" s="7">
        <f t="shared" si="3"/>
        <v>-5.3535744918318251E-2</v>
      </c>
    </row>
    <row r="90" spans="1:8" x14ac:dyDescent="0.2">
      <c r="A90" s="1">
        <v>45595</v>
      </c>
      <c r="B90">
        <v>230.1</v>
      </c>
      <c r="C90" s="9">
        <f>IF(COUNTA($B$5:$B90)&lt;=C$1,AVERAGE($B$5:$B90),C$2*($B90-$C89)+$C89)</f>
        <v>232.05236684912151</v>
      </c>
      <c r="D90" s="9">
        <f>IF(COUNTA($B$5:$B90)&lt;=D$1,AVERAGE($B$5:$B90),D$2*($B90-$D89)+$D89)</f>
        <v>231.82760959392087</v>
      </c>
      <c r="E90" s="9">
        <f>IF(COUNTA($B$5:$B90)&lt;=E$1,AVERAGE($B$5:$B90),E$2*($B90-$E89)+$E89)</f>
        <v>230.16221031397814</v>
      </c>
      <c r="F90" s="7">
        <f t="shared" si="2"/>
        <v>1.6653992799427328</v>
      </c>
      <c r="G90" s="7">
        <f>IF(COUNTA($F$5:$F90)&lt;=G$1,AVERAGE($F$5:$F90),G$2*($F90-$G89)+$G89)</f>
        <v>1.9555350839894436</v>
      </c>
      <c r="H90" s="7">
        <f t="shared" si="3"/>
        <v>-0.2901358040467108</v>
      </c>
    </row>
    <row r="91" spans="1:8" x14ac:dyDescent="0.2">
      <c r="A91" s="1">
        <v>45596</v>
      </c>
      <c r="B91">
        <v>225.91</v>
      </c>
      <c r="C91" s="9">
        <f>IF(COUNTA($B$5:$B91)&lt;=C$1,AVERAGE($B$5:$B91),C$2*($B91-$C90)+$C90)</f>
        <v>230.8238934792972</v>
      </c>
      <c r="D91" s="9">
        <f>IF(COUNTA($B$5:$B91)&lt;=D$1,AVERAGE($B$5:$B91),D$2*($B91-$D90)+$D90)</f>
        <v>230.91720811793303</v>
      </c>
      <c r="E91" s="9">
        <f>IF(COUNTA($B$5:$B91)&lt;=E$1,AVERAGE($B$5:$B91),E$2*($B91-$E90)+$E90)</f>
        <v>229.84723177220198</v>
      </c>
      <c r="F91" s="7">
        <f t="shared" si="2"/>
        <v>1.0699763457310496</v>
      </c>
      <c r="G91" s="7">
        <f>IF(COUNTA($F$5:$F91)&lt;=G$1,AVERAGE($F$5:$F91),G$2*($F91-$G90)+$G90)</f>
        <v>1.7784233363377648</v>
      </c>
      <c r="H91" s="7">
        <f t="shared" si="3"/>
        <v>-0.70844699060671523</v>
      </c>
    </row>
    <row r="92" spans="1:8" x14ac:dyDescent="0.2">
      <c r="A92" s="1">
        <v>45597</v>
      </c>
      <c r="B92">
        <v>222.91</v>
      </c>
      <c r="C92" s="9">
        <f>IF(COUNTA($B$5:$B92)&lt;=C$1,AVERAGE($B$5:$B92),C$2*($B92-$C91)+$C91)</f>
        <v>229.24111478343775</v>
      </c>
      <c r="D92" s="9">
        <f>IF(COUNTA($B$5:$B92)&lt;=D$1,AVERAGE($B$5:$B92),D$2*($B92-$D91)+$D91)</f>
        <v>229.68532994594332</v>
      </c>
      <c r="E92" s="9">
        <f>IF(COUNTA($B$5:$B92)&lt;=E$1,AVERAGE($B$5:$B92),E$2*($B92-$E91)+$E91)</f>
        <v>229.33336275203888</v>
      </c>
      <c r="F92" s="7">
        <f t="shared" si="2"/>
        <v>0.35196719390444287</v>
      </c>
      <c r="G92" s="7">
        <f>IF(COUNTA($F$5:$F92)&lt;=G$1,AVERAGE($F$5:$F92),G$2*($F92-$G91)+$G91)</f>
        <v>1.4931321078511004</v>
      </c>
      <c r="H92" s="7">
        <f t="shared" si="3"/>
        <v>-1.1411649139466575</v>
      </c>
    </row>
    <row r="93" spans="1:8" x14ac:dyDescent="0.2">
      <c r="A93" s="1">
        <v>45600</v>
      </c>
      <c r="B93">
        <v>222.01</v>
      </c>
      <c r="C93" s="9">
        <f>IF(COUNTA($B$5:$B93)&lt;=C$1,AVERAGE($B$5:$B93),C$2*($B93-$C92)+$C92)</f>
        <v>227.79489182675019</v>
      </c>
      <c r="D93" s="9">
        <f>IF(COUNTA($B$5:$B93)&lt;=D$1,AVERAGE($B$5:$B93),D$2*($B93-$D92)+$D92)</f>
        <v>228.50450995425973</v>
      </c>
      <c r="E93" s="9">
        <f>IF(COUNTA($B$5:$B93)&lt;=E$1,AVERAGE($B$5:$B93),E$2*($B93-$E92)+$E92)</f>
        <v>228.79089143707304</v>
      </c>
      <c r="F93" s="7">
        <f t="shared" si="2"/>
        <v>-0.28638148281331155</v>
      </c>
      <c r="G93" s="7">
        <f>IF(COUNTA($F$5:$F93)&lt;=G$1,AVERAGE($F$5:$F93),G$2*($F93-$G92)+$G92)</f>
        <v>1.137229389718218</v>
      </c>
      <c r="H93" s="7">
        <f t="shared" si="3"/>
        <v>-1.4236108725315295</v>
      </c>
    </row>
    <row r="94" spans="1:8" x14ac:dyDescent="0.2">
      <c r="A94" s="1">
        <v>45601</v>
      </c>
      <c r="B94">
        <v>223.45</v>
      </c>
      <c r="C94" s="9">
        <f>IF(COUNTA($B$5:$B94)&lt;=C$1,AVERAGE($B$5:$B94),C$2*($B94-$C93)+$C93)</f>
        <v>226.92591346140014</v>
      </c>
      <c r="D94" s="9">
        <f>IF(COUNTA($B$5:$B94)&lt;=D$1,AVERAGE($B$5:$B94),D$2*($B94-$D93)+$D93)</f>
        <v>227.72689303821977</v>
      </c>
      <c r="E94" s="9">
        <f>IF(COUNTA($B$5:$B94)&lt;=E$1,AVERAGE($B$5:$B94),E$2*($B94-$E93)+$E93)</f>
        <v>228.3952698491417</v>
      </c>
      <c r="F94" s="7">
        <f t="shared" si="2"/>
        <v>-0.66837681092192724</v>
      </c>
      <c r="G94" s="7">
        <f>IF(COUNTA($F$5:$F94)&lt;=G$1,AVERAGE($F$5:$F94),G$2*($F94-$G93)+$G93)</f>
        <v>0.77610814959018892</v>
      </c>
      <c r="H94" s="7">
        <f t="shared" si="3"/>
        <v>-1.4444849605121162</v>
      </c>
    </row>
    <row r="95" spans="1:8" x14ac:dyDescent="0.2">
      <c r="A95" s="1">
        <v>45602</v>
      </c>
      <c r="B95">
        <v>222.72</v>
      </c>
      <c r="C95" s="9">
        <f>IF(COUNTA($B$5:$B95)&lt;=C$1,AVERAGE($B$5:$B95),C$2*($B95-$C94)+$C94)</f>
        <v>226.08473076912011</v>
      </c>
      <c r="D95" s="9">
        <f>IF(COUNTA($B$5:$B95)&lt;=D$1,AVERAGE($B$5:$B95),D$2*($B95-$D94)+$D94)</f>
        <v>226.95660180157057</v>
      </c>
      <c r="E95" s="9">
        <f>IF(COUNTA($B$5:$B95)&lt;=E$1,AVERAGE($B$5:$B95),E$2*($B95-$E94)+$E94)</f>
        <v>227.97487948994601</v>
      </c>
      <c r="F95" s="7">
        <f t="shared" si="2"/>
        <v>-1.0182776883754343</v>
      </c>
      <c r="G95" s="7">
        <f>IF(COUNTA($F$5:$F95)&lt;=G$1,AVERAGE($F$5:$F95),G$2*($F95-$G94)+$G94)</f>
        <v>0.41723098199706427</v>
      </c>
      <c r="H95" s="7">
        <f t="shared" si="3"/>
        <v>-1.4355086703724986</v>
      </c>
    </row>
    <row r="96" spans="1:8" x14ac:dyDescent="0.2">
      <c r="A96" s="1">
        <v>45603</v>
      </c>
      <c r="B96">
        <v>227.48</v>
      </c>
      <c r="C96" s="9">
        <f>IF(COUNTA($B$5:$B96)&lt;=C$1,AVERAGE($B$5:$B96),C$2*($B96-$C95)+$C95)</f>
        <v>226.36378461529608</v>
      </c>
      <c r="D96" s="9">
        <f>IF(COUNTA($B$5:$B96)&lt;=D$1,AVERAGE($B$5:$B96),D$2*($B96-$D95)+$D95)</f>
        <v>227.03712460132894</v>
      </c>
      <c r="E96" s="9">
        <f>IF(COUNTA($B$5:$B96)&lt;=E$1,AVERAGE($B$5:$B96),E$2*($B96-$E95)+$E95)</f>
        <v>227.93822174995</v>
      </c>
      <c r="F96" s="7">
        <f t="shared" si="2"/>
        <v>-0.90109714862106216</v>
      </c>
      <c r="G96" s="7">
        <f>IF(COUNTA($F$5:$F96)&lt;=G$1,AVERAGE($F$5:$F96),G$2*($F96-$G95)+$G95)</f>
        <v>0.15356535587343895</v>
      </c>
      <c r="H96" s="7">
        <f t="shared" si="3"/>
        <v>-1.0546625044945011</v>
      </c>
    </row>
    <row r="97" spans="1:8" x14ac:dyDescent="0.2">
      <c r="A97" s="1">
        <v>45604</v>
      </c>
      <c r="B97">
        <v>226.96</v>
      </c>
      <c r="C97" s="9">
        <f>IF(COUNTA($B$5:$B97)&lt;=C$1,AVERAGE($B$5:$B97),C$2*($B97-$C96)+$C96)</f>
        <v>226.48302769223687</v>
      </c>
      <c r="D97" s="9">
        <f>IF(COUNTA($B$5:$B97)&lt;=D$1,AVERAGE($B$5:$B97),D$2*($B97-$D96)+$D96)</f>
        <v>227.02525927804757</v>
      </c>
      <c r="E97" s="9">
        <f>IF(COUNTA($B$5:$B97)&lt;=E$1,AVERAGE($B$5:$B97),E$2*($B97-$E96)+$E96)</f>
        <v>227.86576087958335</v>
      </c>
      <c r="F97" s="7">
        <f t="shared" si="2"/>
        <v>-0.84050160153577735</v>
      </c>
      <c r="G97" s="7">
        <f>IF(COUNTA($F$5:$F97)&lt;=G$1,AVERAGE($F$5:$F97),G$2*($F97-$G96)+$G96)</f>
        <v>-4.5248035608404319E-2</v>
      </c>
      <c r="H97" s="7">
        <f t="shared" si="3"/>
        <v>-0.79525356592737306</v>
      </c>
    </row>
    <row r="98" spans="1:8" x14ac:dyDescent="0.2">
      <c r="A98" s="1">
        <v>45607</v>
      </c>
      <c r="B98">
        <v>224.23</v>
      </c>
      <c r="C98" s="9">
        <f>IF(COUNTA($B$5:$B98)&lt;=C$1,AVERAGE($B$5:$B98),C$2*($B98-$C97)+$C97)</f>
        <v>226.0324221537895</v>
      </c>
      <c r="D98" s="9">
        <f>IF(COUNTA($B$5:$B98)&lt;=D$1,AVERAGE($B$5:$B98),D$2*($B98-$D97)+$D97)</f>
        <v>226.59521938911718</v>
      </c>
      <c r="E98" s="9">
        <f>IF(COUNTA($B$5:$B98)&lt;=E$1,AVERAGE($B$5:$B98),E$2*($B98-$E97)+$E97)</f>
        <v>227.59644525887347</v>
      </c>
      <c r="F98" s="7">
        <f t="shared" si="2"/>
        <v>-1.001225869756297</v>
      </c>
      <c r="G98" s="7">
        <f>IF(COUNTA($F$5:$F98)&lt;=G$1,AVERAGE($F$5:$F98),G$2*($F98-$G97)+$G97)</f>
        <v>-0.23644360243798287</v>
      </c>
      <c r="H98" s="7">
        <f t="shared" si="3"/>
        <v>-0.76478226731831411</v>
      </c>
    </row>
    <row r="99" spans="1:8" x14ac:dyDescent="0.2">
      <c r="A99" s="1">
        <v>45608</v>
      </c>
      <c r="B99">
        <v>224.23</v>
      </c>
      <c r="C99" s="9">
        <f>IF(COUNTA($B$5:$B99)&lt;=C$1,AVERAGE($B$5:$B99),C$2*($B99-$C98)+$C98)</f>
        <v>225.67193772303159</v>
      </c>
      <c r="D99" s="9">
        <f>IF(COUNTA($B$5:$B99)&lt;=D$1,AVERAGE($B$5:$B99),D$2*($B99-$D98)+$D98)</f>
        <v>226.23133948309913</v>
      </c>
      <c r="E99" s="9">
        <f>IF(COUNTA($B$5:$B99)&lt;=E$1,AVERAGE($B$5:$B99),E$2*($B99-$E98)+$E98)</f>
        <v>227.34707894340136</v>
      </c>
      <c r="F99" s="7">
        <f t="shared" si="2"/>
        <v>-1.1157394603022226</v>
      </c>
      <c r="G99" s="7">
        <f>IF(COUNTA($F$5:$F99)&lt;=G$1,AVERAGE($F$5:$F99),G$2*($F99-$G98)+$G98)</f>
        <v>-0.41230277401083082</v>
      </c>
      <c r="H99" s="7">
        <f t="shared" si="3"/>
        <v>-0.70343668629139178</v>
      </c>
    </row>
    <row r="100" spans="1:8" x14ac:dyDescent="0.2">
      <c r="A100" s="1">
        <v>45609</v>
      </c>
      <c r="B100">
        <v>225.12</v>
      </c>
      <c r="C100" s="9">
        <f>IF(COUNTA($B$5:$B100)&lt;=C$1,AVERAGE($B$5:$B100),C$2*($B100-$C99)+$C99)</f>
        <v>225.56155017842528</v>
      </c>
      <c r="D100" s="9">
        <f>IF(COUNTA($B$5:$B100)&lt;=D$1,AVERAGE($B$5:$B100),D$2*($B100-$D99)+$D99)</f>
        <v>226.06036417800695</v>
      </c>
      <c r="E100" s="9">
        <f>IF(COUNTA($B$5:$B100)&lt;=E$1,AVERAGE($B$5:$B100),E$2*($B100-$E99)+$E99)</f>
        <v>227.18211013277903</v>
      </c>
      <c r="F100" s="7">
        <f t="shared" si="2"/>
        <v>-1.1217459547720807</v>
      </c>
      <c r="G100" s="7">
        <f>IF(COUNTA($F$5:$F100)&lt;=G$1,AVERAGE($F$5:$F100),G$2*($F100-$G99)+$G99)</f>
        <v>-0.55419141016308082</v>
      </c>
      <c r="H100" s="7">
        <f t="shared" si="3"/>
        <v>-0.5675545446089999</v>
      </c>
    </row>
    <row r="101" spans="1:8" x14ac:dyDescent="0.2">
      <c r="A101" s="1">
        <v>45610</v>
      </c>
      <c r="B101">
        <v>228.22</v>
      </c>
      <c r="C101" s="9">
        <f>IF(COUNTA($B$5:$B101)&lt;=C$1,AVERAGE($B$5:$B101),C$2*($B101-$C100)+$C100)</f>
        <v>226.09324014274023</v>
      </c>
      <c r="D101" s="9">
        <f>IF(COUNTA($B$5:$B101)&lt;=D$1,AVERAGE($B$5:$B101),D$2*($B101-$D100)+$D100)</f>
        <v>226.39261584292896</v>
      </c>
      <c r="E101" s="9">
        <f>IF(COUNTA($B$5:$B101)&lt;=E$1,AVERAGE($B$5:$B101),E$2*($B101-$E100)+$E100)</f>
        <v>227.25899086368429</v>
      </c>
      <c r="F101" s="7">
        <f t="shared" si="2"/>
        <v>-0.8663750207553278</v>
      </c>
      <c r="G101" s="7">
        <f>IF(COUNTA($F$5:$F101)&lt;=G$1,AVERAGE($F$5:$F101),G$2*($F101-$G100)+$G100)</f>
        <v>-0.61662813228153024</v>
      </c>
      <c r="H101" s="7">
        <f t="shared" si="3"/>
        <v>-0.24974688847379756</v>
      </c>
    </row>
    <row r="102" spans="1:8" x14ac:dyDescent="0.2">
      <c r="A102" s="1">
        <v>45611</v>
      </c>
      <c r="B102">
        <v>225</v>
      </c>
      <c r="C102" s="9">
        <f>IF(COUNTA($B$5:$B102)&lt;=C$1,AVERAGE($B$5:$B102),C$2*($B102-$C101)+$C101)</f>
        <v>225.87459211419218</v>
      </c>
      <c r="D102" s="9">
        <f>IF(COUNTA($B$5:$B102)&lt;=D$1,AVERAGE($B$5:$B102),D$2*($B102-$D101)+$D101)</f>
        <v>226.17836725170912</v>
      </c>
      <c r="E102" s="9">
        <f>IF(COUNTA($B$5:$B102)&lt;=E$1,AVERAGE($B$5:$B102),E$2*($B102-$E101)+$E101)</f>
        <v>227.09165820711507</v>
      </c>
      <c r="F102" s="7">
        <f t="shared" si="2"/>
        <v>-0.91329095540595517</v>
      </c>
      <c r="G102" s="7">
        <f>IF(COUNTA($F$5:$F102)&lt;=G$1,AVERAGE($F$5:$F102),G$2*($F102-$G101)+$G101)</f>
        <v>-0.67596069690641525</v>
      </c>
      <c r="H102" s="7">
        <f t="shared" si="3"/>
        <v>-0.23733025849953993</v>
      </c>
    </row>
    <row r="103" spans="1:8" x14ac:dyDescent="0.2">
      <c r="A103" s="1">
        <v>45614</v>
      </c>
      <c r="B103">
        <v>228.02</v>
      </c>
      <c r="C103" s="9">
        <f>IF(COUNTA($B$5:$B103)&lt;=C$1,AVERAGE($B$5:$B103),C$2*($B103-$C102)+$C102)</f>
        <v>226.30367369135374</v>
      </c>
      <c r="D103" s="9">
        <f>IF(COUNTA($B$5:$B103)&lt;=D$1,AVERAGE($B$5:$B103),D$2*($B103-$D102)+$D102)</f>
        <v>226.46169536683078</v>
      </c>
      <c r="E103" s="9">
        <f>IF(COUNTA($B$5:$B103)&lt;=E$1,AVERAGE($B$5:$B103),E$2*($B103-$E102)+$E102)</f>
        <v>227.1604242658473</v>
      </c>
      <c r="F103" s="7">
        <f t="shared" si="2"/>
        <v>-0.69872889901651547</v>
      </c>
      <c r="G103" s="7">
        <f>IF(COUNTA($F$5:$F103)&lt;=G$1,AVERAGE($F$5:$F103),G$2*($F103-$G102)+$G102)</f>
        <v>-0.68051433732843525</v>
      </c>
      <c r="H103" s="7">
        <f t="shared" si="3"/>
        <v>-1.8214561688080222E-2</v>
      </c>
    </row>
    <row r="104" spans="1:8" x14ac:dyDescent="0.2">
      <c r="A104" s="1">
        <v>45615</v>
      </c>
      <c r="B104">
        <v>228.28</v>
      </c>
      <c r="C104" s="9">
        <f>IF(COUNTA($B$5:$B104)&lt;=C$1,AVERAGE($B$5:$B104),C$2*($B104-$C103)+$C103)</f>
        <v>226.698938953083</v>
      </c>
      <c r="D104" s="9">
        <f>IF(COUNTA($B$5:$B104)&lt;=D$1,AVERAGE($B$5:$B104),D$2*($B104-$D103)+$D103)</f>
        <v>226.74143454116449</v>
      </c>
      <c r="E104" s="9">
        <f>IF(COUNTA($B$5:$B104)&lt;=E$1,AVERAGE($B$5:$B104),E$2*($B104-$E103)+$E103)</f>
        <v>227.24335580171046</v>
      </c>
      <c r="F104" s="7">
        <f t="shared" si="2"/>
        <v>-0.50192126054596997</v>
      </c>
      <c r="G104" s="7">
        <f>IF(COUNTA($F$5:$F104)&lt;=G$1,AVERAGE($F$5:$F104),G$2*($F104-$G103)+$G103)</f>
        <v>-0.64479572197194224</v>
      </c>
      <c r="H104" s="7">
        <f t="shared" si="3"/>
        <v>0.14287446142597227</v>
      </c>
    </row>
    <row r="105" spans="1:8" x14ac:dyDescent="0.2">
      <c r="A105" s="1">
        <v>45616</v>
      </c>
      <c r="B105">
        <v>229</v>
      </c>
      <c r="C105" s="9">
        <f>IF(COUNTA($B$5:$B105)&lt;=C$1,AVERAGE($B$5:$B105),C$2*($B105-$C104)+$C104)</f>
        <v>227.1591511624664</v>
      </c>
      <c r="D105" s="9">
        <f>IF(COUNTA($B$5:$B105)&lt;=D$1,AVERAGE($B$5:$B105),D$2*($B105-$D104)+$D104)</f>
        <v>227.0889061502161</v>
      </c>
      <c r="E105" s="9">
        <f>IF(COUNTA($B$5:$B105)&lt;=E$1,AVERAGE($B$5:$B105),E$2*($B105-$E104)+$E104)</f>
        <v>227.37347759417636</v>
      </c>
      <c r="F105" s="7">
        <f t="shared" si="2"/>
        <v>-0.28457144396026024</v>
      </c>
      <c r="G105" s="7">
        <f>IF(COUNTA($F$5:$F105)&lt;=G$1,AVERAGE($F$5:$F105),G$2*($F105-$G104)+$G104)</f>
        <v>-0.57275086636960582</v>
      </c>
      <c r="H105" s="7">
        <f t="shared" si="3"/>
        <v>0.28817942240934558</v>
      </c>
    </row>
    <row r="106" spans="1:8" x14ac:dyDescent="0.2">
      <c r="A106" s="1">
        <v>45617</v>
      </c>
      <c r="B106">
        <v>228.52</v>
      </c>
      <c r="C106" s="9">
        <f>IF(COUNTA($B$5:$B106)&lt;=C$1,AVERAGE($B$5:$B106),C$2*($B106-$C105)+$C105)</f>
        <v>227.43132092997311</v>
      </c>
      <c r="D106" s="9">
        <f>IF(COUNTA($B$5:$B106)&lt;=D$1,AVERAGE($B$5:$B106),D$2*($B106-$D105)+$D105)</f>
        <v>227.30907443479825</v>
      </c>
      <c r="E106" s="9">
        <f>IF(COUNTA($B$5:$B106)&lt;=E$1,AVERAGE($B$5:$B106),E$2*($B106-$E105)+$E105)</f>
        <v>227.45840517979292</v>
      </c>
      <c r="F106" s="7">
        <f t="shared" si="2"/>
        <v>-0.14933074499467125</v>
      </c>
      <c r="G106" s="7">
        <f>IF(COUNTA($F$5:$F106)&lt;=G$1,AVERAGE($F$5:$F106),G$2*($F106-$G105)+$G105)</f>
        <v>-0.48806684209461892</v>
      </c>
      <c r="H106" s="7">
        <f t="shared" si="3"/>
        <v>0.33873609709994768</v>
      </c>
    </row>
    <row r="107" spans="1:8" x14ac:dyDescent="0.2">
      <c r="A107" s="1">
        <v>45618</v>
      </c>
      <c r="B107">
        <v>229.87</v>
      </c>
      <c r="C107" s="9">
        <f>IF(COUNTA($B$5:$B107)&lt;=C$1,AVERAGE($B$5:$B107),C$2*($B107-$C106)+$C106)</f>
        <v>227.9190567439785</v>
      </c>
      <c r="D107" s="9">
        <f>IF(COUNTA($B$5:$B107)&lt;=D$1,AVERAGE($B$5:$B107),D$2*($B107-$D106)+$D106)</f>
        <v>227.70306298329083</v>
      </c>
      <c r="E107" s="9">
        <f>IF(COUNTA($B$5:$B107)&lt;=E$1,AVERAGE($B$5:$B107),E$2*($B107-$E106)+$E106)</f>
        <v>227.63704183314158</v>
      </c>
      <c r="F107" s="7">
        <f t="shared" si="2"/>
        <v>6.6021150149254026E-2</v>
      </c>
      <c r="G107" s="7">
        <f>IF(COUNTA($F$5:$F107)&lt;=G$1,AVERAGE($F$5:$F107),G$2*($F107-$G106)+$G106)</f>
        <v>-0.37724924364584433</v>
      </c>
      <c r="H107" s="7">
        <f t="shared" si="3"/>
        <v>0.44327039379509836</v>
      </c>
    </row>
    <row r="108" spans="1:8" x14ac:dyDescent="0.2">
      <c r="A108" s="1">
        <v>45621</v>
      </c>
      <c r="B108">
        <v>232.87</v>
      </c>
      <c r="C108" s="9">
        <f>IF(COUNTA($B$5:$B108)&lt;=C$1,AVERAGE($B$5:$B108),C$2*($B108-$C107)+$C107)</f>
        <v>228.90924539518281</v>
      </c>
      <c r="D108" s="9">
        <f>IF(COUNTA($B$5:$B108)&lt;=D$1,AVERAGE($B$5:$B108),D$2*($B108-$D107)+$D107)</f>
        <v>228.49797637047686</v>
      </c>
      <c r="E108" s="9">
        <f>IF(COUNTA($B$5:$B108)&lt;=E$1,AVERAGE($B$5:$B108),E$2*($B108-$E107)+$E107)</f>
        <v>228.02466836401999</v>
      </c>
      <c r="F108" s="7">
        <f t="shared" si="2"/>
        <v>0.47330800645687532</v>
      </c>
      <c r="G108" s="7">
        <f>IF(COUNTA($F$5:$F108)&lt;=G$1,AVERAGE($F$5:$F108),G$2*($F108-$G107)+$G107)</f>
        <v>-0.20713779362530038</v>
      </c>
      <c r="H108" s="7">
        <f t="shared" si="3"/>
        <v>0.6804458000821757</v>
      </c>
    </row>
    <row r="109" spans="1:8" x14ac:dyDescent="0.2">
      <c r="A109" s="1">
        <v>45622</v>
      </c>
      <c r="B109">
        <v>235.06</v>
      </c>
      <c r="C109" s="9">
        <f>IF(COUNTA($B$5:$B109)&lt;=C$1,AVERAGE($B$5:$B109),C$2*($B109-$C108)+$C108)</f>
        <v>230.13939631614625</v>
      </c>
      <c r="D109" s="9">
        <f>IF(COUNTA($B$5:$B109)&lt;=D$1,AVERAGE($B$5:$B109),D$2*($B109-$D108)+$D108)</f>
        <v>229.50751846732658</v>
      </c>
      <c r="E109" s="9">
        <f>IF(COUNTA($B$5:$B109)&lt;=E$1,AVERAGE($B$5:$B109),E$2*($B109-$E108)+$E108)</f>
        <v>228.54580404075924</v>
      </c>
      <c r="F109" s="7">
        <f t="shared" si="2"/>
        <v>0.9617144265673403</v>
      </c>
      <c r="G109" s="7">
        <f>IF(COUNTA($F$5:$F109)&lt;=G$1,AVERAGE($F$5:$F109),G$2*($F109-$G108)+$G108)</f>
        <v>2.6632650413227793E-2</v>
      </c>
      <c r="H109" s="7">
        <f t="shared" si="3"/>
        <v>0.93508177615411248</v>
      </c>
    </row>
    <row r="110" spans="1:8" x14ac:dyDescent="0.2">
      <c r="A110" s="1">
        <v>45623</v>
      </c>
      <c r="B110">
        <v>234.93</v>
      </c>
      <c r="C110" s="9">
        <f>IF(COUNTA($B$5:$B110)&lt;=C$1,AVERAGE($B$5:$B110),C$2*($B110-$C109)+$C109)</f>
        <v>231.097517052917</v>
      </c>
      <c r="D110" s="9">
        <f>IF(COUNTA($B$5:$B110)&lt;=D$1,AVERAGE($B$5:$B110),D$2*($B110-$D109)+$D109)</f>
        <v>230.34174639543019</v>
      </c>
      <c r="E110" s="9">
        <f>IF(COUNTA($B$5:$B110)&lt;=E$1,AVERAGE($B$5:$B110),E$2*($B110-$E109)+$E109)</f>
        <v>229.01870744514744</v>
      </c>
      <c r="F110" s="7">
        <f t="shared" si="2"/>
        <v>1.3230389502827506</v>
      </c>
      <c r="G110" s="7">
        <f>IF(COUNTA($F$5:$F110)&lt;=G$1,AVERAGE($F$5:$F110),G$2*($F110-$G109)+$G109)</f>
        <v>0.28591391038713243</v>
      </c>
      <c r="H110" s="7">
        <f t="shared" si="3"/>
        <v>1.0371250398956182</v>
      </c>
    </row>
    <row r="111" spans="1:8" x14ac:dyDescent="0.2">
      <c r="A111" s="1">
        <v>45625</v>
      </c>
      <c r="B111">
        <v>237.33</v>
      </c>
      <c r="C111" s="9">
        <f>IF(COUNTA($B$5:$B111)&lt;=C$1,AVERAGE($B$5:$B111),C$2*($B111-$C110)+$C110)</f>
        <v>232.34401364233361</v>
      </c>
      <c r="D111" s="9">
        <f>IF(COUNTA($B$5:$B111)&lt;=D$1,AVERAGE($B$5:$B111),D$2*($B111-$D110)+$D110)</f>
        <v>231.41686233459478</v>
      </c>
      <c r="E111" s="9">
        <f>IF(COUNTA($B$5:$B111)&lt;=E$1,AVERAGE($B$5:$B111),E$2*($B111-$E110)+$E110)</f>
        <v>229.63435874550689</v>
      </c>
      <c r="F111" s="7">
        <f t="shared" si="2"/>
        <v>1.7825035890878951</v>
      </c>
      <c r="G111" s="7">
        <f>IF(COUNTA($F$5:$F111)&lt;=G$1,AVERAGE($F$5:$F111),G$2*($F111-$G110)+$G110)</f>
        <v>0.58523184612728496</v>
      </c>
      <c r="H111" s="7">
        <f t="shared" si="3"/>
        <v>1.1972717429606101</v>
      </c>
    </row>
    <row r="112" spans="1:8" x14ac:dyDescent="0.2">
      <c r="A112" s="1">
        <v>45628</v>
      </c>
      <c r="B112">
        <v>239.59</v>
      </c>
      <c r="C112" s="9">
        <f>IF(COUNTA($B$5:$B112)&lt;=C$1,AVERAGE($B$5:$B112),C$2*($B112-$C111)+$C111)</f>
        <v>233.79321091386689</v>
      </c>
      <c r="D112" s="9">
        <f>IF(COUNTA($B$5:$B112)&lt;=D$1,AVERAGE($B$5:$B112),D$2*($B112-$D111)+$D111)</f>
        <v>232.67426812927252</v>
      </c>
      <c r="E112" s="9">
        <f>IF(COUNTA($B$5:$B112)&lt;=E$1,AVERAGE($B$5:$B112),E$2*($B112-$E111)+$E111)</f>
        <v>230.37181365324713</v>
      </c>
      <c r="F112" s="7">
        <f t="shared" si="2"/>
        <v>2.3024544760253889</v>
      </c>
      <c r="G112" s="7">
        <f>IF(COUNTA($F$5:$F112)&lt;=G$1,AVERAGE($F$5:$F112),G$2*($F112-$G111)+$G111)</f>
        <v>0.92867637210690579</v>
      </c>
      <c r="H112" s="7">
        <f t="shared" si="3"/>
        <v>1.3737781039184831</v>
      </c>
    </row>
    <row r="113" spans="1:8" x14ac:dyDescent="0.2">
      <c r="A113" s="1">
        <v>45629</v>
      </c>
      <c r="B113">
        <v>242.65</v>
      </c>
      <c r="C113" s="9">
        <f>IF(COUNTA($B$5:$B113)&lt;=C$1,AVERAGE($B$5:$B113),C$2*($B113-$C112)+$C112)</f>
        <v>235.56456873109352</v>
      </c>
      <c r="D113" s="9">
        <f>IF(COUNTA($B$5:$B113)&lt;=D$1,AVERAGE($B$5:$B113),D$2*($B113-$D112)+$D112)</f>
        <v>234.20899610938443</v>
      </c>
      <c r="E113" s="9">
        <f>IF(COUNTA($B$5:$B113)&lt;=E$1,AVERAGE($B$5:$B113),E$2*($B113-$E112)+$E112)</f>
        <v>231.28130893819178</v>
      </c>
      <c r="F113" s="7">
        <f t="shared" si="2"/>
        <v>2.9276871711926447</v>
      </c>
      <c r="G113" s="7">
        <f>IF(COUNTA($F$5:$F113)&lt;=G$1,AVERAGE($F$5:$F113),G$2*($F113-$G112)+$G112)</f>
        <v>1.3284785319240535</v>
      </c>
      <c r="H113" s="7">
        <f t="shared" si="3"/>
        <v>1.5992086392685911</v>
      </c>
    </row>
    <row r="114" spans="1:8" x14ac:dyDescent="0.2">
      <c r="A114" s="1">
        <v>45630</v>
      </c>
      <c r="B114">
        <v>243.01</v>
      </c>
      <c r="C114" s="9">
        <f>IF(COUNTA($B$5:$B114)&lt;=C$1,AVERAGE($B$5:$B114),C$2*($B114-$C113)+$C113)</f>
        <v>237.05365498487481</v>
      </c>
      <c r="D114" s="9">
        <f>IF(COUNTA($B$5:$B114)&lt;=D$1,AVERAGE($B$5:$B114),D$2*($B114-$D113)+$D113)</f>
        <v>235.56299670794067</v>
      </c>
      <c r="E114" s="9">
        <f>IF(COUNTA($B$5:$B114)&lt;=E$1,AVERAGE($B$5:$B114),E$2*($B114-$E113)+$E113)</f>
        <v>232.15010086869609</v>
      </c>
      <c r="F114" s="7">
        <f t="shared" si="2"/>
        <v>3.4128958392445838</v>
      </c>
      <c r="G114" s="7">
        <f>IF(COUNTA($F$5:$F114)&lt;=G$1,AVERAGE($F$5:$F114),G$2*($F114-$G113)+$G113)</f>
        <v>1.7453619933881597</v>
      </c>
      <c r="H114" s="7">
        <f t="shared" si="3"/>
        <v>1.6675338458564242</v>
      </c>
    </row>
    <row r="115" spans="1:8" x14ac:dyDescent="0.2">
      <c r="A115" s="1">
        <v>45631</v>
      </c>
      <c r="B115">
        <v>243.04</v>
      </c>
      <c r="C115" s="9">
        <f>IF(COUNTA($B$5:$B115)&lt;=C$1,AVERAGE($B$5:$B115),C$2*($B115-$C114)+$C114)</f>
        <v>238.25092398789985</v>
      </c>
      <c r="D115" s="9">
        <f>IF(COUNTA($B$5:$B115)&lt;=D$1,AVERAGE($B$5:$B115),D$2*($B115-$D114)+$D114)</f>
        <v>236.71330490671903</v>
      </c>
      <c r="E115" s="9">
        <f>IF(COUNTA($B$5:$B115)&lt;=E$1,AVERAGE($B$5:$B115),E$2*($B115-$E114)+$E114)</f>
        <v>232.95676006360748</v>
      </c>
      <c r="F115" s="7">
        <f t="shared" si="2"/>
        <v>3.7565448431115556</v>
      </c>
      <c r="G115" s="7">
        <f>IF(COUNTA($F$5:$F115)&lt;=G$1,AVERAGE($F$5:$F115),G$2*($F115-$G114)+$G114)</f>
        <v>2.1475985633328389</v>
      </c>
      <c r="H115" s="7">
        <f t="shared" si="3"/>
        <v>1.6089462797787166</v>
      </c>
    </row>
    <row r="116" spans="1:8" x14ac:dyDescent="0.2">
      <c r="A116" s="1">
        <v>45632</v>
      </c>
      <c r="B116">
        <v>242.84</v>
      </c>
      <c r="C116" s="9">
        <f>IF(COUNTA($B$5:$B116)&lt;=C$1,AVERAGE($B$5:$B116),C$2*($B116-$C115)+$C115)</f>
        <v>239.16873919031988</v>
      </c>
      <c r="D116" s="9">
        <f>IF(COUNTA($B$5:$B116)&lt;=D$1,AVERAGE($B$5:$B116),D$2*($B116-$D115)+$D115)</f>
        <v>237.65587338260841</v>
      </c>
      <c r="E116" s="9">
        <f>IF(COUNTA($B$5:$B116)&lt;=E$1,AVERAGE($B$5:$B116),E$2*($B116-$E115)+$E115)</f>
        <v>233.68885191074767</v>
      </c>
      <c r="F116" s="7">
        <f t="shared" si="2"/>
        <v>3.9670214718607326</v>
      </c>
      <c r="G116" s="7">
        <f>IF(COUNTA($F$5:$F116)&lt;=G$1,AVERAGE($F$5:$F116),G$2*($F116-$G115)+$G115)</f>
        <v>2.5114831450384179</v>
      </c>
      <c r="H116" s="7">
        <f t="shared" si="3"/>
        <v>1.4555383268223148</v>
      </c>
    </row>
    <row r="117" spans="1:8" x14ac:dyDescent="0.2">
      <c r="A117" s="1">
        <v>45635</v>
      </c>
      <c r="B117">
        <v>246.75</v>
      </c>
      <c r="C117" s="9">
        <f>IF(COUNTA($B$5:$B117)&lt;=C$1,AVERAGE($B$5:$B117),C$2*($B117-$C116)+$C116)</f>
        <v>240.68499135225591</v>
      </c>
      <c r="D117" s="9">
        <f>IF(COUNTA($B$5:$B117)&lt;=D$1,AVERAGE($B$5:$B117),D$2*($B117-$D116)+$D116)</f>
        <v>239.05496978528404</v>
      </c>
      <c r="E117" s="9">
        <f>IF(COUNTA($B$5:$B117)&lt;=E$1,AVERAGE($B$5:$B117),E$2*($B117-$E116)+$E116)</f>
        <v>234.65634436180341</v>
      </c>
      <c r="F117" s="7">
        <f t="shared" si="2"/>
        <v>4.3986254234806381</v>
      </c>
      <c r="G117" s="7">
        <f>IF(COUNTA($F$5:$F117)&lt;=G$1,AVERAGE($F$5:$F117),G$2*($F117-$G116)+$G116)</f>
        <v>2.8889116007268618</v>
      </c>
      <c r="H117" s="7">
        <f t="shared" si="3"/>
        <v>1.5097138227537763</v>
      </c>
    </row>
    <row r="118" spans="1:8" x14ac:dyDescent="0.2">
      <c r="A118" s="1">
        <v>45636</v>
      </c>
      <c r="B118">
        <v>247.77</v>
      </c>
      <c r="C118" s="9">
        <f>IF(COUNTA($B$5:$B118)&lt;=C$1,AVERAGE($B$5:$B118),C$2*($B118-$C117)+$C117)</f>
        <v>242.10199308180472</v>
      </c>
      <c r="D118" s="9">
        <f>IF(COUNTA($B$5:$B118)&lt;=D$1,AVERAGE($B$5:$B118),D$2*($B118-$D117)+$D117)</f>
        <v>240.39574366447113</v>
      </c>
      <c r="E118" s="9">
        <f>IF(COUNTA($B$5:$B118)&lt;=E$1,AVERAGE($B$5:$B118),E$2*($B118-$E117)+$E117)</f>
        <v>235.62772626092908</v>
      </c>
      <c r="F118" s="7">
        <f t="shared" si="2"/>
        <v>4.7680174035420464</v>
      </c>
      <c r="G118" s="7">
        <f>IF(COUNTA($F$5:$F118)&lt;=G$1,AVERAGE($F$5:$F118),G$2*($F118-$G117)+$G117)</f>
        <v>3.2647327612898986</v>
      </c>
      <c r="H118" s="7">
        <f t="shared" si="3"/>
        <v>1.5032846422521478</v>
      </c>
    </row>
    <row r="119" spans="1:8" x14ac:dyDescent="0.2">
      <c r="A119" s="1">
        <v>45637</v>
      </c>
      <c r="B119">
        <v>246.49</v>
      </c>
      <c r="C119" s="9">
        <f>IF(COUNTA($B$5:$B119)&lt;=C$1,AVERAGE($B$5:$B119),C$2*($B119-$C118)+$C118)</f>
        <v>242.97959446544377</v>
      </c>
      <c r="D119" s="9">
        <f>IF(COUNTA($B$5:$B119)&lt;=D$1,AVERAGE($B$5:$B119),D$2*($B119-$D118)+$D118)</f>
        <v>241.33332156224481</v>
      </c>
      <c r="E119" s="9">
        <f>IF(COUNTA($B$5:$B119)&lt;=E$1,AVERAGE($B$5:$B119),E$2*($B119-$E118)+$E118)</f>
        <v>236.43233913048988</v>
      </c>
      <c r="F119" s="7">
        <f t="shared" si="2"/>
        <v>4.900982431754926</v>
      </c>
      <c r="G119" s="7">
        <f>IF(COUNTA($F$5:$F119)&lt;=G$1,AVERAGE($F$5:$F119),G$2*($F119-$G118)+$G118)</f>
        <v>3.5919826953829039</v>
      </c>
      <c r="H119" s="7">
        <f t="shared" si="3"/>
        <v>1.308999736372022</v>
      </c>
    </row>
    <row r="120" spans="1:8" x14ac:dyDescent="0.2">
      <c r="A120" s="1">
        <v>45638</v>
      </c>
      <c r="B120">
        <v>247.96</v>
      </c>
      <c r="C120" s="9">
        <f>IF(COUNTA($B$5:$B120)&lt;=C$1,AVERAGE($B$5:$B120),C$2*($B120-$C119)+$C119)</f>
        <v>243.97567557235502</v>
      </c>
      <c r="D120" s="9">
        <f>IF(COUNTA($B$5:$B120)&lt;=D$1,AVERAGE($B$5:$B120),D$2*($B120-$D119)+$D119)</f>
        <v>242.35281055266867</v>
      </c>
      <c r="E120" s="9">
        <f>IF(COUNTA($B$5:$B120)&lt;=E$1,AVERAGE($B$5:$B120),E$2*($B120-$E119)+$E119)</f>
        <v>237.28623993563878</v>
      </c>
      <c r="F120" s="7">
        <f t="shared" si="2"/>
        <v>5.0665706170298961</v>
      </c>
      <c r="G120" s="7">
        <f>IF(COUNTA($F$5:$F120)&lt;=G$1,AVERAGE($F$5:$F120),G$2*($F120-$G119)+$G119)</f>
        <v>3.8869002797123025</v>
      </c>
      <c r="H120" s="7">
        <f t="shared" si="3"/>
        <v>1.1796703373175936</v>
      </c>
    </row>
    <row r="121" spans="1:8" x14ac:dyDescent="0.2">
      <c r="A121" s="1">
        <v>45639</v>
      </c>
      <c r="B121">
        <v>248.13</v>
      </c>
      <c r="C121" s="9">
        <f>IF(COUNTA($B$5:$B121)&lt;=C$1,AVERAGE($B$5:$B121),C$2*($B121-$C120)+$C120)</f>
        <v>244.80654045788401</v>
      </c>
      <c r="D121" s="9">
        <f>IF(COUNTA($B$5:$B121)&lt;=D$1,AVERAGE($B$5:$B121),D$2*($B121-$D120)+$D120)</f>
        <v>243.24160892918118</v>
      </c>
      <c r="E121" s="9">
        <f>IF(COUNTA($B$5:$B121)&lt;=E$1,AVERAGE($B$5:$B121),E$2*($B121-$E120)+$E120)</f>
        <v>238.08948142188777</v>
      </c>
      <c r="F121" s="7">
        <f t="shared" si="2"/>
        <v>5.1521275072934145</v>
      </c>
      <c r="G121" s="7">
        <f>IF(COUNTA($F$5:$F121)&lt;=G$1,AVERAGE($F$5:$F121),G$2*($F121-$G120)+$G120)</f>
        <v>4.1399457252285252</v>
      </c>
      <c r="H121" s="7">
        <f t="shared" si="3"/>
        <v>1.0121817820648893</v>
      </c>
    </row>
    <row r="122" spans="1:8" x14ac:dyDescent="0.2">
      <c r="A122" s="1">
        <v>45642</v>
      </c>
      <c r="B122">
        <v>251.04</v>
      </c>
      <c r="C122" s="9">
        <f>IF(COUNTA($B$5:$B122)&lt;=C$1,AVERAGE($B$5:$B122),C$2*($B122-$C121)+$C121)</f>
        <v>246.05323236630721</v>
      </c>
      <c r="D122" s="9">
        <f>IF(COUNTA($B$5:$B122)&lt;=D$1,AVERAGE($B$5:$B122),D$2*($B122-$D121)+$D121)</f>
        <v>244.44136140161484</v>
      </c>
      <c r="E122" s="9">
        <f>IF(COUNTA($B$5:$B122)&lt;=E$1,AVERAGE($B$5:$B122),E$2*($B122-$E121)+$E121)</f>
        <v>239.04877909434052</v>
      </c>
      <c r="F122" s="7">
        <f t="shared" si="2"/>
        <v>5.3925823072743242</v>
      </c>
      <c r="G122" s="7">
        <f>IF(COUNTA($F$5:$F122)&lt;=G$1,AVERAGE($F$5:$F122),G$2*($F122-$G121)+$G121)</f>
        <v>4.3904730416376854</v>
      </c>
      <c r="H122" s="7">
        <f t="shared" si="3"/>
        <v>1.0021092656366388</v>
      </c>
    </row>
    <row r="123" spans="1:8" x14ac:dyDescent="0.2">
      <c r="A123" s="1">
        <v>45643</v>
      </c>
      <c r="B123">
        <v>253.48</v>
      </c>
      <c r="C123" s="9">
        <f>IF(COUNTA($B$5:$B123)&lt;=C$1,AVERAGE($B$5:$B123),C$2*($B123-$C122)+$C122)</f>
        <v>247.53858589304576</v>
      </c>
      <c r="D123" s="9">
        <f>IF(COUNTA($B$5:$B123)&lt;=D$1,AVERAGE($B$5:$B123),D$2*($B123-$D122)+$D122)</f>
        <v>245.8319211859818</v>
      </c>
      <c r="E123" s="9">
        <f>IF(COUNTA($B$5:$B123)&lt;=E$1,AVERAGE($B$5:$B123),E$2*($B123-$E122)+$E122)</f>
        <v>240.11775842068567</v>
      </c>
      <c r="F123" s="7">
        <f t="shared" si="2"/>
        <v>5.7141627652961233</v>
      </c>
      <c r="G123" s="7">
        <f>IF(COUNTA($F$5:$F123)&lt;=G$1,AVERAGE($F$5:$F123),G$2*($F123-$G122)+$G122)</f>
        <v>4.6552109863693731</v>
      </c>
      <c r="H123" s="7">
        <f t="shared" si="3"/>
        <v>1.0589517789267502</v>
      </c>
    </row>
    <row r="124" spans="1:8" x14ac:dyDescent="0.2">
      <c r="A124" s="1">
        <v>45644</v>
      </c>
      <c r="B124">
        <v>248.05</v>
      </c>
      <c r="C124" s="9">
        <f>IF(COUNTA($B$5:$B124)&lt;=C$1,AVERAGE($B$5:$B124),C$2*($B124-$C123)+$C123)</f>
        <v>247.64086871443661</v>
      </c>
      <c r="D124" s="9">
        <f>IF(COUNTA($B$5:$B124)&lt;=D$1,AVERAGE($B$5:$B124),D$2*($B124-$D123)+$D123)</f>
        <v>246.17316408044613</v>
      </c>
      <c r="E124" s="9">
        <f>IF(COUNTA($B$5:$B124)&lt;=E$1,AVERAGE($B$5:$B124),E$2*($B124-$E123)+$E123)</f>
        <v>240.70533187100526</v>
      </c>
      <c r="F124" s="7">
        <f t="shared" si="2"/>
        <v>5.4678322094408713</v>
      </c>
      <c r="G124" s="7">
        <f>IF(COUNTA($F$5:$F124)&lt;=G$1,AVERAGE($F$5:$F124),G$2*($F124-$G123)+$G123)</f>
        <v>4.817735230983673</v>
      </c>
      <c r="H124" s="7">
        <f t="shared" si="3"/>
        <v>0.65009697845719838</v>
      </c>
    </row>
    <row r="125" spans="1:8" x14ac:dyDescent="0.2">
      <c r="A125" s="1">
        <v>45645</v>
      </c>
      <c r="B125">
        <v>249.79</v>
      </c>
      <c r="C125" s="9">
        <f>IF(COUNTA($B$5:$B125)&lt;=C$1,AVERAGE($B$5:$B125),C$2*($B125-$C124)+$C124)</f>
        <v>248.07069497154927</v>
      </c>
      <c r="D125" s="9">
        <f>IF(COUNTA($B$5:$B125)&lt;=D$1,AVERAGE($B$5:$B125),D$2*($B125-$D124)+$D124)</f>
        <v>246.72960037576212</v>
      </c>
      <c r="E125" s="9">
        <f>IF(COUNTA($B$5:$B125)&lt;=E$1,AVERAGE($B$5:$B125),E$2*($B125-$E124)+$E124)</f>
        <v>241.3782702509308</v>
      </c>
      <c r="F125" s="7">
        <f t="shared" si="2"/>
        <v>5.3513301248313212</v>
      </c>
      <c r="G125" s="7">
        <f>IF(COUNTA($F$5:$F125)&lt;=G$1,AVERAGE($F$5:$F125),G$2*($F125-$G124)+$G124)</f>
        <v>4.9244542097532022</v>
      </c>
      <c r="H125" s="7">
        <f t="shared" si="3"/>
        <v>0.42687591507811895</v>
      </c>
    </row>
    <row r="126" spans="1:8" x14ac:dyDescent="0.2">
      <c r="A126" s="1">
        <v>45646</v>
      </c>
      <c r="B126">
        <v>254.49</v>
      </c>
      <c r="C126" s="9">
        <f>IF(COUNTA($B$5:$B126)&lt;=C$1,AVERAGE($B$5:$B126),C$2*($B126-$C125)+$C125)</f>
        <v>249.35455597723941</v>
      </c>
      <c r="D126" s="9">
        <f>IF(COUNTA($B$5:$B126)&lt;=D$1,AVERAGE($B$5:$B126),D$2*($B126-$D125)+$D125)</f>
        <v>247.92350801026026</v>
      </c>
      <c r="E126" s="9">
        <f>IF(COUNTA($B$5:$B126)&lt;=E$1,AVERAGE($B$5:$B126),E$2*($B126-$E125)+$E125)</f>
        <v>242.34950949160259</v>
      </c>
      <c r="F126" s="7">
        <f t="shared" si="2"/>
        <v>5.5739985186576746</v>
      </c>
      <c r="G126" s="7">
        <f>IF(COUNTA($F$5:$F126)&lt;=G$1,AVERAGE($F$5:$F126),G$2*($F126-$G125)+$G125)</f>
        <v>5.0543630715340964</v>
      </c>
      <c r="H126" s="7">
        <f t="shared" si="3"/>
        <v>0.51963544712357823</v>
      </c>
    </row>
    <row r="127" spans="1:8" x14ac:dyDescent="0.2">
      <c r="A127" s="1">
        <v>45649</v>
      </c>
      <c r="B127">
        <v>255.27</v>
      </c>
      <c r="C127" s="9">
        <f>IF(COUNTA($B$5:$B127)&lt;=C$1,AVERAGE($B$5:$B127),C$2*($B127-$C126)+$C126)</f>
        <v>250.53764478179153</v>
      </c>
      <c r="D127" s="9">
        <f>IF(COUNTA($B$5:$B127)&lt;=D$1,AVERAGE($B$5:$B127),D$2*($B127-$D126)+$D126)</f>
        <v>249.0537375471433</v>
      </c>
      <c r="E127" s="9">
        <f>IF(COUNTA($B$5:$B127)&lt;=E$1,AVERAGE($B$5:$B127),E$2*($B127-$E126)+$E126)</f>
        <v>243.30658286259498</v>
      </c>
      <c r="F127" s="7">
        <f t="shared" si="2"/>
        <v>5.7471546845483203</v>
      </c>
      <c r="G127" s="7">
        <f>IF(COUNTA($F$5:$F127)&lt;=G$1,AVERAGE($F$5:$F127),G$2*($F127-$G126)+$G126)</f>
        <v>5.192921394136941</v>
      </c>
      <c r="H127" s="7">
        <f t="shared" si="3"/>
        <v>0.55423329041137936</v>
      </c>
    </row>
    <row r="128" spans="1:8" x14ac:dyDescent="0.2">
      <c r="A128" s="1">
        <v>45650</v>
      </c>
      <c r="B128">
        <v>258.2</v>
      </c>
      <c r="C128" s="9">
        <f>IF(COUNTA($B$5:$B128)&lt;=C$1,AVERAGE($B$5:$B128),C$2*($B128-$C127)+$C127)</f>
        <v>252.07011582543322</v>
      </c>
      <c r="D128" s="9">
        <f>IF(COUNTA($B$5:$B128)&lt;=D$1,AVERAGE($B$5:$B128),D$2*($B128-$D127)+$D127)</f>
        <v>250.46085484758279</v>
      </c>
      <c r="E128" s="9">
        <f>IF(COUNTA($B$5:$B128)&lt;=E$1,AVERAGE($B$5:$B128),E$2*($B128-$E127)+$E127)</f>
        <v>244.40979894684719</v>
      </c>
      <c r="F128" s="7">
        <f t="shared" si="2"/>
        <v>6.0510559007356051</v>
      </c>
      <c r="G128" s="7">
        <f>IF(COUNTA($F$5:$F128)&lt;=G$1,AVERAGE($F$5:$F128),G$2*($F128-$G127)+$G127)</f>
        <v>5.3645482954566734</v>
      </c>
      <c r="H128" s="7">
        <f t="shared" si="3"/>
        <v>0.68650760527893162</v>
      </c>
    </row>
    <row r="129" spans="1:8" x14ac:dyDescent="0.2">
      <c r="A129" s="1">
        <v>45652</v>
      </c>
      <c r="B129">
        <v>259.02</v>
      </c>
      <c r="C129" s="9">
        <f>IF(COUNTA($B$5:$B129)&lt;=C$1,AVERAGE($B$5:$B129),C$2*($B129-$C128)+$C128)</f>
        <v>253.46009266034656</v>
      </c>
      <c r="D129" s="9">
        <f>IF(COUNTA($B$5:$B129)&lt;=D$1,AVERAGE($B$5:$B129),D$2*($B129-$D128)+$D128)</f>
        <v>251.77764640949314</v>
      </c>
      <c r="E129" s="9">
        <f>IF(COUNTA($B$5:$B129)&lt;=E$1,AVERAGE($B$5:$B129),E$2*($B129-$E128)+$E128)</f>
        <v>245.49203606189553</v>
      </c>
      <c r="F129" s="7">
        <f t="shared" si="2"/>
        <v>6.2856103475976113</v>
      </c>
      <c r="G129" s="7">
        <f>IF(COUNTA($F$5:$F129)&lt;=G$1,AVERAGE($F$5:$F129),G$2*($F129-$G128)+$G128)</f>
        <v>5.5487607058848614</v>
      </c>
      <c r="H129" s="7">
        <f t="shared" si="3"/>
        <v>0.73684964171274991</v>
      </c>
    </row>
    <row r="130" spans="1:8" x14ac:dyDescent="0.2">
      <c r="A130" s="1">
        <v>45653</v>
      </c>
      <c r="B130">
        <v>255.59</v>
      </c>
      <c r="C130" s="9">
        <f>IF(COUNTA($B$5:$B130)&lt;=C$1,AVERAGE($B$5:$B130),C$2*($B130-$C129)+$C129)</f>
        <v>253.88607412827724</v>
      </c>
      <c r="D130" s="9">
        <f>IF(COUNTA($B$5:$B130)&lt;=D$1,AVERAGE($B$5:$B130),D$2*($B130-$D129)+$D129)</f>
        <v>252.3641623464942</v>
      </c>
      <c r="E130" s="9">
        <f>IF(COUNTA($B$5:$B130)&lt;=E$1,AVERAGE($B$5:$B130),E$2*($B130-$E129)+$E129)</f>
        <v>246.24003339064402</v>
      </c>
      <c r="F130" s="7">
        <f t="shared" si="2"/>
        <v>6.1241289558501819</v>
      </c>
      <c r="G130" s="7">
        <f>IF(COUNTA($F$5:$F130)&lt;=G$1,AVERAGE($F$5:$F130),G$2*($F130-$G129)+$G129)</f>
        <v>5.6638343558779258</v>
      </c>
      <c r="H130" s="7">
        <f t="shared" si="3"/>
        <v>0.46029459997225608</v>
      </c>
    </row>
    <row r="131" spans="1:8" x14ac:dyDescent="0.2">
      <c r="A131" s="1">
        <v>45656</v>
      </c>
      <c r="B131">
        <v>252.2</v>
      </c>
      <c r="C131" s="9">
        <f>IF(COUNTA($B$5:$B131)&lt;=C$1,AVERAGE($B$5:$B131),C$2*($B131-$C130)+$C130)</f>
        <v>253.54885930262179</v>
      </c>
      <c r="D131" s="9">
        <f>IF(COUNTA($B$5:$B131)&lt;=D$1,AVERAGE($B$5:$B131),D$2*($B131-$D130)+$D130)</f>
        <v>252.33890660087971</v>
      </c>
      <c r="E131" s="9">
        <f>IF(COUNTA($B$5:$B131)&lt;=E$1,AVERAGE($B$5:$B131),E$2*($B131-$E130)+$E130)</f>
        <v>246.68151239874445</v>
      </c>
      <c r="F131" s="7">
        <f t="shared" si="2"/>
        <v>5.657394202135265</v>
      </c>
      <c r="G131" s="7">
        <f>IF(COUNTA($F$5:$F131)&lt;=G$1,AVERAGE($F$5:$F131),G$2*($F131-$G130)+$G130)</f>
        <v>5.6625463251293935</v>
      </c>
      <c r="H131" s="7">
        <f t="shared" si="3"/>
        <v>-5.152122994128483E-3</v>
      </c>
    </row>
    <row r="132" spans="1:8" x14ac:dyDescent="0.2">
      <c r="A132" s="1">
        <v>45657</v>
      </c>
      <c r="B132">
        <v>250.42</v>
      </c>
      <c r="C132" s="9">
        <f>IF(COUNTA($B$5:$B132)&lt;=C$1,AVERAGE($B$5:$B132),C$2*($B132-$C131)+$C131)</f>
        <v>252.92308744209743</v>
      </c>
      <c r="D132" s="9">
        <f>IF(COUNTA($B$5:$B132)&lt;=D$1,AVERAGE($B$5:$B132),D$2*($B132-$D131)+$D131)</f>
        <v>252.04369020074438</v>
      </c>
      <c r="E132" s="9">
        <f>IF(COUNTA($B$5:$B132)&lt;=E$1,AVERAGE($B$5:$B132),E$2*($B132-$E131)+$E131)</f>
        <v>246.95843740624485</v>
      </c>
      <c r="F132" s="7">
        <f t="shared" si="2"/>
        <v>5.0852527944995245</v>
      </c>
      <c r="G132" s="7">
        <f>IF(COUNTA($F$5:$F132)&lt;=G$1,AVERAGE($F$5:$F132),G$2*($F132-$G131)+$G131)</f>
        <v>5.5470876190034195</v>
      </c>
      <c r="H132" s="7">
        <f t="shared" si="3"/>
        <v>-0.46183482450389501</v>
      </c>
    </row>
    <row r="133" spans="1:8" x14ac:dyDescent="0.2">
      <c r="A133" s="1">
        <v>45659</v>
      </c>
      <c r="B133">
        <v>243.85</v>
      </c>
      <c r="C133" s="9">
        <f>IF(COUNTA($B$5:$B133)&lt;=C$1,AVERAGE($B$5:$B133),C$2*($B133-$C132)+$C132)</f>
        <v>251.10846995367794</v>
      </c>
      <c r="D133" s="9">
        <f>IF(COUNTA($B$5:$B133)&lt;=D$1,AVERAGE($B$5:$B133),D$2*($B133-$D132)+$D132)</f>
        <v>250.78312247755292</v>
      </c>
      <c r="E133" s="9">
        <f>IF(COUNTA($B$5:$B133)&lt;=E$1,AVERAGE($B$5:$B133),E$2*($B133-$E132)+$E132)</f>
        <v>246.72818278356004</v>
      </c>
      <c r="F133" s="7">
        <f t="shared" si="2"/>
        <v>4.0549396939928783</v>
      </c>
      <c r="G133" s="7">
        <f>IF(COUNTA($F$5:$F133)&lt;=G$1,AVERAGE($F$5:$F133),G$2*($F133-$G132)+$G132)</f>
        <v>5.2486580340013109</v>
      </c>
      <c r="H133" s="7">
        <f t="shared" si="3"/>
        <v>-1.1937183400084326</v>
      </c>
    </row>
    <row r="134" spans="1:8" x14ac:dyDescent="0.2">
      <c r="A134" s="1">
        <v>45660</v>
      </c>
      <c r="B134">
        <v>243.36</v>
      </c>
      <c r="C134" s="9">
        <f>IF(COUNTA($B$5:$B134)&lt;=C$1,AVERAGE($B$5:$B134),C$2*($B134-$C133)+$C133)</f>
        <v>249.55877596294235</v>
      </c>
      <c r="D134" s="9">
        <f>IF(COUNTA($B$5:$B134)&lt;=D$1,AVERAGE($B$5:$B134),D$2*($B134-$D133)+$D133)</f>
        <v>249.64110363485247</v>
      </c>
      <c r="E134" s="9">
        <f>IF(COUNTA($B$5:$B134)&lt;=E$1,AVERAGE($B$5:$B134),E$2*($B134-$E133)+$E133)</f>
        <v>246.47868776255561</v>
      </c>
      <c r="F134" s="7">
        <f t="shared" si="2"/>
        <v>3.1624158722968616</v>
      </c>
      <c r="G134" s="7">
        <f>IF(COUNTA($F$5:$F134)&lt;=G$1,AVERAGE($F$5:$F134),G$2*($F134-$G133)+$G133)</f>
        <v>4.8314096016604209</v>
      </c>
      <c r="H134" s="7">
        <f t="shared" si="3"/>
        <v>-1.6689937293635593</v>
      </c>
    </row>
    <row r="135" spans="1:8" x14ac:dyDescent="0.2">
      <c r="A135" s="1">
        <v>45663</v>
      </c>
      <c r="B135">
        <v>245</v>
      </c>
      <c r="C135" s="9">
        <f>IF(COUNTA($B$5:$B135)&lt;=C$1,AVERAGE($B$5:$B135),C$2*($B135-$C134)+$C134)</f>
        <v>248.64702077035389</v>
      </c>
      <c r="D135" s="9">
        <f>IF(COUNTA($B$5:$B135)&lt;=D$1,AVERAGE($B$5:$B135),D$2*($B135-$D134)+$D134)</f>
        <v>248.92708769102902</v>
      </c>
      <c r="E135" s="9">
        <f>IF(COUNTA($B$5:$B135)&lt;=E$1,AVERAGE($B$5:$B135),E$2*($B135-$E134)+$E134)</f>
        <v>246.36915533569965</v>
      </c>
      <c r="F135" s="7">
        <f t="shared" si="2"/>
        <v>2.5579323553293705</v>
      </c>
      <c r="G135" s="7">
        <f>IF(COUNTA($F$5:$F135)&lt;=G$1,AVERAGE($F$5:$F135),G$2*($F135-$G134)+$G134)</f>
        <v>4.3767141523942108</v>
      </c>
      <c r="H135" s="7">
        <f t="shared" si="3"/>
        <v>-1.8187817970648403</v>
      </c>
    </row>
    <row r="136" spans="1:8" x14ac:dyDescent="0.2">
      <c r="A136" s="1">
        <v>45664</v>
      </c>
      <c r="B136">
        <v>242.21</v>
      </c>
      <c r="C136" s="9">
        <f>IF(COUNTA($B$5:$B136)&lt;=C$1,AVERAGE($B$5:$B136),C$2*($B136-$C135)+$C135)</f>
        <v>247.35961661628312</v>
      </c>
      <c r="D136" s="9">
        <f>IF(COUNTA($B$5:$B136)&lt;=D$1,AVERAGE($B$5:$B136),D$2*($B136-$D135)+$D135)</f>
        <v>247.89368958471687</v>
      </c>
      <c r="E136" s="9">
        <f>IF(COUNTA($B$5:$B136)&lt;=E$1,AVERAGE($B$5:$B136),E$2*($B136-$E135)+$E135)</f>
        <v>246.06106975527746</v>
      </c>
      <c r="F136" s="7">
        <f t="shared" si="2"/>
        <v>1.8326198294394089</v>
      </c>
      <c r="G136" s="7">
        <f>IF(COUNTA($F$5:$F136)&lt;=G$1,AVERAGE($F$5:$F136),G$2*($F136-$G135)+$G135)</f>
        <v>3.8678952878032504</v>
      </c>
      <c r="H136" s="7">
        <f t="shared" si="3"/>
        <v>-2.0352754583638415</v>
      </c>
    </row>
    <row r="137" spans="1:8" x14ac:dyDescent="0.2">
      <c r="A137" s="1">
        <v>45665</v>
      </c>
      <c r="B137">
        <v>242.7</v>
      </c>
      <c r="C137" s="9">
        <f>IF(COUNTA($B$5:$B137)&lt;=C$1,AVERAGE($B$5:$B137),C$2*($B137-$C136)+$C136)</f>
        <v>246.42769329302649</v>
      </c>
      <c r="D137" s="9">
        <f>IF(COUNTA($B$5:$B137)&lt;=D$1,AVERAGE($B$5:$B137),D$2*($B137-$D136)+$D136)</f>
        <v>247.09466041783736</v>
      </c>
      <c r="E137" s="9">
        <f>IF(COUNTA($B$5:$B137)&lt;=E$1,AVERAGE($B$5:$B137),E$2*($B137-$E136)+$E136)</f>
        <v>245.8121016252569</v>
      </c>
      <c r="F137" s="7">
        <f t="shared" si="2"/>
        <v>1.2825587925804598</v>
      </c>
      <c r="G137" s="7">
        <f>IF(COUNTA($F$5:$F137)&lt;=G$1,AVERAGE($F$5:$F137),G$2*($F137-$G136)+$G136)</f>
        <v>3.3508279887586925</v>
      </c>
      <c r="H137" s="7">
        <f t="shared" si="3"/>
        <v>-2.0682691961782327</v>
      </c>
    </row>
    <row r="138" spans="1:8" x14ac:dyDescent="0.2">
      <c r="A138" s="1">
        <v>45667</v>
      </c>
      <c r="B138">
        <v>236.85</v>
      </c>
      <c r="C138" s="9">
        <f>IF(COUNTA($B$5:$B138)&lt;=C$1,AVERAGE($B$5:$B138),C$2*($B138-$C137)+$C137)</f>
        <v>244.51215463442119</v>
      </c>
      <c r="D138" s="9">
        <f>IF(COUNTA($B$5:$B138)&lt;=D$1,AVERAGE($B$5:$B138),D$2*($B138-$D137)+$D137)</f>
        <v>245.51855881509314</v>
      </c>
      <c r="E138" s="9">
        <f>IF(COUNTA($B$5:$B138)&lt;=E$1,AVERAGE($B$5:$B138),E$2*($B138-$E137)+$E137)</f>
        <v>245.14824224560823</v>
      </c>
      <c r="F138" s="7">
        <f t="shared" si="2"/>
        <v>0.37031656948491332</v>
      </c>
      <c r="G138" s="7">
        <f>IF(COUNTA($F$5:$F138)&lt;=G$1,AVERAGE($F$5:$F138),G$2*($F138-$G137)+$G137)</f>
        <v>2.7547257049039366</v>
      </c>
      <c r="H138" s="7">
        <f t="shared" si="3"/>
        <v>-2.3844091354190233</v>
      </c>
    </row>
    <row r="139" spans="1:8" x14ac:dyDescent="0.2">
      <c r="A139" s="1">
        <v>45670</v>
      </c>
      <c r="B139">
        <v>234.4</v>
      </c>
      <c r="C139" s="9">
        <f>IF(COUNTA($B$5:$B139)&lt;=C$1,AVERAGE($B$5:$B139),C$2*($B139-$C138)+$C138)</f>
        <v>242.48972370753697</v>
      </c>
      <c r="D139" s="9">
        <f>IF(COUNTA($B$5:$B139)&lt;=D$1,AVERAGE($B$5:$B139),D$2*($B139-$D138)+$D138)</f>
        <v>243.80801130507882</v>
      </c>
      <c r="E139" s="9">
        <f>IF(COUNTA($B$5:$B139)&lt;=E$1,AVERAGE($B$5:$B139),E$2*($B139-$E138)+$E138)</f>
        <v>244.35207615334096</v>
      </c>
      <c r="F139" s="7">
        <f t="shared" si="2"/>
        <v>-0.54406484826213841</v>
      </c>
      <c r="G139" s="7">
        <f>IF(COUNTA($F$5:$F139)&lt;=G$1,AVERAGE($F$5:$F139),G$2*($F139-$G138)+$G138)</f>
        <v>2.0949675942707215</v>
      </c>
      <c r="H139" s="7">
        <f t="shared" si="3"/>
        <v>-2.63903244253286</v>
      </c>
    </row>
    <row r="140" spans="1:8" x14ac:dyDescent="0.2">
      <c r="A140" s="1">
        <v>45671</v>
      </c>
      <c r="B140">
        <v>233.28</v>
      </c>
      <c r="C140" s="9">
        <f>IF(COUNTA($B$5:$B140)&lt;=C$1,AVERAGE($B$5:$B140),C$2*($B140-$C139)+$C139)</f>
        <v>240.64777896602956</v>
      </c>
      <c r="D140" s="9">
        <f>IF(COUNTA($B$5:$B140)&lt;=D$1,AVERAGE($B$5:$B140),D$2*($B140-$D139)+$D139)</f>
        <v>242.18831725814363</v>
      </c>
      <c r="E140" s="9">
        <f>IF(COUNTA($B$5:$B140)&lt;=E$1,AVERAGE($B$5:$B140),E$2*($B140-$E139)+$E139)</f>
        <v>243.5319223642046</v>
      </c>
      <c r="F140" s="7">
        <f t="shared" si="2"/>
        <v>-1.3436051060609771</v>
      </c>
      <c r="G140" s="7">
        <f>IF(COUNTA($F$5:$F140)&lt;=G$1,AVERAGE($F$5:$F140),G$2*($F140-$G139)+$G139)</f>
        <v>1.4072530542043817</v>
      </c>
      <c r="H140" s="7">
        <f t="shared" si="3"/>
        <v>-2.7508581602653588</v>
      </c>
    </row>
    <row r="141" spans="1:8" x14ac:dyDescent="0.2">
      <c r="A141" s="1">
        <v>45672</v>
      </c>
      <c r="B141">
        <v>237.87</v>
      </c>
      <c r="C141" s="9">
        <f>IF(COUNTA($B$5:$B141)&lt;=C$1,AVERAGE($B$5:$B141),C$2*($B141-$C140)+$C140)</f>
        <v>240.09222317282365</v>
      </c>
      <c r="D141" s="9">
        <f>IF(COUNTA($B$5:$B141)&lt;=D$1,AVERAGE($B$5:$B141),D$2*($B141-$D140)+$D140)</f>
        <v>241.52396075689077</v>
      </c>
      <c r="E141" s="9">
        <f>IF(COUNTA($B$5:$B141)&lt;=E$1,AVERAGE($B$5:$B141),E$2*($B141-$E140)+$E140)</f>
        <v>243.11252070759684</v>
      </c>
      <c r="F141" s="7">
        <f t="shared" si="2"/>
        <v>-1.5885599507060704</v>
      </c>
      <c r="G141" s="7">
        <f>IF(COUNTA($F$5:$F141)&lt;=G$1,AVERAGE($F$5:$F141),G$2*($F141-$G140)+$G140)</f>
        <v>0.80809045322229134</v>
      </c>
      <c r="H141" s="7">
        <f t="shared" si="3"/>
        <v>-2.3966504039283616</v>
      </c>
    </row>
    <row r="142" spans="1:8" x14ac:dyDescent="0.2">
      <c r="A142" s="1">
        <v>45673</v>
      </c>
      <c r="B142">
        <v>228.26</v>
      </c>
      <c r="C142" s="9">
        <f>IF(COUNTA($B$5:$B142)&lt;=C$1,AVERAGE($B$5:$B142),C$2*($B142-$C141)+$C141)</f>
        <v>237.72577853825891</v>
      </c>
      <c r="D142" s="9">
        <f>IF(COUNTA($B$5:$B142)&lt;=D$1,AVERAGE($B$5:$B142),D$2*($B142-$D141)+$D141)</f>
        <v>239.4833514096768</v>
      </c>
      <c r="E142" s="9">
        <f>IF(COUNTA($B$5:$B142)&lt;=E$1,AVERAGE($B$5:$B142),E$2*($B142-$E141)+$E141)</f>
        <v>242.01233398851559</v>
      </c>
      <c r="F142" s="7">
        <f t="shared" si="2"/>
        <v>-2.528982578838793</v>
      </c>
      <c r="G142" s="7">
        <f>IF(COUNTA($F$5:$F142)&lt;=G$1,AVERAGE($F$5:$F142),G$2*($F142-$G141)+$G141)</f>
        <v>0.1406758468100745</v>
      </c>
      <c r="H142" s="7">
        <f t="shared" si="3"/>
        <v>-2.6696584256488674</v>
      </c>
    </row>
    <row r="143" spans="1:8" x14ac:dyDescent="0.2">
      <c r="A143" s="1">
        <v>45674</v>
      </c>
      <c r="B143">
        <v>229.98</v>
      </c>
      <c r="C143" s="9">
        <f>IF(COUNTA($B$5:$B143)&lt;=C$1,AVERAGE($B$5:$B143),C$2*($B143-$C142)+$C142)</f>
        <v>236.17662283060713</v>
      </c>
      <c r="D143" s="9">
        <f>IF(COUNTA($B$5:$B143)&lt;=D$1,AVERAGE($B$5:$B143),D$2*($B143-$D142)+$D142)</f>
        <v>238.02129734664959</v>
      </c>
      <c r="E143" s="9">
        <f>IF(COUNTA($B$5:$B143)&lt;=E$1,AVERAGE($B$5:$B143),E$2*($B143-$E142)+$E142)</f>
        <v>241.1210499893663</v>
      </c>
      <c r="F143" s="7">
        <f t="shared" si="2"/>
        <v>-3.0997526427167088</v>
      </c>
      <c r="G143" s="7">
        <f>IF(COUNTA($F$5:$F143)&lt;=G$1,AVERAGE($F$5:$F143),G$2*($F143-$G142)+$G142)</f>
        <v>-0.50740985109528214</v>
      </c>
      <c r="H143" s="7">
        <f t="shared" si="3"/>
        <v>-2.5923427916214266</v>
      </c>
    </row>
    <row r="144" spans="1:8" x14ac:dyDescent="0.2">
      <c r="A144" s="1">
        <v>45678</v>
      </c>
      <c r="B144">
        <v>222.64</v>
      </c>
      <c r="C144" s="9">
        <f>IF(COUNTA($B$5:$B144)&lt;=C$1,AVERAGE($B$5:$B144),C$2*($B144-$C143)+$C143)</f>
        <v>233.4692982644857</v>
      </c>
      <c r="D144" s="9">
        <f>IF(COUNTA($B$5:$B144)&lt;=D$1,AVERAGE($B$5:$B144),D$2*($B144-$D143)+$D143)</f>
        <v>235.6549439087035</v>
      </c>
      <c r="E144" s="9">
        <f>IF(COUNTA($B$5:$B144)&lt;=E$1,AVERAGE($B$5:$B144),E$2*($B144-$E143)+$E143)</f>
        <v>239.75208332348731</v>
      </c>
      <c r="F144" s="7">
        <f t="shared" si="2"/>
        <v>-4.0971394147838112</v>
      </c>
      <c r="G144" s="7">
        <f>IF(COUNTA($F$5:$F144)&lt;=G$1,AVERAGE($F$5:$F144),G$2*($F144-$G143)+$G143)</f>
        <v>-1.2253557638329879</v>
      </c>
      <c r="H144" s="7">
        <f t="shared" si="3"/>
        <v>-2.8717836509508232</v>
      </c>
    </row>
    <row r="145" spans="1:8" x14ac:dyDescent="0.2">
      <c r="A145" s="1">
        <v>45679</v>
      </c>
      <c r="B145">
        <v>223.83</v>
      </c>
      <c r="C145" s="9">
        <f>IF(COUNTA($B$5:$B145)&lt;=C$1,AVERAGE($B$5:$B145),C$2*($B145-$C144)+$C144)</f>
        <v>231.54143861158857</v>
      </c>
      <c r="D145" s="9">
        <f>IF(COUNTA($B$5:$B145)&lt;=D$1,AVERAGE($B$5:$B145),D$2*($B145-$D144)+$D144)</f>
        <v>233.83572176890297</v>
      </c>
      <c r="E145" s="9">
        <f>IF(COUNTA($B$5:$B145)&lt;=E$1,AVERAGE($B$5:$B145),E$2*($B145-$E144)+$E144)</f>
        <v>238.57266974396973</v>
      </c>
      <c r="F145" s="7">
        <f t="shared" si="2"/>
        <v>-4.7369479750667551</v>
      </c>
      <c r="G145" s="7">
        <f>IF(COUNTA($F$5:$F145)&lt;=G$1,AVERAGE($F$5:$F145),G$2*($F145-$G144)+$G144)</f>
        <v>-1.9276742060797414</v>
      </c>
      <c r="H145" s="7">
        <f t="shared" si="3"/>
        <v>-2.8092737689870138</v>
      </c>
    </row>
    <row r="146" spans="1:8" x14ac:dyDescent="0.2">
      <c r="A146" s="1">
        <v>45680</v>
      </c>
      <c r="B146">
        <v>223.66</v>
      </c>
      <c r="C146" s="9">
        <f>IF(COUNTA($B$5:$B146)&lt;=C$1,AVERAGE($B$5:$B146),C$2*($B146-$C145)+$C145)</f>
        <v>229.96515088927086</v>
      </c>
      <c r="D146" s="9">
        <f>IF(COUNTA($B$5:$B146)&lt;=D$1,AVERAGE($B$5:$B146),D$2*($B146-$D145)+$D145)</f>
        <v>232.27022611214866</v>
      </c>
      <c r="E146" s="9">
        <f>IF(COUNTA($B$5:$B146)&lt;=E$1,AVERAGE($B$5:$B146),E$2*($B146-$E145)+$E145)</f>
        <v>237.46802754071271</v>
      </c>
      <c r="F146" s="7">
        <f t="shared" ref="F146:F192" si="4">D146-E146</f>
        <v>-5.1978014285640484</v>
      </c>
      <c r="G146" s="7">
        <f>IF(COUNTA($F$5:$F146)&lt;=G$1,AVERAGE($F$5:$F146),G$2*($F146-$G145)+$G145)</f>
        <v>-2.5816996505766028</v>
      </c>
      <c r="H146" s="7">
        <f t="shared" ref="H146:H192" si="5">F146-G146</f>
        <v>-2.6161017779874456</v>
      </c>
    </row>
    <row r="147" spans="1:8" x14ac:dyDescent="0.2">
      <c r="A147" s="1">
        <v>45681</v>
      </c>
      <c r="B147">
        <v>222.78</v>
      </c>
      <c r="C147" s="9">
        <f>IF(COUNTA($B$5:$B147)&lt;=C$1,AVERAGE($B$5:$B147),C$2*($B147-$C146)+$C146)</f>
        <v>228.52812071141668</v>
      </c>
      <c r="D147" s="9">
        <f>IF(COUNTA($B$5:$B147)&lt;=D$1,AVERAGE($B$5:$B147),D$2*($B147-$D146)+$D146)</f>
        <v>230.81019132566425</v>
      </c>
      <c r="E147" s="9">
        <f>IF(COUNTA($B$5:$B147)&lt;=E$1,AVERAGE($B$5:$B147),E$2*($B147-$E146)+$E146)</f>
        <v>236.38002550065991</v>
      </c>
      <c r="F147" s="7">
        <f t="shared" si="4"/>
        <v>-5.5698341749956626</v>
      </c>
      <c r="G147" s="7">
        <f>IF(COUNTA($F$5:$F147)&lt;=G$1,AVERAGE($F$5:$F147),G$2*($F147-$G146)+$G146)</f>
        <v>-3.1793265554604146</v>
      </c>
      <c r="H147" s="7">
        <f t="shared" si="5"/>
        <v>-2.3905076195352479</v>
      </c>
    </row>
    <row r="148" spans="1:8" x14ac:dyDescent="0.2">
      <c r="A148" s="1">
        <v>45684</v>
      </c>
      <c r="B148">
        <v>229.86</v>
      </c>
      <c r="C148" s="9">
        <f>IF(COUNTA($B$5:$B148)&lt;=C$1,AVERAGE($B$5:$B148),C$2*($B148-$C147)+$C147)</f>
        <v>228.79449656913334</v>
      </c>
      <c r="D148" s="9">
        <f>IF(COUNTA($B$5:$B148)&lt;=D$1,AVERAGE($B$5:$B148),D$2*($B148-$D147)+$D147)</f>
        <v>230.66400804479284</v>
      </c>
      <c r="E148" s="9">
        <f>IF(COUNTA($B$5:$B148)&lt;=E$1,AVERAGE($B$5:$B148),E$2*($B148-$E147)+$E147)</f>
        <v>235.89706064875918</v>
      </c>
      <c r="F148" s="7">
        <f t="shared" si="4"/>
        <v>-5.2330526039663425</v>
      </c>
      <c r="G148" s="7">
        <f>IF(COUNTA($F$5:$F148)&lt;=G$1,AVERAGE($F$5:$F148),G$2*($F148-$G147)+$G147)</f>
        <v>-3.5900717651616003</v>
      </c>
      <c r="H148" s="7">
        <f t="shared" si="5"/>
        <v>-1.6429808388047422</v>
      </c>
    </row>
    <row r="149" spans="1:8" x14ac:dyDescent="0.2">
      <c r="A149" s="1">
        <v>45685</v>
      </c>
      <c r="B149">
        <v>238.26</v>
      </c>
      <c r="C149" s="9">
        <f>IF(COUNTA($B$5:$B149)&lt;=C$1,AVERAGE($B$5:$B149),C$2*($B149-$C148)+$C148)</f>
        <v>230.68759725530668</v>
      </c>
      <c r="D149" s="9">
        <f>IF(COUNTA($B$5:$B149)&lt;=D$1,AVERAGE($B$5:$B149),D$2*($B149-$D148)+$D148)</f>
        <v>231.83262219174779</v>
      </c>
      <c r="E149" s="9">
        <f>IF(COUNTA($B$5:$B149)&lt;=E$1,AVERAGE($B$5:$B149),E$2*($B149-$E148)+$E148)</f>
        <v>236.07209319329553</v>
      </c>
      <c r="F149" s="7">
        <f t="shared" si="4"/>
        <v>-4.2394710015477415</v>
      </c>
      <c r="G149" s="7">
        <f>IF(COUNTA($F$5:$F149)&lt;=G$1,AVERAGE($F$5:$F149),G$2*($F149-$G148)+$G148)</f>
        <v>-3.7199516124388285</v>
      </c>
      <c r="H149" s="7">
        <f t="shared" si="5"/>
        <v>-0.51951938910891293</v>
      </c>
    </row>
    <row r="150" spans="1:8" x14ac:dyDescent="0.2">
      <c r="A150" s="1">
        <v>45686</v>
      </c>
      <c r="B150">
        <v>239.36</v>
      </c>
      <c r="C150" s="9">
        <f>IF(COUNTA($B$5:$B150)&lt;=C$1,AVERAGE($B$5:$B150),C$2*($B150-$C149)+$C149)</f>
        <v>232.42207780424536</v>
      </c>
      <c r="D150" s="9">
        <f>IF(COUNTA($B$5:$B150)&lt;=D$1,AVERAGE($B$5:$B150),D$2*($B150-$D149)+$D149)</f>
        <v>232.99068031609428</v>
      </c>
      <c r="E150" s="9">
        <f>IF(COUNTA($B$5:$B150)&lt;=E$1,AVERAGE($B$5:$B150),E$2*($B150-$E149)+$E149)</f>
        <v>236.31564184564402</v>
      </c>
      <c r="F150" s="7">
        <f t="shared" si="4"/>
        <v>-3.3249615295497392</v>
      </c>
      <c r="G150" s="7">
        <f>IF(COUNTA($F$5:$F150)&lt;=G$1,AVERAGE($F$5:$F150),G$2*($F150-$G149)+$G149)</f>
        <v>-3.6409535958610109</v>
      </c>
      <c r="H150" s="7">
        <f t="shared" si="5"/>
        <v>0.31599206631127164</v>
      </c>
    </row>
    <row r="151" spans="1:8" x14ac:dyDescent="0.2">
      <c r="A151" s="1">
        <v>45687</v>
      </c>
      <c r="B151">
        <v>237.59</v>
      </c>
      <c r="C151" s="9">
        <f>IF(COUNTA($B$5:$B151)&lt;=C$1,AVERAGE($B$5:$B151),C$2*($B151-$C150)+$C150)</f>
        <v>233.45566224339629</v>
      </c>
      <c r="D151" s="9">
        <f>IF(COUNTA($B$5:$B151)&lt;=D$1,AVERAGE($B$5:$B151),D$2*($B151-$D150)+$D150)</f>
        <v>233.6982679597721</v>
      </c>
      <c r="E151" s="9">
        <f>IF(COUNTA($B$5:$B151)&lt;=E$1,AVERAGE($B$5:$B151),E$2*($B151-$E150)+$E150)</f>
        <v>236.41003874596669</v>
      </c>
      <c r="F151" s="7">
        <f t="shared" si="4"/>
        <v>-2.7117707861945917</v>
      </c>
      <c r="G151" s="7">
        <f>IF(COUNTA($F$5:$F151)&lt;=G$1,AVERAGE($F$5:$F151),G$2*($F151-$G150)+$G150)</f>
        <v>-3.4551170339277268</v>
      </c>
      <c r="H151" s="7">
        <f t="shared" si="5"/>
        <v>0.74334624773313518</v>
      </c>
    </row>
    <row r="152" spans="1:8" x14ac:dyDescent="0.2">
      <c r="A152" s="1">
        <v>45688</v>
      </c>
      <c r="B152">
        <v>236</v>
      </c>
      <c r="C152" s="9">
        <f>IF(COUNTA($B$5:$B152)&lt;=C$1,AVERAGE($B$5:$B152),C$2*($B152-$C151)+$C151)</f>
        <v>233.96452979471704</v>
      </c>
      <c r="D152" s="9">
        <f>IF(COUNTA($B$5:$B152)&lt;=D$1,AVERAGE($B$5:$B152),D$2*($B152-$D151)+$D151)</f>
        <v>234.05238058134563</v>
      </c>
      <c r="E152" s="9">
        <f>IF(COUNTA($B$5:$B152)&lt;=E$1,AVERAGE($B$5:$B152),E$2*($B152-$E151)+$E151)</f>
        <v>236.37966550552471</v>
      </c>
      <c r="F152" s="7">
        <f t="shared" si="4"/>
        <v>-2.3272849241790823</v>
      </c>
      <c r="G152" s="7">
        <f>IF(COUNTA($F$5:$F152)&lt;=G$1,AVERAGE($F$5:$F152),G$2*($F152-$G151)+$G151)</f>
        <v>-3.2295506119779978</v>
      </c>
      <c r="H152" s="7">
        <f t="shared" si="5"/>
        <v>0.90226568779891547</v>
      </c>
    </row>
    <row r="153" spans="1:8" x14ac:dyDescent="0.2">
      <c r="A153" s="1">
        <v>45691</v>
      </c>
      <c r="B153">
        <v>228.01</v>
      </c>
      <c r="C153" s="9">
        <f>IF(COUNTA($B$5:$B153)&lt;=C$1,AVERAGE($B$5:$B153),C$2*($B153-$C152)+$C152)</f>
        <v>232.77362383577363</v>
      </c>
      <c r="D153" s="9">
        <f>IF(COUNTA($B$5:$B153)&lt;=D$1,AVERAGE($B$5:$B153),D$2*($B153-$D152)+$D152)</f>
        <v>233.12278356883093</v>
      </c>
      <c r="E153" s="9">
        <f>IF(COUNTA($B$5:$B153)&lt;=E$1,AVERAGE($B$5:$B153),E$2*($B153-$E152)+$E152)</f>
        <v>235.75969028289325</v>
      </c>
      <c r="F153" s="7">
        <f t="shared" si="4"/>
        <v>-2.6369067140623201</v>
      </c>
      <c r="G153" s="7">
        <f>IF(COUNTA($F$5:$F153)&lt;=G$1,AVERAGE($F$5:$F153),G$2*($F153-$G152)+$G152)</f>
        <v>-3.1110218323948624</v>
      </c>
      <c r="H153" s="7">
        <f t="shared" si="5"/>
        <v>0.47411511833254227</v>
      </c>
    </row>
    <row r="154" spans="1:8" x14ac:dyDescent="0.2">
      <c r="A154" s="1">
        <v>45692</v>
      </c>
      <c r="B154">
        <v>232.8</v>
      </c>
      <c r="C154" s="9">
        <f>IF(COUNTA($B$5:$B154)&lt;=C$1,AVERAGE($B$5:$B154),C$2*($B154-$C153)+$C153)</f>
        <v>232.7788990686189</v>
      </c>
      <c r="D154" s="9">
        <f>IF(COUNTA($B$5:$B154)&lt;=D$1,AVERAGE($B$5:$B154),D$2*($B154-$D153)+$D153)</f>
        <v>233.07312455824155</v>
      </c>
      <c r="E154" s="9">
        <f>IF(COUNTA($B$5:$B154)&lt;=E$1,AVERAGE($B$5:$B154),E$2*($B154-$E153)+$E153)</f>
        <v>235.54045396564189</v>
      </c>
      <c r="F154" s="7">
        <f t="shared" si="4"/>
        <v>-2.4673294074003422</v>
      </c>
      <c r="G154" s="7">
        <f>IF(COUNTA($F$5:$F154)&lt;=G$1,AVERAGE($F$5:$F154),G$2*($F154-$G153)+$G153)</f>
        <v>-2.9822833473959585</v>
      </c>
      <c r="H154" s="7">
        <f t="shared" si="5"/>
        <v>0.51495393999561623</v>
      </c>
    </row>
    <row r="155" spans="1:8" x14ac:dyDescent="0.2">
      <c r="A155" s="1">
        <v>45693</v>
      </c>
      <c r="B155">
        <v>232.47</v>
      </c>
      <c r="C155" s="9">
        <f>IF(COUNTA($B$5:$B155)&lt;=C$1,AVERAGE($B$5:$B155),C$2*($B155-$C154)+$C154)</f>
        <v>232.71711925489512</v>
      </c>
      <c r="D155" s="9">
        <f>IF(COUNTA($B$5:$B155)&lt;=D$1,AVERAGE($B$5:$B155),D$2*($B155-$D154)+$D154)</f>
        <v>232.98033616466591</v>
      </c>
      <c r="E155" s="9">
        <f>IF(COUNTA($B$5:$B155)&lt;=E$1,AVERAGE($B$5:$B155),E$2*($B155-$E154)+$E154)</f>
        <v>235.3130129311499</v>
      </c>
      <c r="F155" s="7">
        <f t="shared" si="4"/>
        <v>-2.3326767664839849</v>
      </c>
      <c r="G155" s="7">
        <f>IF(COUNTA($F$5:$F155)&lt;=G$1,AVERAGE($F$5:$F155),G$2*($F155-$G154)+$G154)</f>
        <v>-2.8523620312135636</v>
      </c>
      <c r="H155" s="7">
        <f t="shared" si="5"/>
        <v>0.51968526472957866</v>
      </c>
    </row>
    <row r="156" spans="1:8" x14ac:dyDescent="0.2">
      <c r="A156" s="1">
        <v>45694</v>
      </c>
      <c r="B156">
        <v>233.22</v>
      </c>
      <c r="C156" s="9">
        <f>IF(COUNTA($B$5:$B156)&lt;=C$1,AVERAGE($B$5:$B156),C$2*($B156-$C155)+$C155)</f>
        <v>232.8176954039161</v>
      </c>
      <c r="D156" s="9">
        <f>IF(COUNTA($B$5:$B156)&lt;=D$1,AVERAGE($B$5:$B156),D$2*($B156-$D155)+$D155)</f>
        <v>233.01720752394809</v>
      </c>
      <c r="E156" s="9">
        <f>IF(COUNTA($B$5:$B156)&lt;=E$1,AVERAGE($B$5:$B156),E$2*($B156-$E155)+$E155)</f>
        <v>235.1579749362499</v>
      </c>
      <c r="F156" s="7">
        <f t="shared" si="4"/>
        <v>-2.1407674123018126</v>
      </c>
      <c r="G156" s="7">
        <f>IF(COUNTA($F$5:$F156)&lt;=G$1,AVERAGE($F$5:$F156),G$2*($F156-$G155)+$G155)</f>
        <v>-2.7100431074312135</v>
      </c>
      <c r="H156" s="7">
        <f t="shared" si="5"/>
        <v>0.5692756951294009</v>
      </c>
    </row>
    <row r="157" spans="1:8" x14ac:dyDescent="0.2">
      <c r="A157" s="1">
        <v>45695</v>
      </c>
      <c r="B157">
        <v>227.63</v>
      </c>
      <c r="C157" s="9">
        <f>IF(COUNTA($B$5:$B157)&lt;=C$1,AVERAGE($B$5:$B157),C$2*($B157-$C156)+$C156)</f>
        <v>231.78015632313287</v>
      </c>
      <c r="D157" s="9">
        <f>IF(COUNTA($B$5:$B157)&lt;=D$1,AVERAGE($B$5:$B157),D$2*($B157-$D156)+$D156)</f>
        <v>232.18840636641761</v>
      </c>
      <c r="E157" s="9">
        <f>IF(COUNTA($B$5:$B157)&lt;=E$1,AVERAGE($B$5:$B157),E$2*($B157-$E156)+$E156)</f>
        <v>234.60034716319436</v>
      </c>
      <c r="F157" s="7">
        <f t="shared" si="4"/>
        <v>-2.4119407967767472</v>
      </c>
      <c r="G157" s="7">
        <f>IF(COUNTA($F$5:$F157)&lt;=G$1,AVERAGE($F$5:$F157),G$2*($F157-$G156)+$G156)</f>
        <v>-2.6504226453003201</v>
      </c>
      <c r="H157" s="7">
        <f t="shared" si="5"/>
        <v>0.2384818485235729</v>
      </c>
    </row>
    <row r="158" spans="1:8" x14ac:dyDescent="0.2">
      <c r="A158" s="1">
        <v>45698</v>
      </c>
      <c r="B158">
        <v>227.65</v>
      </c>
      <c r="C158" s="9">
        <f>IF(COUNTA($B$5:$B158)&lt;=C$1,AVERAGE($B$5:$B158),C$2*($B158-$C157)+$C157)</f>
        <v>230.95412505850629</v>
      </c>
      <c r="D158" s="9">
        <f>IF(COUNTA($B$5:$B158)&lt;=D$1,AVERAGE($B$5:$B158),D$2*($B158-$D157)+$D157)</f>
        <v>231.49019000235336</v>
      </c>
      <c r="E158" s="9">
        <f>IF(COUNTA($B$5:$B158)&lt;=E$1,AVERAGE($B$5:$B158),E$2*($B158-$E157)+$E157)</f>
        <v>234.08550663258737</v>
      </c>
      <c r="F158" s="7">
        <f t="shared" si="4"/>
        <v>-2.5953166302340094</v>
      </c>
      <c r="G158" s="7">
        <f>IF(COUNTA($F$5:$F158)&lt;=G$1,AVERAGE($F$5:$F158),G$2*($F158-$G157)+$G157)</f>
        <v>-2.639401442287058</v>
      </c>
      <c r="H158" s="7">
        <f t="shared" si="5"/>
        <v>4.4084812053048594E-2</v>
      </c>
    </row>
    <row r="159" spans="1:8" x14ac:dyDescent="0.2">
      <c r="A159" s="1">
        <v>45699</v>
      </c>
      <c r="B159">
        <v>232.62</v>
      </c>
      <c r="C159" s="9">
        <f>IF(COUNTA($B$5:$B159)&lt;=C$1,AVERAGE($B$5:$B159),C$2*($B159-$C158)+$C158)</f>
        <v>231.28730004680503</v>
      </c>
      <c r="D159" s="9">
        <f>IF(COUNTA($B$5:$B159)&lt;=D$1,AVERAGE($B$5:$B159),D$2*($B159-$D158)+$D158)</f>
        <v>231.66400692506824</v>
      </c>
      <c r="E159" s="9">
        <f>IF(COUNTA($B$5:$B159)&lt;=E$1,AVERAGE($B$5:$B159),E$2*($B159-$E158)+$E158)</f>
        <v>233.97695058572904</v>
      </c>
      <c r="F159" s="7">
        <f t="shared" si="4"/>
        <v>-2.3129436606608067</v>
      </c>
      <c r="G159" s="7">
        <f>IF(COUNTA($F$5:$F159)&lt;=G$1,AVERAGE($F$5:$F159),G$2*($F159-$G158)+$G158)</f>
        <v>-2.5741098859618079</v>
      </c>
      <c r="H159" s="7">
        <f t="shared" si="5"/>
        <v>0.2611662253010012</v>
      </c>
    </row>
    <row r="160" spans="1:8" x14ac:dyDescent="0.2">
      <c r="A160" s="1">
        <v>45700</v>
      </c>
      <c r="B160">
        <v>236.87</v>
      </c>
      <c r="C160" s="9">
        <f>IF(COUNTA($B$5:$B160)&lt;=C$1,AVERAGE($B$5:$B160),C$2*($B160-$C159)+$C159)</f>
        <v>232.40384003744401</v>
      </c>
      <c r="D160" s="9">
        <f>IF(COUNTA($B$5:$B160)&lt;=D$1,AVERAGE($B$5:$B160),D$2*($B160-$D159)+$D159)</f>
        <v>232.46492893659621</v>
      </c>
      <c r="E160" s="9">
        <f>IF(COUNTA($B$5:$B160)&lt;=E$1,AVERAGE($B$5:$B160),E$2*($B160-$E159)+$E159)</f>
        <v>234.19125054234172</v>
      </c>
      <c r="F160" s="7">
        <f t="shared" si="4"/>
        <v>-1.7263216057455111</v>
      </c>
      <c r="G160" s="7">
        <f>IF(COUNTA($F$5:$F160)&lt;=G$1,AVERAGE($F$5:$F160),G$2*($F160-$G159)+$G159)</f>
        <v>-2.4045522299185484</v>
      </c>
      <c r="H160" s="7">
        <f t="shared" si="5"/>
        <v>0.67823062417303737</v>
      </c>
    </row>
    <row r="161" spans="1:8" x14ac:dyDescent="0.2">
      <c r="A161" s="1">
        <v>45701</v>
      </c>
      <c r="B161">
        <v>241.53</v>
      </c>
      <c r="C161" s="9">
        <f>IF(COUNTA($B$5:$B161)&lt;=C$1,AVERAGE($B$5:$B161),C$2*($B161-$C160)+$C160)</f>
        <v>234.2290720299552</v>
      </c>
      <c r="D161" s="9">
        <f>IF(COUNTA($B$5:$B161)&lt;=D$1,AVERAGE($B$5:$B161),D$2*($B161-$D160)+$D160)</f>
        <v>233.85955525404296</v>
      </c>
      <c r="E161" s="9">
        <f>IF(COUNTA($B$5:$B161)&lt;=E$1,AVERAGE($B$5:$B161),E$2*($B161-$E160)+$E160)</f>
        <v>234.73486161327938</v>
      </c>
      <c r="F161" s="7">
        <f t="shared" si="4"/>
        <v>-0.87530635923641853</v>
      </c>
      <c r="G161" s="7">
        <f>IF(COUNTA($F$5:$F161)&lt;=G$1,AVERAGE($F$5:$F161),G$2*($F161-$G160)+$G160)</f>
        <v>-2.0987030557821225</v>
      </c>
      <c r="H161" s="7">
        <f t="shared" si="5"/>
        <v>1.2233966965457039</v>
      </c>
    </row>
    <row r="162" spans="1:8" x14ac:dyDescent="0.2">
      <c r="A162" s="1">
        <v>45702</v>
      </c>
      <c r="B162">
        <v>244.6</v>
      </c>
      <c r="C162" s="9">
        <f>IF(COUNTA($B$5:$B162)&lt;=C$1,AVERAGE($B$5:$B162),C$2*($B162-$C161)+$C161)</f>
        <v>236.30325762396416</v>
      </c>
      <c r="D162" s="9">
        <f>IF(COUNTA($B$5:$B162)&lt;=D$1,AVERAGE($B$5:$B162),D$2*($B162-$D161)+$D161)</f>
        <v>235.51193136880559</v>
      </c>
      <c r="E162" s="9">
        <f>IF(COUNTA($B$5:$B162)&lt;=E$1,AVERAGE($B$5:$B162),E$2*($B162-$E161)+$E161)</f>
        <v>235.46561260488832</v>
      </c>
      <c r="F162" s="7">
        <f t="shared" si="4"/>
        <v>4.6318763917270189E-2</v>
      </c>
      <c r="G162" s="7">
        <f>IF(COUNTA($F$5:$F162)&lt;=G$1,AVERAGE($F$5:$F162),G$2*($F162-$G161)+$G161)</f>
        <v>-1.6696986918422438</v>
      </c>
      <c r="H162" s="7">
        <f t="shared" si="5"/>
        <v>1.716017455759514</v>
      </c>
    </row>
    <row r="163" spans="1:8" x14ac:dyDescent="0.2">
      <c r="A163" s="1">
        <v>45706</v>
      </c>
      <c r="B163">
        <v>244.47</v>
      </c>
      <c r="C163" s="9">
        <f>IF(COUNTA($B$5:$B163)&lt;=C$1,AVERAGE($B$5:$B163),C$2*($B163-$C162)+$C162)</f>
        <v>237.93660609917131</v>
      </c>
      <c r="D163" s="9">
        <f>IF(COUNTA($B$5:$B163)&lt;=D$1,AVERAGE($B$5:$B163),D$2*($B163-$D162)+$D162)</f>
        <v>236.89009577360474</v>
      </c>
      <c r="E163" s="9">
        <f>IF(COUNTA($B$5:$B163)&lt;=E$1,AVERAGE($B$5:$B163),E$2*($B163-$E162)+$E162)</f>
        <v>236.13260426378548</v>
      </c>
      <c r="F163" s="7">
        <f t="shared" si="4"/>
        <v>0.7574915098192605</v>
      </c>
      <c r="G163" s="7">
        <f>IF(COUNTA($F$5:$F163)&lt;=G$1,AVERAGE($F$5:$F163),G$2*($F163-$G162)+$G162)</f>
        <v>-1.184260651509943</v>
      </c>
      <c r="H163" s="7">
        <f t="shared" si="5"/>
        <v>1.9417521613292035</v>
      </c>
    </row>
    <row r="164" spans="1:8" x14ac:dyDescent="0.2">
      <c r="A164" s="1">
        <v>45707</v>
      </c>
      <c r="B164">
        <v>244.87</v>
      </c>
      <c r="C164" s="9">
        <f>IF(COUNTA($B$5:$B164)&lt;=C$1,AVERAGE($B$5:$B164),C$2*($B164-$C163)+$C163)</f>
        <v>239.32328487933705</v>
      </c>
      <c r="D164" s="9">
        <f>IF(COUNTA($B$5:$B164)&lt;=D$1,AVERAGE($B$5:$B164),D$2*($B164-$D163)+$D163)</f>
        <v>238.11777334689631</v>
      </c>
      <c r="E164" s="9">
        <f>IF(COUNTA($B$5:$B164)&lt;=E$1,AVERAGE($B$5:$B164),E$2*($B164-$E163)+$E163)</f>
        <v>236.77981876276434</v>
      </c>
      <c r="F164" s="7">
        <f t="shared" si="4"/>
        <v>1.3379545841319782</v>
      </c>
      <c r="G164" s="7">
        <f>IF(COUNTA($F$5:$F164)&lt;=G$1,AVERAGE($F$5:$F164),G$2*($F164-$G163)+$G163)</f>
        <v>-0.67981760438155869</v>
      </c>
      <c r="H164" s="7">
        <f t="shared" si="5"/>
        <v>2.0177721885135371</v>
      </c>
    </row>
    <row r="165" spans="1:8" x14ac:dyDescent="0.2">
      <c r="A165" s="1">
        <v>45708</v>
      </c>
      <c r="B165">
        <v>245.83</v>
      </c>
      <c r="C165" s="9">
        <f>IF(COUNTA($B$5:$B165)&lt;=C$1,AVERAGE($B$5:$B165),C$2*($B165-$C164)+$C164)</f>
        <v>240.62462790346964</v>
      </c>
      <c r="D165" s="9">
        <f>IF(COUNTA($B$5:$B165)&lt;=D$1,AVERAGE($B$5:$B165),D$2*($B165-$D164)+$D164)</f>
        <v>239.30426975506612</v>
      </c>
      <c r="E165" s="9">
        <f>IF(COUNTA($B$5:$B165)&lt;=E$1,AVERAGE($B$5:$B165),E$2*($B165-$E164)+$E164)</f>
        <v>237.45020255811514</v>
      </c>
      <c r="F165" s="7">
        <f t="shared" si="4"/>
        <v>1.8540671969509788</v>
      </c>
      <c r="G165" s="7">
        <f>IF(COUNTA($F$5:$F165)&lt;=G$1,AVERAGE($F$5:$F165),G$2*($F165-$G164)+$G164)</f>
        <v>-0.17304064411505116</v>
      </c>
      <c r="H165" s="7">
        <f t="shared" si="5"/>
        <v>2.0271078410660301</v>
      </c>
    </row>
    <row r="166" spans="1:8" x14ac:dyDescent="0.2">
      <c r="A166" s="1">
        <v>45709</v>
      </c>
      <c r="B166">
        <v>245.55</v>
      </c>
      <c r="C166" s="9">
        <f>IF(COUNTA($B$5:$B166)&lt;=C$1,AVERAGE($B$5:$B166),C$2*($B166-$C165)+$C165)</f>
        <v>241.60970232277572</v>
      </c>
      <c r="D166" s="9">
        <f>IF(COUNTA($B$5:$B166)&lt;=D$1,AVERAGE($B$5:$B166),D$2*($B166-$D165)+$D165)</f>
        <v>240.26515133120978</v>
      </c>
      <c r="E166" s="9">
        <f>IF(COUNTA($B$5:$B166)&lt;=E$1,AVERAGE($B$5:$B166),E$2*($B166-$E165)+$E165)</f>
        <v>238.0501875538103</v>
      </c>
      <c r="F166" s="7">
        <f t="shared" si="4"/>
        <v>2.2149637773994755</v>
      </c>
      <c r="G166" s="7">
        <f>IF(COUNTA($F$5:$F166)&lt;=G$1,AVERAGE($F$5:$F166),G$2*($F166-$G165)+$G165)</f>
        <v>0.30456024018785421</v>
      </c>
      <c r="H166" s="7">
        <f t="shared" si="5"/>
        <v>1.9104035372116213</v>
      </c>
    </row>
    <row r="167" spans="1:8" x14ac:dyDescent="0.2">
      <c r="A167" s="1">
        <v>45712</v>
      </c>
      <c r="B167">
        <v>247.1</v>
      </c>
      <c r="C167" s="9">
        <f>IF(COUNTA($B$5:$B167)&lt;=C$1,AVERAGE($B$5:$B167),C$2*($B167-$C166)+$C166)</f>
        <v>242.70776185822058</v>
      </c>
      <c r="D167" s="9">
        <f>IF(COUNTA($B$5:$B167)&lt;=D$1,AVERAGE($B$5:$B167),D$2*($B167-$D166)+$D166)</f>
        <v>241.31666651102367</v>
      </c>
      <c r="E167" s="9">
        <f>IF(COUNTA($B$5:$B167)&lt;=E$1,AVERAGE($B$5:$B167),E$2*($B167-$E166)+$E166)</f>
        <v>238.72054403130585</v>
      </c>
      <c r="F167" s="7">
        <f t="shared" si="4"/>
        <v>2.5961224797178204</v>
      </c>
      <c r="G167" s="7">
        <f>IF(COUNTA($F$5:$F167)&lt;=G$1,AVERAGE($F$5:$F167),G$2*($F167-$G166)+$G166)</f>
        <v>0.76287268809384745</v>
      </c>
      <c r="H167" s="7">
        <f t="shared" si="5"/>
        <v>1.8332497916239729</v>
      </c>
    </row>
    <row r="168" spans="1:8" x14ac:dyDescent="0.2">
      <c r="A168" s="1">
        <v>45713</v>
      </c>
      <c r="B168">
        <v>247.04</v>
      </c>
      <c r="C168" s="9">
        <f>IF(COUNTA($B$5:$B168)&lt;=C$1,AVERAGE($B$5:$B168),C$2*($B168-$C167)+$C167)</f>
        <v>243.57420948657645</v>
      </c>
      <c r="D168" s="9">
        <f>IF(COUNTA($B$5:$B168)&lt;=D$1,AVERAGE($B$5:$B168),D$2*($B168-$D167)+$D167)</f>
        <v>242.19717935548155</v>
      </c>
      <c r="E168" s="9">
        <f>IF(COUNTA($B$5:$B168)&lt;=E$1,AVERAGE($B$5:$B168),E$2*($B168-$E167)+$E167)</f>
        <v>239.33680002898689</v>
      </c>
      <c r="F168" s="7">
        <f t="shared" si="4"/>
        <v>2.860379326494666</v>
      </c>
      <c r="G168" s="7">
        <f>IF(COUNTA($F$5:$F168)&lt;=G$1,AVERAGE($F$5:$F168),G$2*($F168-$G167)+$G167)</f>
        <v>1.1823740157740112</v>
      </c>
      <c r="H168" s="7">
        <f t="shared" si="5"/>
        <v>1.6780053107206547</v>
      </c>
    </row>
    <row r="169" spans="1:8" x14ac:dyDescent="0.2">
      <c r="A169" s="1">
        <v>45714</v>
      </c>
      <c r="B169">
        <v>240.36</v>
      </c>
      <c r="C169" s="9">
        <f>IF(COUNTA($B$5:$B169)&lt;=C$1,AVERAGE($B$5:$B169),C$2*($B169-$C168)+$C168)</f>
        <v>242.93136758926116</v>
      </c>
      <c r="D169" s="9">
        <f>IF(COUNTA($B$5:$B169)&lt;=D$1,AVERAGE($B$5:$B169),D$2*($B169-$D168)+$D168)</f>
        <v>241.91453637771517</v>
      </c>
      <c r="E169" s="9">
        <f>IF(COUNTA($B$5:$B169)&lt;=E$1,AVERAGE($B$5:$B169),E$2*($B169-$E168)+$E168)</f>
        <v>239.4125926194323</v>
      </c>
      <c r="F169" s="7">
        <f t="shared" si="4"/>
        <v>2.501943758282863</v>
      </c>
      <c r="G169" s="7">
        <f>IF(COUNTA($F$5:$F169)&lt;=G$1,AVERAGE($F$5:$F169),G$2*($F169-$G168)+$G168)</f>
        <v>1.4462879642757815</v>
      </c>
      <c r="H169" s="7">
        <f t="shared" si="5"/>
        <v>1.0556557940070814</v>
      </c>
    </row>
    <row r="170" spans="1:8" x14ac:dyDescent="0.2">
      <c r="A170" s="1">
        <v>45715</v>
      </c>
      <c r="B170">
        <v>237.3</v>
      </c>
      <c r="C170" s="9">
        <f>IF(COUNTA($B$5:$B170)&lt;=C$1,AVERAGE($B$5:$B170),C$2*($B170-$C169)+$C169)</f>
        <v>241.80509407140892</v>
      </c>
      <c r="D170" s="9">
        <f>IF(COUNTA($B$5:$B170)&lt;=D$1,AVERAGE($B$5:$B170),D$2*($B170-$D169)+$D169)</f>
        <v>241.20460770422054</v>
      </c>
      <c r="E170" s="9">
        <f>IF(COUNTA($B$5:$B170)&lt;=E$1,AVERAGE($B$5:$B170),E$2*($B170-$E169)+$E169)</f>
        <v>239.25610427725212</v>
      </c>
      <c r="F170" s="7">
        <f t="shared" si="4"/>
        <v>1.9485034269684149</v>
      </c>
      <c r="G170" s="7">
        <f>IF(COUNTA($F$5:$F170)&lt;=G$1,AVERAGE($F$5:$F170),G$2*($F170-$G169)+$G169)</f>
        <v>1.5467310568143082</v>
      </c>
      <c r="H170" s="7">
        <f t="shared" si="5"/>
        <v>0.40177237015410672</v>
      </c>
    </row>
    <row r="171" spans="1:8" x14ac:dyDescent="0.2">
      <c r="A171" s="1">
        <v>45716</v>
      </c>
      <c r="B171">
        <v>241.84</v>
      </c>
      <c r="C171" s="9">
        <f>IF(COUNTA($B$5:$B171)&lt;=C$1,AVERAGE($B$5:$B171),C$2*($B171-$C170)+$C170)</f>
        <v>241.81207525712713</v>
      </c>
      <c r="D171" s="9">
        <f>IF(COUNTA($B$5:$B171)&lt;=D$1,AVERAGE($B$5:$B171),D$2*($B171-$D170)+$D170)</f>
        <v>241.30236036510968</v>
      </c>
      <c r="E171" s="9">
        <f>IF(COUNTA($B$5:$B171)&lt;=E$1,AVERAGE($B$5:$B171),E$2*($B171-$E170)+$E170)</f>
        <v>239.44750396041863</v>
      </c>
      <c r="F171" s="7">
        <f t="shared" si="4"/>
        <v>1.8548564046910485</v>
      </c>
      <c r="G171" s="7">
        <f>IF(COUNTA($F$5:$F171)&lt;=G$1,AVERAGE($F$5:$F171),G$2*($F171-$G170)+$G170)</f>
        <v>1.6083561263896562</v>
      </c>
      <c r="H171" s="7">
        <f t="shared" si="5"/>
        <v>0.24650027830139232</v>
      </c>
    </row>
    <row r="172" spans="1:8" x14ac:dyDescent="0.2">
      <c r="A172" s="1">
        <v>45719</v>
      </c>
      <c r="B172">
        <v>238.03</v>
      </c>
      <c r="C172" s="9">
        <f>IF(COUNTA($B$5:$B172)&lt;=C$1,AVERAGE($B$5:$B172),C$2*($B172-$C171)+$C171)</f>
        <v>241.05566020570171</v>
      </c>
      <c r="D172" s="9">
        <f>IF(COUNTA($B$5:$B172)&lt;=D$1,AVERAGE($B$5:$B172),D$2*($B172-$D171)+$D171)</f>
        <v>240.79892030893896</v>
      </c>
      <c r="E172" s="9">
        <f>IF(COUNTA($B$5:$B172)&lt;=E$1,AVERAGE($B$5:$B172),E$2*($B172-$E171)+$E171)</f>
        <v>239.34250366705427</v>
      </c>
      <c r="F172" s="7">
        <f t="shared" si="4"/>
        <v>1.4564166418846867</v>
      </c>
      <c r="G172" s="7">
        <f>IF(COUNTA($F$5:$F172)&lt;=G$1,AVERAGE($F$5:$F172),G$2*($F172-$G171)+$G171)</f>
        <v>1.5779682294886623</v>
      </c>
      <c r="H172" s="7">
        <f t="shared" si="5"/>
        <v>-0.12155158760397566</v>
      </c>
    </row>
    <row r="173" spans="1:8" x14ac:dyDescent="0.2">
      <c r="A173" s="1">
        <v>45720</v>
      </c>
      <c r="B173">
        <v>235.93</v>
      </c>
      <c r="C173" s="9">
        <f>IF(COUNTA($B$5:$B173)&lt;=C$1,AVERAGE($B$5:$B173),C$2*($B173-$C172)+$C172)</f>
        <v>240.03052816456136</v>
      </c>
      <c r="D173" s="9">
        <f>IF(COUNTA($B$5:$B173)&lt;=D$1,AVERAGE($B$5:$B173),D$2*($B173-$D172)+$D172)</f>
        <v>240.04985564602526</v>
      </c>
      <c r="E173" s="9">
        <f>IF(COUNTA($B$5:$B173)&lt;=E$1,AVERAGE($B$5:$B173),E$2*($B173-$E172)+$E172)</f>
        <v>239.08972561764284</v>
      </c>
      <c r="F173" s="7">
        <f t="shared" si="4"/>
        <v>0.96013002838242301</v>
      </c>
      <c r="G173" s="7">
        <f>IF(COUNTA($F$5:$F173)&lt;=G$1,AVERAGE($F$5:$F173),G$2*($F173-$G172)+$G172)</f>
        <v>1.4544005892674146</v>
      </c>
      <c r="H173" s="7">
        <f t="shared" si="5"/>
        <v>-0.49427056088499155</v>
      </c>
    </row>
    <row r="174" spans="1:8" x14ac:dyDescent="0.2">
      <c r="A174" s="1">
        <v>45721</v>
      </c>
      <c r="B174">
        <v>235.74</v>
      </c>
      <c r="C174" s="9">
        <f>IF(COUNTA($B$5:$B174)&lt;=C$1,AVERAGE($B$5:$B174),C$2*($B174-$C173)+$C173)</f>
        <v>239.17242253164909</v>
      </c>
      <c r="D174" s="9">
        <f>IF(COUNTA($B$5:$B174)&lt;=D$1,AVERAGE($B$5:$B174),D$2*($B174-$D173)+$D173)</f>
        <v>239.38680093125214</v>
      </c>
      <c r="E174" s="9">
        <f>IF(COUNTA($B$5:$B174)&lt;=E$1,AVERAGE($B$5:$B174),E$2*($B174-$E173)+$E173)</f>
        <v>238.84159779411374</v>
      </c>
      <c r="F174" s="7">
        <f t="shared" si="4"/>
        <v>0.54520313713840096</v>
      </c>
      <c r="G174" s="7">
        <f>IF(COUNTA($F$5:$F174)&lt;=G$1,AVERAGE($F$5:$F174),G$2*($F174-$G173)+$G173)</f>
        <v>1.2725610988416118</v>
      </c>
      <c r="H174" s="7">
        <f t="shared" si="5"/>
        <v>-0.72735796170321088</v>
      </c>
    </row>
    <row r="175" spans="1:8" x14ac:dyDescent="0.2">
      <c r="A175" s="1">
        <v>45722</v>
      </c>
      <c r="B175">
        <v>235.33</v>
      </c>
      <c r="C175" s="9">
        <f>IF(COUNTA($B$5:$B175)&lt;=C$1,AVERAGE($B$5:$B175),C$2*($B175-$C174)+$C174)</f>
        <v>238.40393802531926</v>
      </c>
      <c r="D175" s="9">
        <f>IF(COUNTA($B$5:$B175)&lt;=D$1,AVERAGE($B$5:$B175),D$2*($B175-$D174)+$D174)</f>
        <v>238.7626777110595</v>
      </c>
      <c r="E175" s="9">
        <f>IF(COUNTA($B$5:$B175)&lt;=E$1,AVERAGE($B$5:$B175),E$2*($B175-$E174)+$E174)</f>
        <v>238.58147943899419</v>
      </c>
      <c r="F175" s="7">
        <f t="shared" si="4"/>
        <v>0.18119827206530204</v>
      </c>
      <c r="G175" s="7">
        <f>IF(COUNTA($F$5:$F175)&lt;=G$1,AVERAGE($F$5:$F175),G$2*($F175-$G174)+$G174)</f>
        <v>1.0542885334863499</v>
      </c>
      <c r="H175" s="7">
        <f t="shared" si="5"/>
        <v>-0.87309026142104784</v>
      </c>
    </row>
    <row r="176" spans="1:8" x14ac:dyDescent="0.2">
      <c r="A176" s="1">
        <v>45723</v>
      </c>
      <c r="B176">
        <v>239.07</v>
      </c>
      <c r="C176" s="9">
        <f>IF(COUNTA($B$5:$B176)&lt;=C$1,AVERAGE($B$5:$B176),C$2*($B176-$C175)+$C175)</f>
        <v>238.53715042025541</v>
      </c>
      <c r="D176" s="9">
        <f>IF(COUNTA($B$5:$B176)&lt;=D$1,AVERAGE($B$5:$B176),D$2*($B176-$D175)+$D175)</f>
        <v>238.80995806320419</v>
      </c>
      <c r="E176" s="9">
        <f>IF(COUNTA($B$5:$B176)&lt;=E$1,AVERAGE($B$5:$B176),E$2*($B176-$E175)+$E175)</f>
        <v>238.61766614721685</v>
      </c>
      <c r="F176" s="7">
        <f t="shared" si="4"/>
        <v>0.19229191598734019</v>
      </c>
      <c r="G176" s="7">
        <f>IF(COUNTA($F$5:$F176)&lt;=G$1,AVERAGE($F$5:$F176),G$2*($F176-$G175)+$G175)</f>
        <v>0.88188920998654796</v>
      </c>
      <c r="H176" s="7">
        <f t="shared" si="5"/>
        <v>-0.68959729399920777</v>
      </c>
    </row>
    <row r="177" spans="1:8" x14ac:dyDescent="0.2">
      <c r="A177" s="1">
        <v>45726</v>
      </c>
      <c r="B177">
        <v>227.48</v>
      </c>
      <c r="C177" s="9">
        <f>IF(COUNTA($B$5:$B177)&lt;=C$1,AVERAGE($B$5:$B177),C$2*($B177-$C176)+$C176)</f>
        <v>236.32572033620434</v>
      </c>
      <c r="D177" s="9">
        <f>IF(COUNTA($B$5:$B177)&lt;=D$1,AVERAGE($B$5:$B177),D$2*($B177-$D176)+$D176)</f>
        <v>237.06688759194202</v>
      </c>
      <c r="E177" s="9">
        <f>IF(COUNTA($B$5:$B177)&lt;=E$1,AVERAGE($B$5:$B177),E$2*($B177-$E176)+$E176)</f>
        <v>237.79265384001559</v>
      </c>
      <c r="F177" s="7">
        <f t="shared" si="4"/>
        <v>-0.72576624807356893</v>
      </c>
      <c r="G177" s="7">
        <f>IF(COUNTA($F$5:$F177)&lt;=G$1,AVERAGE($F$5:$F177),G$2*($F177-$G176)+$G176)</f>
        <v>0.56035811837452454</v>
      </c>
      <c r="H177" s="7">
        <f t="shared" si="5"/>
        <v>-1.2861243664480935</v>
      </c>
    </row>
    <row r="178" spans="1:8" x14ac:dyDescent="0.2">
      <c r="A178" s="1">
        <v>45727</v>
      </c>
      <c r="B178">
        <v>220.84</v>
      </c>
      <c r="C178" s="9">
        <f>IF(COUNTA($B$5:$B178)&lt;=C$1,AVERAGE($B$5:$B178),C$2*($B178-$C177)+$C177)</f>
        <v>233.22857626896348</v>
      </c>
      <c r="D178" s="9">
        <f>IF(COUNTA($B$5:$B178)&lt;=D$1,AVERAGE($B$5:$B178),D$2*($B178-$D177)+$D177)</f>
        <v>234.57044334702786</v>
      </c>
      <c r="E178" s="9">
        <f>IF(COUNTA($B$5:$B178)&lt;=E$1,AVERAGE($B$5:$B178),E$2*($B178-$E177)+$E177)</f>
        <v>236.53690170371814</v>
      </c>
      <c r="F178" s="7">
        <f t="shared" si="4"/>
        <v>-1.966458356690282</v>
      </c>
      <c r="G178" s="7">
        <f>IF(COUNTA($F$5:$F178)&lt;=G$1,AVERAGE($F$5:$F178),G$2*($F178-$G177)+$G177)</f>
        <v>5.499482336156325E-2</v>
      </c>
      <c r="H178" s="7">
        <f t="shared" si="5"/>
        <v>-2.0214531800518452</v>
      </c>
    </row>
    <row r="179" spans="1:8" x14ac:dyDescent="0.2">
      <c r="A179" s="1">
        <v>45728</v>
      </c>
      <c r="B179">
        <v>216.98</v>
      </c>
      <c r="C179" s="9">
        <f>IF(COUNTA($B$5:$B179)&lt;=C$1,AVERAGE($B$5:$B179),C$2*($B179-$C178)+$C178)</f>
        <v>229.97886101517079</v>
      </c>
      <c r="D179" s="9">
        <f>IF(COUNTA($B$5:$B179)&lt;=D$1,AVERAGE($B$5:$B179),D$2*($B179-$D178)+$D178)</f>
        <v>231.86422129363896</v>
      </c>
      <c r="E179" s="9">
        <f>IF(COUNTA($B$5:$B179)&lt;=E$1,AVERAGE($B$5:$B179),E$2*($B179-$E178)+$E178)</f>
        <v>235.08824231825753</v>
      </c>
      <c r="F179" s="7">
        <f t="shared" si="4"/>
        <v>-3.2240210246185654</v>
      </c>
      <c r="G179" s="7">
        <f>IF(COUNTA($F$5:$F179)&lt;=G$1,AVERAGE($F$5:$F179),G$2*($F179-$G178)+$G178)</f>
        <v>-0.60080834623446255</v>
      </c>
      <c r="H179" s="7">
        <f t="shared" si="5"/>
        <v>-2.6232126783841028</v>
      </c>
    </row>
    <row r="180" spans="1:8" x14ac:dyDescent="0.2">
      <c r="A180" s="1">
        <v>45729</v>
      </c>
      <c r="B180">
        <v>209.68</v>
      </c>
      <c r="C180" s="9">
        <f>IF(COUNTA($B$5:$B180)&lt;=C$1,AVERAGE($B$5:$B180),C$2*($B180-$C179)+$C179)</f>
        <v>225.91908881213664</v>
      </c>
      <c r="D180" s="9">
        <f>IF(COUNTA($B$5:$B180)&lt;=D$1,AVERAGE($B$5:$B180),D$2*($B180-$D179)+$D179)</f>
        <v>228.45126417154066</v>
      </c>
      <c r="E180" s="9">
        <f>IF(COUNTA($B$5:$B180)&lt;=E$1,AVERAGE($B$5:$B180),E$2*($B180-$E179)+$E179)</f>
        <v>233.20615029468289</v>
      </c>
      <c r="F180" s="7">
        <f t="shared" si="4"/>
        <v>-4.7548861231422279</v>
      </c>
      <c r="G180" s="7">
        <f>IF(COUNTA($F$5:$F180)&lt;=G$1,AVERAGE($F$5:$F180),G$2*($F180-$G179)+$G179)</f>
        <v>-1.4316239016160157</v>
      </c>
      <c r="H180" s="7">
        <f t="shared" si="5"/>
        <v>-3.3232622215262122</v>
      </c>
    </row>
    <row r="181" spans="1:8" x14ac:dyDescent="0.2">
      <c r="A181" s="1">
        <v>45730</v>
      </c>
      <c r="B181">
        <v>213.49</v>
      </c>
      <c r="C181" s="9">
        <f>IF(COUNTA($B$5:$B181)&lt;=C$1,AVERAGE($B$5:$B181),C$2*($B181-$C180)+$C180)</f>
        <v>223.4332710497093</v>
      </c>
      <c r="D181" s="9">
        <f>IF(COUNTA($B$5:$B181)&lt;=D$1,AVERAGE($B$5:$B181),D$2*($B181-$D180)+$D180)</f>
        <v>226.14953122207285</v>
      </c>
      <c r="E181" s="9">
        <f>IF(COUNTA($B$5:$B181)&lt;=E$1,AVERAGE($B$5:$B181),E$2*($B181-$E180)+$E180)</f>
        <v>231.74569471729896</v>
      </c>
      <c r="F181" s="7">
        <f t="shared" si="4"/>
        <v>-5.5961634952261079</v>
      </c>
      <c r="G181" s="7">
        <f>IF(COUNTA($F$5:$F181)&lt;=G$1,AVERAGE($F$5:$F181),G$2*($F181-$G180)+$G180)</f>
        <v>-2.2645318203380342</v>
      </c>
      <c r="H181" s="7">
        <f t="shared" si="5"/>
        <v>-3.3316316748880737</v>
      </c>
    </row>
    <row r="182" spans="1:8" x14ac:dyDescent="0.2">
      <c r="A182" s="1">
        <v>45733</v>
      </c>
      <c r="B182">
        <v>214</v>
      </c>
      <c r="C182" s="9">
        <f>IF(COUNTA($B$5:$B182)&lt;=C$1,AVERAGE($B$5:$B182),C$2*($B182-$C181)+$C181)</f>
        <v>221.54661683976744</v>
      </c>
      <c r="D182" s="9">
        <f>IF(COUNTA($B$5:$B182)&lt;=D$1,AVERAGE($B$5:$B182),D$2*($B182-$D181)+$D181)</f>
        <v>224.28037257252319</v>
      </c>
      <c r="E182" s="9">
        <f>IF(COUNTA($B$5:$B182)&lt;=E$1,AVERAGE($B$5:$B182),E$2*($B182-$E181)+$E181)</f>
        <v>230.43119881231385</v>
      </c>
      <c r="F182" s="7">
        <f t="shared" si="4"/>
        <v>-6.1508262397906606</v>
      </c>
      <c r="G182" s="7">
        <f>IF(COUNTA($F$5:$F182)&lt;=G$1,AVERAGE($F$5:$F182),G$2*($F182-$G181)+$G181)</f>
        <v>-3.0417907042285597</v>
      </c>
      <c r="H182" s="7">
        <f t="shared" si="5"/>
        <v>-3.1090355355621009</v>
      </c>
    </row>
    <row r="183" spans="1:8" x14ac:dyDescent="0.2">
      <c r="A183" s="1">
        <v>45734</v>
      </c>
      <c r="B183">
        <v>212.69</v>
      </c>
      <c r="C183" s="9">
        <f>IF(COUNTA($B$5:$B183)&lt;=C$1,AVERAGE($B$5:$B183),C$2*($B183-$C182)+$C182)</f>
        <v>219.77529347181394</v>
      </c>
      <c r="D183" s="9">
        <f>IF(COUNTA($B$5:$B183)&lt;=D$1,AVERAGE($B$5:$B183),D$2*($B183-$D182)+$D182)</f>
        <v>222.49723833059656</v>
      </c>
      <c r="E183" s="9">
        <f>IF(COUNTA($B$5:$B183)&lt;=E$1,AVERAGE($B$5:$B183),E$2*($B183-$E182)+$E182)</f>
        <v>229.11703593732764</v>
      </c>
      <c r="F183" s="7">
        <f t="shared" si="4"/>
        <v>-6.6197976067310833</v>
      </c>
      <c r="G183" s="7">
        <f>IF(COUNTA($F$5:$F183)&lt;=G$1,AVERAGE($F$5:$F183),G$2*($F183-$G182)+$G182)</f>
        <v>-3.7573920847290645</v>
      </c>
      <c r="H183" s="7">
        <f t="shared" si="5"/>
        <v>-2.8624055220020188</v>
      </c>
    </row>
    <row r="184" spans="1:8" x14ac:dyDescent="0.2">
      <c r="A184" s="1">
        <v>45735</v>
      </c>
      <c r="B184">
        <v>215.24</v>
      </c>
      <c r="C184" s="9">
        <f>IF(COUNTA($B$5:$B184)&lt;=C$1,AVERAGE($B$5:$B184),C$2*($B184-$C183)+$C183)</f>
        <v>218.86823477745116</v>
      </c>
      <c r="D184" s="9">
        <f>IF(COUNTA($B$5:$B184)&lt;=D$1,AVERAGE($B$5:$B184),D$2*($B184-$D183)+$D183)</f>
        <v>221.38074012588939</v>
      </c>
      <c r="E184" s="9">
        <f>IF(COUNTA($B$5:$B184)&lt;=E$1,AVERAGE($B$5:$B184),E$2*($B184-$E183)+$E183)</f>
        <v>228.08910734937746</v>
      </c>
      <c r="F184" s="7">
        <f t="shared" si="4"/>
        <v>-6.708367223488068</v>
      </c>
      <c r="G184" s="7">
        <f>IF(COUNTA($F$5:$F184)&lt;=G$1,AVERAGE($F$5:$F184),G$2*($F184-$G183)+$G183)</f>
        <v>-4.3475871124808654</v>
      </c>
      <c r="H184" s="7">
        <f t="shared" si="5"/>
        <v>-2.3607801110072026</v>
      </c>
    </row>
    <row r="185" spans="1:8" x14ac:dyDescent="0.2">
      <c r="A185" s="1">
        <v>45736</v>
      </c>
      <c r="B185">
        <v>214.1</v>
      </c>
      <c r="C185" s="9">
        <f>IF(COUNTA($B$5:$B185)&lt;=C$1,AVERAGE($B$5:$B185),C$2*($B185-$C184)+$C184)</f>
        <v>217.91458782196094</v>
      </c>
      <c r="D185" s="9">
        <f>IF(COUNTA($B$5:$B185)&lt;=D$1,AVERAGE($B$5:$B185),D$2*($B185-$D184)+$D184)</f>
        <v>220.26062626036796</v>
      </c>
      <c r="E185" s="9">
        <f>IF(COUNTA($B$5:$B185)&lt;=E$1,AVERAGE($B$5:$B185),E$2*($B185-$E184)+$E184)</f>
        <v>227.05287717534949</v>
      </c>
      <c r="F185" s="7">
        <f t="shared" si="4"/>
        <v>-6.7922509149815369</v>
      </c>
      <c r="G185" s="7">
        <f>IF(COUNTA($F$5:$F185)&lt;=G$1,AVERAGE($F$5:$F185),G$2*($F185-$G184)+$G184)</f>
        <v>-4.8365198729809995</v>
      </c>
      <c r="H185" s="7">
        <f t="shared" si="5"/>
        <v>-1.9557310420005374</v>
      </c>
    </row>
    <row r="186" spans="1:8" x14ac:dyDescent="0.2">
      <c r="A186" s="1">
        <v>45737</v>
      </c>
      <c r="B186">
        <v>218.27</v>
      </c>
      <c r="C186" s="9">
        <f>IF(COUNTA($B$5:$B186)&lt;=C$1,AVERAGE($B$5:$B186),C$2*($B186-$C185)+$C185)</f>
        <v>217.98567025756876</v>
      </c>
      <c r="D186" s="9">
        <f>IF(COUNTA($B$5:$B186)&lt;=D$1,AVERAGE($B$5:$B186),D$2*($B186-$D185)+$D185)</f>
        <v>219.95437606646519</v>
      </c>
      <c r="E186" s="9">
        <f>IF(COUNTA($B$5:$B186)&lt;=E$1,AVERAGE($B$5:$B186),E$2*($B186-$E185)+$E185)</f>
        <v>226.40229368087915</v>
      </c>
      <c r="F186" s="7">
        <f t="shared" si="4"/>
        <v>-6.4479176144139672</v>
      </c>
      <c r="G186" s="7">
        <f>IF(COUNTA($F$5:$F186)&lt;=G$1,AVERAGE($F$5:$F186),G$2*($F186-$G185)+$G185)</f>
        <v>-5.1587994212675934</v>
      </c>
      <c r="H186" s="7">
        <f t="shared" si="5"/>
        <v>-1.2891181931463738</v>
      </c>
    </row>
    <row r="187" spans="1:8" x14ac:dyDescent="0.2">
      <c r="A187" s="1">
        <v>45740</v>
      </c>
      <c r="B187">
        <v>220.73</v>
      </c>
      <c r="C187" s="9">
        <f>IF(COUNTA($B$5:$B187)&lt;=C$1,AVERAGE($B$5:$B187),C$2*($B187-$C186)+$C186)</f>
        <v>218.53453620605501</v>
      </c>
      <c r="D187" s="9">
        <f>IF(COUNTA($B$5:$B187)&lt;=D$1,AVERAGE($B$5:$B187),D$2*($B187-$D186)+$D186)</f>
        <v>220.07370282547055</v>
      </c>
      <c r="E187" s="9">
        <f>IF(COUNTA($B$5:$B187)&lt;=E$1,AVERAGE($B$5:$B187),E$2*($B187-$E186)+$E186)</f>
        <v>225.98212377859181</v>
      </c>
      <c r="F187" s="7">
        <f t="shared" si="4"/>
        <v>-5.908420953121265</v>
      </c>
      <c r="G187" s="7">
        <f>IF(COUNTA($F$5:$F187)&lt;=G$1,AVERAGE($F$5:$F187),G$2*($F187-$G186)+$G186)</f>
        <v>-5.3087237276383279</v>
      </c>
      <c r="H187" s="7">
        <f t="shared" si="5"/>
        <v>-0.59969722548293714</v>
      </c>
    </row>
    <row r="188" spans="1:8" x14ac:dyDescent="0.2">
      <c r="A188" s="1">
        <v>45741</v>
      </c>
      <c r="B188">
        <v>223.75</v>
      </c>
      <c r="C188" s="9">
        <f>IF(COUNTA($B$5:$B188)&lt;=C$1,AVERAGE($B$5:$B188),C$2*($B188-$C187)+$C187)</f>
        <v>219.577628964844</v>
      </c>
      <c r="D188" s="9">
        <f>IF(COUNTA($B$5:$B188)&lt;=D$1,AVERAGE($B$5:$B188),D$2*($B188-$D187)+$D187)</f>
        <v>220.63928700616739</v>
      </c>
      <c r="E188" s="9">
        <f>IF(COUNTA($B$5:$B188)&lt;=E$1,AVERAGE($B$5:$B188),E$2*($B188-$E187)+$E187)</f>
        <v>225.8167812764739</v>
      </c>
      <c r="F188" s="7">
        <f t="shared" si="4"/>
        <v>-5.1774942703065108</v>
      </c>
      <c r="G188" s="7">
        <f>IF(COUNTA($F$5:$F188)&lt;=G$1,AVERAGE($F$5:$F188),G$2*($F188-$G187)+$G187)</f>
        <v>-5.2824778361719646</v>
      </c>
      <c r="H188" s="7">
        <f t="shared" si="5"/>
        <v>0.10498356586545388</v>
      </c>
    </row>
    <row r="189" spans="1:8" x14ac:dyDescent="0.2">
      <c r="A189" s="1">
        <v>45742</v>
      </c>
      <c r="B189">
        <v>221.53</v>
      </c>
      <c r="C189" s="9">
        <f>IF(COUNTA($B$5:$B189)&lt;=C$1,AVERAGE($B$5:$B189),C$2*($B189-$C188)+$C188)</f>
        <v>219.96810317187519</v>
      </c>
      <c r="D189" s="9">
        <f>IF(COUNTA($B$5:$B189)&lt;=D$1,AVERAGE($B$5:$B189),D$2*($B189-$D188)+$D188)</f>
        <v>220.77631977444932</v>
      </c>
      <c r="E189" s="9">
        <f>IF(COUNTA($B$5:$B189)&lt;=E$1,AVERAGE($B$5:$B189),E$2*($B189-$E188)+$E188)</f>
        <v>225.49924192266101</v>
      </c>
      <c r="F189" s="7">
        <f t="shared" si="4"/>
        <v>-4.7229221482116941</v>
      </c>
      <c r="G189" s="7">
        <f>IF(COUNTA($F$5:$F189)&lt;=G$1,AVERAGE($F$5:$F189),G$2*($F189-$G188)+$G188)</f>
        <v>-5.1705666985799104</v>
      </c>
      <c r="H189" s="7">
        <f t="shared" si="5"/>
        <v>0.44764455036821627</v>
      </c>
    </row>
    <row r="190" spans="1:8" x14ac:dyDescent="0.2">
      <c r="A190" s="1">
        <v>45743</v>
      </c>
      <c r="B190">
        <v>223.85</v>
      </c>
      <c r="C190" s="9">
        <f>IF(COUNTA($B$5:$B190)&lt;=C$1,AVERAGE($B$5:$B190),C$2*($B190-$C189)+$C189)</f>
        <v>220.74448253750015</v>
      </c>
      <c r="D190" s="9">
        <f>IF(COUNTA($B$5:$B190)&lt;=D$1,AVERAGE($B$5:$B190),D$2*($B190-$D189)+$D189)</f>
        <v>221.24919365530326</v>
      </c>
      <c r="E190" s="9">
        <f>IF(COUNTA($B$5:$B190)&lt;=E$1,AVERAGE($B$5:$B190),E$2*($B190-$E189)+$E189)</f>
        <v>225.37707585431576</v>
      </c>
      <c r="F190" s="7">
        <f t="shared" si="4"/>
        <v>-4.1278821990125039</v>
      </c>
      <c r="G190" s="7">
        <f>IF(COUNTA($F$5:$F190)&lt;=G$1,AVERAGE($F$5:$F190),G$2*($F190-$G189)+$G189)</f>
        <v>-4.9620297986664292</v>
      </c>
      <c r="H190" s="7">
        <f t="shared" si="5"/>
        <v>0.83414759965392538</v>
      </c>
    </row>
    <row r="191" spans="1:8" x14ac:dyDescent="0.2">
      <c r="A191" s="1">
        <v>45744</v>
      </c>
      <c r="B191">
        <v>217.9</v>
      </c>
      <c r="C191" s="9">
        <f>IF(COUNTA($B$5:$B191)&lt;=C$1,AVERAGE($B$5:$B191),C$2*($B191-$C190)+$C190)</f>
        <v>220.17558603000012</v>
      </c>
      <c r="D191" s="9">
        <f>IF(COUNTA($B$5:$B191)&lt;=D$1,AVERAGE($B$5:$B191),D$2*($B191-$D190)+$D190)</f>
        <v>220.73393309294892</v>
      </c>
      <c r="E191" s="9">
        <f>IF(COUNTA($B$5:$B191)&lt;=E$1,AVERAGE($B$5:$B191),E$2*($B191-$E190)+$E190)</f>
        <v>224.82321838362571</v>
      </c>
      <c r="F191" s="7">
        <f t="shared" si="4"/>
        <v>-4.0892852906767985</v>
      </c>
      <c r="G191" s="7">
        <f>IF(COUNTA($F$5:$F191)&lt;=G$1,AVERAGE($F$5:$F191),G$2*($F191-$G190)+$G190)</f>
        <v>-4.7874808970685034</v>
      </c>
      <c r="H191" s="7">
        <f t="shared" si="5"/>
        <v>0.69819560639170497</v>
      </c>
    </row>
    <row r="192" spans="1:8" x14ac:dyDescent="0.2">
      <c r="A192" s="1">
        <v>45747</v>
      </c>
      <c r="B192">
        <v>222.13</v>
      </c>
      <c r="C192" s="9">
        <f>IF(COUNTA($B$5:$B192)&lt;=C$1,AVERAGE($B$5:$B192),C$2*($B192-$C191)+$C191)</f>
        <v>220.56646882400008</v>
      </c>
      <c r="D192" s="9">
        <f>IF(COUNTA($B$5:$B192)&lt;=D$1,AVERAGE($B$5:$B192),D$2*($B192-$D191)+$D191)</f>
        <v>220.94871261711063</v>
      </c>
      <c r="E192" s="9">
        <f>IF(COUNTA($B$5:$B192)&lt;=E$1,AVERAGE($B$5:$B192),E$2*($B192-$E191)+$E191)</f>
        <v>224.62372072557937</v>
      </c>
      <c r="F192" s="7">
        <f t="shared" si="4"/>
        <v>-3.6750081084687451</v>
      </c>
      <c r="G192" s="7">
        <f>IF(COUNTA($F$5:$F192)&lt;=G$1,AVERAGE($F$5:$F192),G$2*($F192-$G191)+$G191)</f>
        <v>-4.5649863393485521</v>
      </c>
      <c r="H192" s="7">
        <f t="shared" si="5"/>
        <v>0.88997823087980699</v>
      </c>
    </row>
    <row r="193" spans="1:8" x14ac:dyDescent="0.2">
      <c r="A193" s="10"/>
      <c r="C193" s="9"/>
      <c r="D193" s="9"/>
      <c r="E193" s="9"/>
      <c r="F193" s="7"/>
      <c r="G193" s="7"/>
      <c r="H193" s="7"/>
    </row>
    <row r="194" spans="1:8" x14ac:dyDescent="0.2">
      <c r="A194" s="10"/>
      <c r="C194" s="9"/>
      <c r="D194" s="9"/>
      <c r="E194" s="9"/>
      <c r="F194" s="7"/>
      <c r="G194" s="7"/>
      <c r="H194" s="7"/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E7546-D800-994A-9655-C79829DAB3A7}">
  <dimension ref="A1:I189"/>
  <sheetViews>
    <sheetView topLeftCell="I1" zoomScaleNormal="100" workbookViewId="0">
      <selection activeCell="J10" sqref="J10"/>
    </sheetView>
  </sheetViews>
  <sheetFormatPr baseColWidth="10" defaultColWidth="11" defaultRowHeight="15" x14ac:dyDescent="0.2"/>
  <cols>
    <col min="1" max="1" width="11.1640625" style="20" bestFit="1" customWidth="1"/>
    <col min="2" max="2" width="7.5" style="20" bestFit="1" customWidth="1"/>
    <col min="3" max="3" width="7.6640625" style="20" bestFit="1" customWidth="1"/>
    <col min="4" max="5" width="6.5" style="20" bestFit="1" customWidth="1"/>
    <col min="6" max="9" width="12.6640625" style="20" bestFit="1" customWidth="1"/>
    <col min="10" max="16384" width="11" style="20"/>
  </cols>
  <sheetData>
    <row r="1" spans="1:9" x14ac:dyDescent="0.2">
      <c r="A1" s="20" t="s">
        <v>0</v>
      </c>
      <c r="B1" s="8" t="s">
        <v>29</v>
      </c>
      <c r="C1" s="20" t="s">
        <v>52</v>
      </c>
      <c r="D1" s="20" t="s">
        <v>53</v>
      </c>
      <c r="E1" s="20" t="s">
        <v>54</v>
      </c>
      <c r="F1" s="20" t="s">
        <v>55</v>
      </c>
      <c r="G1" s="20" t="s">
        <v>56</v>
      </c>
      <c r="H1" s="20" t="s">
        <v>57</v>
      </c>
      <c r="I1" s="20" t="s">
        <v>58</v>
      </c>
    </row>
    <row r="2" spans="1:9" x14ac:dyDescent="0.2">
      <c r="A2" s="1">
        <v>45474</v>
      </c>
      <c r="B2">
        <v>216.75</v>
      </c>
    </row>
    <row r="3" spans="1:9" x14ac:dyDescent="0.2">
      <c r="A3" s="1">
        <v>45475</v>
      </c>
      <c r="B3">
        <v>220.27</v>
      </c>
      <c r="C3" s="20">
        <f t="shared" ref="C3:C34" si="0">B3-B2</f>
        <v>3.5200000000000102</v>
      </c>
      <c r="D3" s="20">
        <f t="shared" ref="D3:D34" si="1">IF(C3&gt;0,C3,0)</f>
        <v>3.5200000000000102</v>
      </c>
      <c r="E3" s="20">
        <f t="shared" ref="E3:E34" si="2">IF(C3&lt;0,-C3,0)</f>
        <v>0</v>
      </c>
    </row>
    <row r="4" spans="1:9" x14ac:dyDescent="0.2">
      <c r="A4" s="1">
        <v>45476</v>
      </c>
      <c r="B4">
        <v>221.55</v>
      </c>
      <c r="C4" s="20">
        <f t="shared" si="0"/>
        <v>1.2800000000000011</v>
      </c>
      <c r="D4" s="20">
        <f t="shared" si="1"/>
        <v>1.2800000000000011</v>
      </c>
      <c r="E4" s="20">
        <f t="shared" si="2"/>
        <v>0</v>
      </c>
    </row>
    <row r="5" spans="1:9" x14ac:dyDescent="0.2">
      <c r="A5" s="1">
        <v>45478</v>
      </c>
      <c r="B5">
        <v>226.34</v>
      </c>
      <c r="C5" s="20">
        <f t="shared" si="0"/>
        <v>4.789999999999992</v>
      </c>
      <c r="D5" s="20">
        <f t="shared" si="1"/>
        <v>4.789999999999992</v>
      </c>
      <c r="E5" s="20">
        <f t="shared" si="2"/>
        <v>0</v>
      </c>
    </row>
    <row r="6" spans="1:9" x14ac:dyDescent="0.2">
      <c r="A6" s="1">
        <v>45481</v>
      </c>
      <c r="B6">
        <v>227.82</v>
      </c>
      <c r="C6" s="20">
        <f t="shared" si="0"/>
        <v>1.4799999999999898</v>
      </c>
      <c r="D6" s="20">
        <f t="shared" si="1"/>
        <v>1.4799999999999898</v>
      </c>
      <c r="E6" s="20">
        <f t="shared" si="2"/>
        <v>0</v>
      </c>
    </row>
    <row r="7" spans="1:9" x14ac:dyDescent="0.2">
      <c r="A7" s="1">
        <v>45482</v>
      </c>
      <c r="B7">
        <v>228.68</v>
      </c>
      <c r="C7" s="20">
        <f t="shared" si="0"/>
        <v>0.86000000000001364</v>
      </c>
      <c r="D7" s="20">
        <f t="shared" si="1"/>
        <v>0.86000000000001364</v>
      </c>
      <c r="E7" s="20">
        <f t="shared" si="2"/>
        <v>0</v>
      </c>
    </row>
    <row r="8" spans="1:9" x14ac:dyDescent="0.2">
      <c r="A8" s="1">
        <v>45483</v>
      </c>
      <c r="B8">
        <v>232.98</v>
      </c>
      <c r="C8" s="20">
        <f t="shared" si="0"/>
        <v>4.2999999999999829</v>
      </c>
      <c r="D8" s="20">
        <f t="shared" si="1"/>
        <v>4.2999999999999829</v>
      </c>
      <c r="E8" s="20">
        <f t="shared" si="2"/>
        <v>0</v>
      </c>
    </row>
    <row r="9" spans="1:9" x14ac:dyDescent="0.2">
      <c r="A9" s="1">
        <v>45484</v>
      </c>
      <c r="B9">
        <v>227.57</v>
      </c>
      <c r="C9" s="20">
        <f t="shared" si="0"/>
        <v>-5.4099999999999966</v>
      </c>
      <c r="D9" s="20">
        <f t="shared" si="1"/>
        <v>0</v>
      </c>
      <c r="E9" s="20">
        <f t="shared" si="2"/>
        <v>5.4099999999999966</v>
      </c>
    </row>
    <row r="10" spans="1:9" x14ac:dyDescent="0.2">
      <c r="A10" s="1">
        <v>45485</v>
      </c>
      <c r="B10">
        <v>230.54</v>
      </c>
      <c r="C10" s="20">
        <f t="shared" si="0"/>
        <v>2.9699999999999989</v>
      </c>
      <c r="D10" s="20">
        <f t="shared" si="1"/>
        <v>2.9699999999999989</v>
      </c>
      <c r="E10" s="20">
        <f t="shared" si="2"/>
        <v>0</v>
      </c>
    </row>
    <row r="11" spans="1:9" x14ac:dyDescent="0.2">
      <c r="A11" s="1">
        <v>45488</v>
      </c>
      <c r="B11">
        <v>234.4</v>
      </c>
      <c r="C11" s="20">
        <f t="shared" si="0"/>
        <v>3.8600000000000136</v>
      </c>
      <c r="D11" s="20">
        <f t="shared" si="1"/>
        <v>3.8600000000000136</v>
      </c>
      <c r="E11" s="20">
        <f t="shared" si="2"/>
        <v>0</v>
      </c>
      <c r="F11" s="20">
        <f>SUM(D2:D11)/14</f>
        <v>1.6471428571428572</v>
      </c>
      <c r="G11" s="20">
        <f>SUM(E2:E11)/14</f>
        <v>0.38642857142857118</v>
      </c>
      <c r="H11" s="20">
        <f>F11/G11</f>
        <v>4.2624768946395593</v>
      </c>
      <c r="I11" s="20">
        <f>IF(G11=0,100,100-(100/(1+H11)))</f>
        <v>80.997541271513882</v>
      </c>
    </row>
    <row r="12" spans="1:9" x14ac:dyDescent="0.2">
      <c r="A12" s="1">
        <v>45489</v>
      </c>
      <c r="B12">
        <v>234.82</v>
      </c>
      <c r="C12" s="20">
        <f t="shared" si="0"/>
        <v>0.41999999999998749</v>
      </c>
      <c r="D12" s="20">
        <f t="shared" si="1"/>
        <v>0.41999999999998749</v>
      </c>
      <c r="E12" s="20">
        <f t="shared" si="2"/>
        <v>0</v>
      </c>
      <c r="F12" s="20">
        <f t="shared" ref="F12:F43" si="3">((F11*13)+D12)/14</f>
        <v>1.5594897959183667</v>
      </c>
      <c r="G12" s="20">
        <f>((G11*13)+E12)/14</f>
        <v>0.35882653061224462</v>
      </c>
      <c r="H12" s="20">
        <f t="shared" ref="H12:H42" si="4">F12/G12</f>
        <v>4.3460827527370984</v>
      </c>
      <c r="I12" s="20">
        <f t="shared" ref="I12:I42" si="5">IF(G12=0,100,100-(100/(1+H12)))</f>
        <v>81.294715284980995</v>
      </c>
    </row>
    <row r="13" spans="1:9" x14ac:dyDescent="0.2">
      <c r="A13" s="1">
        <v>45490</v>
      </c>
      <c r="B13">
        <v>228.88</v>
      </c>
      <c r="C13" s="20">
        <f t="shared" si="0"/>
        <v>-5.9399999999999977</v>
      </c>
      <c r="D13" s="20">
        <f t="shared" si="1"/>
        <v>0</v>
      </c>
      <c r="E13" s="20">
        <f t="shared" si="2"/>
        <v>5.9399999999999977</v>
      </c>
      <c r="F13" s="20">
        <f t="shared" si="3"/>
        <v>1.4480976676384834</v>
      </c>
      <c r="G13" s="20">
        <f t="shared" ref="G13:G43" si="6">((G12*13)+E13)/14</f>
        <v>0.75748177842565556</v>
      </c>
      <c r="H13" s="20">
        <f t="shared" si="4"/>
        <v>1.9117260756399959</v>
      </c>
      <c r="I13" s="20">
        <f t="shared" si="5"/>
        <v>65.656110017828496</v>
      </c>
    </row>
    <row r="14" spans="1:9" x14ac:dyDescent="0.2">
      <c r="A14" s="1">
        <v>45491</v>
      </c>
      <c r="B14">
        <v>224.18</v>
      </c>
      <c r="C14" s="20">
        <f t="shared" si="0"/>
        <v>-4.6999999999999886</v>
      </c>
      <c r="D14" s="20">
        <f t="shared" si="1"/>
        <v>0</v>
      </c>
      <c r="E14" s="20">
        <f t="shared" si="2"/>
        <v>4.6999999999999886</v>
      </c>
      <c r="F14" s="20">
        <f t="shared" si="3"/>
        <v>1.3446621199500204</v>
      </c>
      <c r="G14" s="20">
        <f t="shared" si="6"/>
        <v>1.0390902228238221</v>
      </c>
      <c r="H14" s="20">
        <f t="shared" si="4"/>
        <v>1.2940763856826396</v>
      </c>
      <c r="I14" s="20">
        <f t="shared" si="5"/>
        <v>56.409472402880176</v>
      </c>
    </row>
    <row r="15" spans="1:9" x14ac:dyDescent="0.2">
      <c r="A15" s="1">
        <v>45492</v>
      </c>
      <c r="B15">
        <v>224.31</v>
      </c>
      <c r="C15" s="20">
        <f t="shared" si="0"/>
        <v>0.12999999999999545</v>
      </c>
      <c r="D15" s="20">
        <f t="shared" si="1"/>
        <v>0.12999999999999545</v>
      </c>
      <c r="E15" s="20">
        <f t="shared" si="2"/>
        <v>0</v>
      </c>
      <c r="F15" s="20">
        <f t="shared" si="3"/>
        <v>1.2579005399535901</v>
      </c>
      <c r="G15" s="20">
        <f t="shared" si="6"/>
        <v>0.96486949262212052</v>
      </c>
      <c r="H15" s="20">
        <f t="shared" si="4"/>
        <v>1.3037001890640474</v>
      </c>
      <c r="I15" s="20">
        <f t="shared" si="5"/>
        <v>56.59157364542812</v>
      </c>
    </row>
    <row r="16" spans="1:9" x14ac:dyDescent="0.2">
      <c r="A16" s="1">
        <v>45495</v>
      </c>
      <c r="B16">
        <v>223.96</v>
      </c>
      <c r="C16" s="20">
        <f t="shared" si="0"/>
        <v>-0.34999999999999432</v>
      </c>
      <c r="D16" s="20">
        <f t="shared" si="1"/>
        <v>0</v>
      </c>
      <c r="E16" s="20">
        <f t="shared" si="2"/>
        <v>0.34999999999999432</v>
      </c>
      <c r="F16" s="20">
        <f t="shared" si="3"/>
        <v>1.1680505013854765</v>
      </c>
      <c r="G16" s="20">
        <f t="shared" si="6"/>
        <v>0.92095024314911156</v>
      </c>
      <c r="H16" s="20">
        <f t="shared" si="4"/>
        <v>1.2683101069515184</v>
      </c>
      <c r="I16" s="20">
        <f t="shared" si="5"/>
        <v>55.914317141409562</v>
      </c>
    </row>
    <row r="17" spans="1:9" x14ac:dyDescent="0.2">
      <c r="A17" s="1">
        <v>45496</v>
      </c>
      <c r="B17">
        <v>225.01</v>
      </c>
      <c r="C17" s="20">
        <f t="shared" si="0"/>
        <v>1.0499999999999829</v>
      </c>
      <c r="D17" s="20">
        <f t="shared" si="1"/>
        <v>1.0499999999999829</v>
      </c>
      <c r="E17" s="20">
        <f t="shared" si="2"/>
        <v>0</v>
      </c>
      <c r="F17" s="20">
        <f t="shared" si="3"/>
        <v>1.1596183227150842</v>
      </c>
      <c r="G17" s="20">
        <f t="shared" si="6"/>
        <v>0.85516808292417501</v>
      </c>
      <c r="H17" s="20">
        <f t="shared" si="4"/>
        <v>1.356012164006247</v>
      </c>
      <c r="I17" s="20">
        <f t="shared" si="5"/>
        <v>57.555397409342561</v>
      </c>
    </row>
    <row r="18" spans="1:9" x14ac:dyDescent="0.2">
      <c r="A18" s="1">
        <v>45497</v>
      </c>
      <c r="B18">
        <v>218.54</v>
      </c>
      <c r="C18" s="20">
        <f t="shared" si="0"/>
        <v>-6.4699999999999989</v>
      </c>
      <c r="D18" s="20">
        <f t="shared" si="1"/>
        <v>0</v>
      </c>
      <c r="E18" s="20">
        <f t="shared" si="2"/>
        <v>6.4699999999999989</v>
      </c>
      <c r="F18" s="20">
        <f t="shared" si="3"/>
        <v>1.0767884425211496</v>
      </c>
      <c r="G18" s="20">
        <f t="shared" si="6"/>
        <v>1.2562275055724481</v>
      </c>
      <c r="H18" s="20">
        <f t="shared" si="4"/>
        <v>0.85716037719654115</v>
      </c>
      <c r="I18" s="20">
        <f t="shared" si="5"/>
        <v>46.154354126941875</v>
      </c>
    </row>
    <row r="19" spans="1:9" x14ac:dyDescent="0.2">
      <c r="A19" s="1">
        <v>45498</v>
      </c>
      <c r="B19">
        <v>217.49</v>
      </c>
      <c r="C19" s="20">
        <f t="shared" si="0"/>
        <v>-1.0499999999999829</v>
      </c>
      <c r="D19" s="20">
        <f t="shared" si="1"/>
        <v>0</v>
      </c>
      <c r="E19" s="20">
        <f t="shared" si="2"/>
        <v>1.0499999999999829</v>
      </c>
      <c r="F19" s="20">
        <f t="shared" si="3"/>
        <v>0.99987498234106742</v>
      </c>
      <c r="G19" s="20">
        <f t="shared" si="6"/>
        <v>1.2414969694601292</v>
      </c>
      <c r="H19" s="20">
        <f t="shared" si="4"/>
        <v>0.80537851234213464</v>
      </c>
      <c r="I19" s="20">
        <f t="shared" si="5"/>
        <v>44.609953360822352</v>
      </c>
    </row>
    <row r="20" spans="1:9" x14ac:dyDescent="0.2">
      <c r="A20" s="1">
        <v>45499</v>
      </c>
      <c r="B20">
        <v>217.96</v>
      </c>
      <c r="C20" s="20">
        <f t="shared" si="0"/>
        <v>0.46999999999999886</v>
      </c>
      <c r="D20" s="20">
        <f t="shared" si="1"/>
        <v>0.46999999999999886</v>
      </c>
      <c r="E20" s="20">
        <f t="shared" si="2"/>
        <v>0</v>
      </c>
      <c r="F20" s="20">
        <f t="shared" si="3"/>
        <v>0.96202676931670539</v>
      </c>
      <c r="G20" s="20">
        <f t="shared" si="6"/>
        <v>1.1528186144986914</v>
      </c>
      <c r="H20" s="20">
        <f t="shared" si="4"/>
        <v>0.83449968383365081</v>
      </c>
      <c r="I20" s="20">
        <f t="shared" si="5"/>
        <v>45.489224729096314</v>
      </c>
    </row>
    <row r="21" spans="1:9" x14ac:dyDescent="0.2">
      <c r="A21" s="1">
        <v>45502</v>
      </c>
      <c r="B21">
        <v>218.24</v>
      </c>
      <c r="C21" s="20">
        <f t="shared" si="0"/>
        <v>0.28000000000000114</v>
      </c>
      <c r="D21" s="20">
        <f t="shared" si="1"/>
        <v>0.28000000000000114</v>
      </c>
      <c r="E21" s="20">
        <f t="shared" si="2"/>
        <v>0</v>
      </c>
      <c r="F21" s="20">
        <f t="shared" si="3"/>
        <v>0.91331057150836936</v>
      </c>
      <c r="G21" s="20">
        <f t="shared" si="6"/>
        <v>1.070474427748785</v>
      </c>
      <c r="H21" s="20">
        <f t="shared" si="4"/>
        <v>0.85318298862035191</v>
      </c>
      <c r="I21" s="20">
        <f t="shared" si="5"/>
        <v>46.038788066769662</v>
      </c>
    </row>
    <row r="22" spans="1:9" x14ac:dyDescent="0.2">
      <c r="A22" s="1">
        <v>45503</v>
      </c>
      <c r="B22">
        <v>218.8</v>
      </c>
      <c r="C22" s="20">
        <f t="shared" si="0"/>
        <v>0.56000000000000227</v>
      </c>
      <c r="D22" s="20">
        <f t="shared" si="1"/>
        <v>0.56000000000000227</v>
      </c>
      <c r="E22" s="20">
        <f t="shared" si="2"/>
        <v>0</v>
      </c>
      <c r="F22" s="20">
        <f t="shared" si="3"/>
        <v>0.88807410211491455</v>
      </c>
      <c r="G22" s="20">
        <f t="shared" si="6"/>
        <v>0.99401196862387187</v>
      </c>
      <c r="H22" s="20">
        <f t="shared" si="4"/>
        <v>0.89342395277632358</v>
      </c>
      <c r="I22" s="20">
        <f t="shared" si="5"/>
        <v>47.185626413265652</v>
      </c>
    </row>
    <row r="23" spans="1:9" x14ac:dyDescent="0.2">
      <c r="A23" s="1">
        <v>45504</v>
      </c>
      <c r="B23">
        <v>222.08</v>
      </c>
      <c r="C23" s="20">
        <f t="shared" si="0"/>
        <v>3.2800000000000011</v>
      </c>
      <c r="D23" s="20">
        <f t="shared" si="1"/>
        <v>3.2800000000000011</v>
      </c>
      <c r="E23" s="20">
        <f t="shared" si="2"/>
        <v>0</v>
      </c>
      <c r="F23" s="20">
        <f t="shared" si="3"/>
        <v>1.0589259519638492</v>
      </c>
      <c r="G23" s="20">
        <f t="shared" si="6"/>
        <v>0.92301111372216671</v>
      </c>
      <c r="H23" s="20">
        <f t="shared" si="4"/>
        <v>1.1472515728370676</v>
      </c>
      <c r="I23" s="20">
        <f t="shared" si="5"/>
        <v>53.428838397414943</v>
      </c>
    </row>
    <row r="24" spans="1:9" x14ac:dyDescent="0.2">
      <c r="A24" s="1">
        <v>45505</v>
      </c>
      <c r="B24">
        <v>218.36</v>
      </c>
      <c r="C24" s="20">
        <f t="shared" si="0"/>
        <v>-3.7199999999999989</v>
      </c>
      <c r="D24" s="20">
        <f t="shared" si="1"/>
        <v>0</v>
      </c>
      <c r="E24" s="20">
        <f t="shared" si="2"/>
        <v>3.7199999999999989</v>
      </c>
      <c r="F24" s="20">
        <f t="shared" si="3"/>
        <v>0.98328838396643137</v>
      </c>
      <c r="G24" s="20">
        <f t="shared" si="6"/>
        <v>1.1227960341705834</v>
      </c>
      <c r="H24" s="20">
        <f t="shared" si="4"/>
        <v>0.87574978361300748</v>
      </c>
      <c r="I24" s="20">
        <f t="shared" si="5"/>
        <v>46.687985319991192</v>
      </c>
    </row>
    <row r="25" spans="1:9" x14ac:dyDescent="0.2">
      <c r="A25" s="1">
        <v>45506</v>
      </c>
      <c r="B25">
        <v>219.86</v>
      </c>
      <c r="C25" s="20">
        <f t="shared" si="0"/>
        <v>1.5</v>
      </c>
      <c r="D25" s="20">
        <f t="shared" si="1"/>
        <v>1.5</v>
      </c>
      <c r="E25" s="20">
        <f t="shared" si="2"/>
        <v>0</v>
      </c>
      <c r="F25" s="20">
        <f t="shared" si="3"/>
        <v>1.0201963565402576</v>
      </c>
      <c r="G25" s="20">
        <f t="shared" si="6"/>
        <v>1.0425963174441131</v>
      </c>
      <c r="H25" s="20">
        <f t="shared" si="4"/>
        <v>0.97851521194821778</v>
      </c>
      <c r="I25" s="20">
        <f t="shared" si="5"/>
        <v>49.457047691065604</v>
      </c>
    </row>
    <row r="26" spans="1:9" x14ac:dyDescent="0.2">
      <c r="A26" s="1">
        <v>45509</v>
      </c>
      <c r="B26">
        <v>209.27</v>
      </c>
      <c r="C26" s="20">
        <f t="shared" si="0"/>
        <v>-10.590000000000003</v>
      </c>
      <c r="D26" s="20">
        <f t="shared" si="1"/>
        <v>0</v>
      </c>
      <c r="E26" s="20">
        <f t="shared" si="2"/>
        <v>10.590000000000003</v>
      </c>
      <c r="F26" s="20">
        <f t="shared" si="3"/>
        <v>0.94732518821595346</v>
      </c>
      <c r="G26" s="20">
        <f t="shared" si="6"/>
        <v>1.7245537233409622</v>
      </c>
      <c r="H26" s="20">
        <f t="shared" si="4"/>
        <v>0.5493161363397302</v>
      </c>
      <c r="I26" s="20">
        <f t="shared" si="5"/>
        <v>35.455393735038044</v>
      </c>
    </row>
    <row r="27" spans="1:9" x14ac:dyDescent="0.2">
      <c r="A27" s="1">
        <v>45510</v>
      </c>
      <c r="B27">
        <v>207.23</v>
      </c>
      <c r="C27" s="20">
        <f t="shared" si="0"/>
        <v>-2.0400000000000205</v>
      </c>
      <c r="D27" s="20">
        <f t="shared" si="1"/>
        <v>0</v>
      </c>
      <c r="E27" s="20">
        <f t="shared" si="2"/>
        <v>2.0400000000000205</v>
      </c>
      <c r="F27" s="20">
        <f t="shared" si="3"/>
        <v>0.87965910334338537</v>
      </c>
      <c r="G27" s="20">
        <f t="shared" si="6"/>
        <v>1.7470856002451807</v>
      </c>
      <c r="H27" s="20">
        <f t="shared" si="4"/>
        <v>0.50350086064468547</v>
      </c>
      <c r="I27" s="20">
        <f t="shared" si="5"/>
        <v>33.488564843839839</v>
      </c>
    </row>
    <row r="28" spans="1:9" x14ac:dyDescent="0.2">
      <c r="A28" s="1">
        <v>45511</v>
      </c>
      <c r="B28">
        <v>209.82</v>
      </c>
      <c r="C28" s="20">
        <f t="shared" si="0"/>
        <v>2.5900000000000034</v>
      </c>
      <c r="D28" s="20">
        <f t="shared" si="1"/>
        <v>2.5900000000000034</v>
      </c>
      <c r="E28" s="20">
        <f t="shared" si="2"/>
        <v>0</v>
      </c>
      <c r="F28" s="20">
        <f t="shared" si="3"/>
        <v>1.0018263102474294</v>
      </c>
      <c r="G28" s="20">
        <f t="shared" si="6"/>
        <v>1.6222937716562391</v>
      </c>
      <c r="H28" s="20">
        <f t="shared" si="4"/>
        <v>0.61753692688139994</v>
      </c>
      <c r="I28" s="20">
        <f t="shared" si="5"/>
        <v>38.177609216749495</v>
      </c>
    </row>
    <row r="29" spans="1:9" x14ac:dyDescent="0.2">
      <c r="A29" s="1">
        <v>45512</v>
      </c>
      <c r="B29">
        <v>213.31</v>
      </c>
      <c r="C29" s="20">
        <f t="shared" si="0"/>
        <v>3.4900000000000091</v>
      </c>
      <c r="D29" s="20">
        <f t="shared" si="1"/>
        <v>3.4900000000000091</v>
      </c>
      <c r="E29" s="20">
        <f t="shared" si="2"/>
        <v>0</v>
      </c>
      <c r="F29" s="20">
        <f t="shared" si="3"/>
        <v>1.1795530023726137</v>
      </c>
      <c r="G29" s="20">
        <f t="shared" si="6"/>
        <v>1.5064156451093649</v>
      </c>
      <c r="H29" s="20">
        <f t="shared" si="4"/>
        <v>0.78301961759496919</v>
      </c>
      <c r="I29" s="20">
        <f t="shared" si="5"/>
        <v>43.915367496132617</v>
      </c>
    </row>
    <row r="30" spans="1:9" x14ac:dyDescent="0.2">
      <c r="A30" s="1">
        <v>45513</v>
      </c>
      <c r="B30">
        <v>216.24</v>
      </c>
      <c r="C30" s="20">
        <f t="shared" si="0"/>
        <v>2.9300000000000068</v>
      </c>
      <c r="D30" s="20">
        <f t="shared" si="1"/>
        <v>2.9300000000000068</v>
      </c>
      <c r="E30" s="20">
        <f t="shared" si="2"/>
        <v>0</v>
      </c>
      <c r="F30" s="20">
        <f t="shared" si="3"/>
        <v>1.3045849307745705</v>
      </c>
      <c r="G30" s="20">
        <f t="shared" si="6"/>
        <v>1.3988145276015531</v>
      </c>
      <c r="H30" s="20">
        <f t="shared" si="4"/>
        <v>0.93263610366661598</v>
      </c>
      <c r="I30" s="20">
        <f t="shared" si="5"/>
        <v>48.257201751390738</v>
      </c>
    </row>
    <row r="31" spans="1:9" x14ac:dyDescent="0.2">
      <c r="A31" s="1">
        <v>45516</v>
      </c>
      <c r="B31">
        <v>217.53</v>
      </c>
      <c r="C31" s="20">
        <f t="shared" si="0"/>
        <v>1.289999999999992</v>
      </c>
      <c r="D31" s="20">
        <f t="shared" si="1"/>
        <v>1.289999999999992</v>
      </c>
      <c r="E31" s="20">
        <f t="shared" si="2"/>
        <v>0</v>
      </c>
      <c r="F31" s="20">
        <f t="shared" si="3"/>
        <v>1.3035431500049577</v>
      </c>
      <c r="G31" s="20">
        <f t="shared" si="6"/>
        <v>1.2988992042014422</v>
      </c>
      <c r="H31" s="20">
        <f t="shared" si="4"/>
        <v>1.0035752934396249</v>
      </c>
      <c r="I31" s="20">
        <f t="shared" si="5"/>
        <v>50.089222837078594</v>
      </c>
    </row>
    <row r="32" spans="1:9" x14ac:dyDescent="0.2">
      <c r="A32" s="1">
        <v>45517</v>
      </c>
      <c r="B32">
        <v>221.27</v>
      </c>
      <c r="C32" s="20">
        <f t="shared" si="0"/>
        <v>3.7400000000000091</v>
      </c>
      <c r="D32" s="20">
        <f t="shared" si="1"/>
        <v>3.7400000000000091</v>
      </c>
      <c r="E32" s="20">
        <f t="shared" si="2"/>
        <v>0</v>
      </c>
      <c r="F32" s="20">
        <f t="shared" si="3"/>
        <v>1.4775757821474613</v>
      </c>
      <c r="G32" s="20">
        <f t="shared" si="6"/>
        <v>1.2061206896156249</v>
      </c>
      <c r="H32" s="20">
        <f t="shared" si="4"/>
        <v>1.2250646182168932</v>
      </c>
      <c r="I32" s="20">
        <f t="shared" si="5"/>
        <v>55.057484991093297</v>
      </c>
    </row>
    <row r="33" spans="1:9" x14ac:dyDescent="0.2">
      <c r="A33" s="1">
        <v>45518</v>
      </c>
      <c r="B33">
        <v>221.72</v>
      </c>
      <c r="C33" s="20">
        <f t="shared" si="0"/>
        <v>0.44999999999998863</v>
      </c>
      <c r="D33" s="20">
        <f t="shared" si="1"/>
        <v>0.44999999999998863</v>
      </c>
      <c r="E33" s="20">
        <f t="shared" si="2"/>
        <v>0</v>
      </c>
      <c r="F33" s="20">
        <f t="shared" si="3"/>
        <v>1.4041775119940705</v>
      </c>
      <c r="G33" s="20">
        <f t="shared" si="6"/>
        <v>1.1199692117859374</v>
      </c>
      <c r="H33" s="20">
        <f t="shared" si="4"/>
        <v>1.2537643867503516</v>
      </c>
      <c r="I33" s="20">
        <f t="shared" si="5"/>
        <v>55.629789614260616</v>
      </c>
    </row>
    <row r="34" spans="1:9" x14ac:dyDescent="0.2">
      <c r="A34" s="1">
        <v>45519</v>
      </c>
      <c r="B34">
        <v>224.72</v>
      </c>
      <c r="C34" s="20">
        <f t="shared" si="0"/>
        <v>3</v>
      </c>
      <c r="D34" s="20">
        <f t="shared" si="1"/>
        <v>3</v>
      </c>
      <c r="E34" s="20">
        <f t="shared" si="2"/>
        <v>0</v>
      </c>
      <c r="F34" s="20">
        <f t="shared" si="3"/>
        <v>1.5181648325659225</v>
      </c>
      <c r="G34" s="20">
        <f t="shared" si="6"/>
        <v>1.0399714109440847</v>
      </c>
      <c r="H34" s="20">
        <f t="shared" si="4"/>
        <v>1.4598140069905714</v>
      </c>
      <c r="I34" s="20">
        <f t="shared" si="5"/>
        <v>59.346519811738226</v>
      </c>
    </row>
    <row r="35" spans="1:9" x14ac:dyDescent="0.2">
      <c r="A35" s="1">
        <v>45520</v>
      </c>
      <c r="B35">
        <v>226.05</v>
      </c>
      <c r="C35" s="20">
        <f t="shared" ref="C35:C66" si="7">B35-B34</f>
        <v>1.3300000000000125</v>
      </c>
      <c r="D35" s="20">
        <f t="shared" ref="D35:D66" si="8">IF(C35&gt;0,C35,0)</f>
        <v>1.3300000000000125</v>
      </c>
      <c r="E35" s="20">
        <f t="shared" ref="E35:E66" si="9">IF(C35&lt;0,-C35,0)</f>
        <v>0</v>
      </c>
      <c r="F35" s="20">
        <f t="shared" si="3"/>
        <v>1.5047244873826433</v>
      </c>
      <c r="G35" s="20">
        <f t="shared" si="6"/>
        <v>0.96568773873379299</v>
      </c>
      <c r="H35" s="20">
        <f t="shared" si="4"/>
        <v>1.5581894923462876</v>
      </c>
      <c r="I35" s="20">
        <f t="shared" si="5"/>
        <v>60.909854293755515</v>
      </c>
    </row>
    <row r="36" spans="1:9" x14ac:dyDescent="0.2">
      <c r="A36" s="1">
        <v>45523</v>
      </c>
      <c r="B36">
        <v>225.89</v>
      </c>
      <c r="C36" s="20">
        <f t="shared" si="7"/>
        <v>-0.16000000000002501</v>
      </c>
      <c r="D36" s="20">
        <f t="shared" si="8"/>
        <v>0</v>
      </c>
      <c r="E36" s="20">
        <f t="shared" si="9"/>
        <v>0.16000000000002501</v>
      </c>
      <c r="F36" s="20">
        <f t="shared" si="3"/>
        <v>1.3972441668553117</v>
      </c>
      <c r="G36" s="20">
        <f t="shared" si="6"/>
        <v>0.90813861453852385</v>
      </c>
      <c r="H36" s="20">
        <f t="shared" si="4"/>
        <v>1.5385802833252826</v>
      </c>
      <c r="I36" s="20">
        <f t="shared" si="5"/>
        <v>60.607903300576282</v>
      </c>
    </row>
    <row r="37" spans="1:9" x14ac:dyDescent="0.2">
      <c r="A37" s="1">
        <v>45524</v>
      </c>
      <c r="B37">
        <v>226.51</v>
      </c>
      <c r="C37" s="20">
        <f t="shared" si="7"/>
        <v>0.62000000000000455</v>
      </c>
      <c r="D37" s="20">
        <f t="shared" si="8"/>
        <v>0.62000000000000455</v>
      </c>
      <c r="E37" s="20">
        <f t="shared" si="9"/>
        <v>0</v>
      </c>
      <c r="F37" s="20">
        <f t="shared" si="3"/>
        <v>1.3417267263656469</v>
      </c>
      <c r="G37" s="20">
        <f t="shared" si="6"/>
        <v>0.84327157064291502</v>
      </c>
      <c r="H37" s="20">
        <f t="shared" si="4"/>
        <v>1.5910968341345919</v>
      </c>
      <c r="I37" s="20">
        <f t="shared" si="5"/>
        <v>61.406305359714857</v>
      </c>
    </row>
    <row r="38" spans="1:9" x14ac:dyDescent="0.2">
      <c r="A38" s="1">
        <v>45525</v>
      </c>
      <c r="B38">
        <v>226.4</v>
      </c>
      <c r="C38" s="20">
        <f t="shared" si="7"/>
        <v>-0.10999999999998522</v>
      </c>
      <c r="D38" s="20">
        <f t="shared" si="8"/>
        <v>0</v>
      </c>
      <c r="E38" s="20">
        <f t="shared" si="9"/>
        <v>0.10999999999998522</v>
      </c>
      <c r="F38" s="20">
        <f t="shared" si="3"/>
        <v>1.2458891030538148</v>
      </c>
      <c r="G38" s="20">
        <f t="shared" si="6"/>
        <v>0.79089502988270577</v>
      </c>
      <c r="H38" s="20">
        <f t="shared" si="4"/>
        <v>1.5752900903152562</v>
      </c>
      <c r="I38" s="20">
        <f t="shared" si="5"/>
        <v>61.169423057983181</v>
      </c>
    </row>
    <row r="39" spans="1:9" x14ac:dyDescent="0.2">
      <c r="A39" s="1">
        <v>45526</v>
      </c>
      <c r="B39">
        <v>224.53</v>
      </c>
      <c r="C39" s="20">
        <f t="shared" si="7"/>
        <v>-1.8700000000000045</v>
      </c>
      <c r="D39" s="20">
        <f t="shared" si="8"/>
        <v>0</v>
      </c>
      <c r="E39" s="20">
        <f t="shared" si="9"/>
        <v>1.8700000000000045</v>
      </c>
      <c r="F39" s="20">
        <f t="shared" si="3"/>
        <v>1.1568970242642567</v>
      </c>
      <c r="G39" s="20">
        <f t="shared" si="6"/>
        <v>0.86797395631965568</v>
      </c>
      <c r="H39" s="20">
        <f t="shared" si="4"/>
        <v>1.3328706648868587</v>
      </c>
      <c r="I39" s="20">
        <f t="shared" si="5"/>
        <v>57.134357465612062</v>
      </c>
    </row>
    <row r="40" spans="1:9" x14ac:dyDescent="0.2">
      <c r="A40" s="1">
        <v>45527</v>
      </c>
      <c r="B40">
        <v>226.84</v>
      </c>
      <c r="C40" s="20">
        <f t="shared" si="7"/>
        <v>2.3100000000000023</v>
      </c>
      <c r="D40" s="20">
        <f t="shared" si="8"/>
        <v>2.3100000000000023</v>
      </c>
      <c r="E40" s="20">
        <f t="shared" si="9"/>
        <v>0</v>
      </c>
      <c r="F40" s="20">
        <f t="shared" si="3"/>
        <v>1.2392615225310959</v>
      </c>
      <c r="G40" s="20">
        <f t="shared" si="6"/>
        <v>0.80597581658253747</v>
      </c>
      <c r="H40" s="20">
        <f t="shared" si="4"/>
        <v>1.5375914475768728</v>
      </c>
      <c r="I40" s="20">
        <f t="shared" si="5"/>
        <v>60.592553188382922</v>
      </c>
    </row>
    <row r="41" spans="1:9" x14ac:dyDescent="0.2">
      <c r="A41" s="1">
        <v>45530</v>
      </c>
      <c r="B41">
        <v>227.18</v>
      </c>
      <c r="C41" s="20">
        <f t="shared" si="7"/>
        <v>0.34000000000000341</v>
      </c>
      <c r="D41" s="20">
        <f t="shared" si="8"/>
        <v>0.34000000000000341</v>
      </c>
      <c r="E41" s="20">
        <f t="shared" si="9"/>
        <v>0</v>
      </c>
      <c r="F41" s="20">
        <f t="shared" si="3"/>
        <v>1.1750285566360179</v>
      </c>
      <c r="G41" s="20">
        <f t="shared" si="6"/>
        <v>0.74840611539807056</v>
      </c>
      <c r="H41" s="20">
        <f t="shared" si="4"/>
        <v>1.570041361849416</v>
      </c>
      <c r="I41" s="20">
        <f t="shared" si="5"/>
        <v>61.090120383105642</v>
      </c>
    </row>
    <row r="42" spans="1:9" x14ac:dyDescent="0.2">
      <c r="A42" s="1">
        <v>45531</v>
      </c>
      <c r="B42">
        <v>228.03</v>
      </c>
      <c r="C42" s="20">
        <f t="shared" si="7"/>
        <v>0.84999999999999432</v>
      </c>
      <c r="D42" s="20">
        <f t="shared" si="8"/>
        <v>0.84999999999999432</v>
      </c>
      <c r="E42" s="20">
        <f t="shared" si="9"/>
        <v>0</v>
      </c>
      <c r="F42" s="20">
        <f t="shared" si="3"/>
        <v>1.1518122311620165</v>
      </c>
      <c r="G42" s="20">
        <f t="shared" si="6"/>
        <v>0.69494853572677973</v>
      </c>
      <c r="H42" s="20">
        <f t="shared" si="4"/>
        <v>1.6574065156601085</v>
      </c>
      <c r="I42" s="20">
        <f t="shared" si="5"/>
        <v>62.369325351353076</v>
      </c>
    </row>
    <row r="43" spans="1:9" x14ac:dyDescent="0.2">
      <c r="A43" s="1">
        <v>45532</v>
      </c>
      <c r="B43">
        <v>226.49</v>
      </c>
      <c r="C43" s="20">
        <f t="shared" si="7"/>
        <v>-1.539999999999992</v>
      </c>
      <c r="D43" s="20">
        <f t="shared" si="8"/>
        <v>0</v>
      </c>
      <c r="E43" s="20">
        <f t="shared" si="9"/>
        <v>1.539999999999992</v>
      </c>
      <c r="F43" s="20">
        <f t="shared" si="3"/>
        <v>1.0695399289361582</v>
      </c>
      <c r="G43" s="20">
        <f t="shared" si="6"/>
        <v>0.75530935460343773</v>
      </c>
      <c r="H43" s="20">
        <f t="shared" ref="H43:H74" si="10">F43/G43</f>
        <v>1.4160289719934713</v>
      </c>
      <c r="I43" s="20">
        <f t="shared" ref="I43:I74" si="11">IF(G43=0,100,100-(100/(1+H43)))</f>
        <v>58.609767863218231</v>
      </c>
    </row>
    <row r="44" spans="1:9" x14ac:dyDescent="0.2">
      <c r="A44" s="1">
        <v>45533</v>
      </c>
      <c r="B44">
        <v>229.79</v>
      </c>
      <c r="C44" s="20">
        <f t="shared" si="7"/>
        <v>3.2999999999999829</v>
      </c>
      <c r="D44" s="20">
        <f t="shared" si="8"/>
        <v>3.2999999999999829</v>
      </c>
      <c r="E44" s="20">
        <f t="shared" si="9"/>
        <v>0</v>
      </c>
      <c r="F44" s="20">
        <f t="shared" ref="F44:F75" si="12">((F43*13)+D44)/14</f>
        <v>1.2288585054407173</v>
      </c>
      <c r="G44" s="20">
        <f t="shared" ref="G44:G75" si="13">((G43*13)+E44)/14</f>
        <v>0.70135868641747778</v>
      </c>
      <c r="H44" s="20">
        <f t="shared" si="10"/>
        <v>1.7521113365226786</v>
      </c>
      <c r="I44" s="20">
        <f t="shared" si="11"/>
        <v>63.664260717609245</v>
      </c>
    </row>
    <row r="45" spans="1:9" x14ac:dyDescent="0.2">
      <c r="A45" s="1">
        <v>45534</v>
      </c>
      <c r="B45">
        <v>229</v>
      </c>
      <c r="C45" s="20">
        <f t="shared" si="7"/>
        <v>-0.78999999999999204</v>
      </c>
      <c r="D45" s="20">
        <f t="shared" si="8"/>
        <v>0</v>
      </c>
      <c r="E45" s="20">
        <f t="shared" si="9"/>
        <v>0.78999999999999204</v>
      </c>
      <c r="F45" s="20">
        <f t="shared" si="12"/>
        <v>1.1410828979092373</v>
      </c>
      <c r="G45" s="20">
        <f t="shared" si="13"/>
        <v>0.70769020881622879</v>
      </c>
      <c r="H45" s="20">
        <f t="shared" si="10"/>
        <v>1.612404529120101</v>
      </c>
      <c r="I45" s="20">
        <f t="shared" si="11"/>
        <v>61.72108917845064</v>
      </c>
    </row>
    <row r="46" spans="1:9" x14ac:dyDescent="0.2">
      <c r="A46" s="1">
        <v>45538</v>
      </c>
      <c r="B46">
        <v>222.77</v>
      </c>
      <c r="C46" s="20">
        <f t="shared" si="7"/>
        <v>-6.2299999999999898</v>
      </c>
      <c r="D46" s="20">
        <f t="shared" si="8"/>
        <v>0</v>
      </c>
      <c r="E46" s="20">
        <f t="shared" si="9"/>
        <v>6.2299999999999898</v>
      </c>
      <c r="F46" s="20">
        <f t="shared" si="12"/>
        <v>1.0595769766300061</v>
      </c>
      <c r="G46" s="20">
        <f t="shared" si="13"/>
        <v>1.1021409081864975</v>
      </c>
      <c r="H46" s="20">
        <f t="shared" si="10"/>
        <v>0.96138068078198124</v>
      </c>
      <c r="I46" s="20">
        <f t="shared" si="11"/>
        <v>49.015506790792344</v>
      </c>
    </row>
    <row r="47" spans="1:9" x14ac:dyDescent="0.2">
      <c r="A47" s="1">
        <v>45539</v>
      </c>
      <c r="B47">
        <v>220.85</v>
      </c>
      <c r="C47" s="20">
        <f t="shared" si="7"/>
        <v>-1.9200000000000159</v>
      </c>
      <c r="D47" s="20">
        <f t="shared" si="8"/>
        <v>0</v>
      </c>
      <c r="E47" s="20">
        <f t="shared" si="9"/>
        <v>1.9200000000000159</v>
      </c>
      <c r="F47" s="20">
        <f t="shared" si="12"/>
        <v>0.98389290687071984</v>
      </c>
      <c r="G47" s="20">
        <f t="shared" si="13"/>
        <v>1.1605594147446059</v>
      </c>
      <c r="H47" s="20">
        <f t="shared" si="10"/>
        <v>0.84777469759033108</v>
      </c>
      <c r="I47" s="20">
        <f t="shared" si="11"/>
        <v>45.880847848815527</v>
      </c>
    </row>
    <row r="48" spans="1:9" x14ac:dyDescent="0.2">
      <c r="A48" s="1">
        <v>45540</v>
      </c>
      <c r="B48">
        <v>222.38</v>
      </c>
      <c r="C48" s="20">
        <f t="shared" si="7"/>
        <v>1.5300000000000011</v>
      </c>
      <c r="D48" s="20">
        <f t="shared" si="8"/>
        <v>1.5300000000000011</v>
      </c>
      <c r="E48" s="20">
        <f t="shared" si="9"/>
        <v>0</v>
      </c>
      <c r="F48" s="20">
        <f t="shared" si="12"/>
        <v>1.0229005563799543</v>
      </c>
      <c r="G48" s="20">
        <f t="shared" si="13"/>
        <v>1.0776623136914198</v>
      </c>
      <c r="H48" s="20">
        <f t="shared" si="10"/>
        <v>0.94918467815406393</v>
      </c>
      <c r="I48" s="20">
        <f t="shared" si="11"/>
        <v>48.696498017466979</v>
      </c>
    </row>
    <row r="49" spans="1:9" x14ac:dyDescent="0.2">
      <c r="A49" s="1">
        <v>45541</v>
      </c>
      <c r="B49">
        <v>220.82</v>
      </c>
      <c r="C49" s="20">
        <f t="shared" si="7"/>
        <v>-1.5600000000000023</v>
      </c>
      <c r="D49" s="20">
        <f t="shared" si="8"/>
        <v>0</v>
      </c>
      <c r="E49" s="20">
        <f t="shared" si="9"/>
        <v>1.5600000000000023</v>
      </c>
      <c r="F49" s="20">
        <f t="shared" si="12"/>
        <v>0.9498362309242433</v>
      </c>
      <c r="G49" s="20">
        <f t="shared" si="13"/>
        <v>1.1121150055706044</v>
      </c>
      <c r="H49" s="20">
        <f t="shared" si="10"/>
        <v>0.85408094141927426</v>
      </c>
      <c r="I49" s="20">
        <f t="shared" si="11"/>
        <v>46.064922104505676</v>
      </c>
    </row>
    <row r="50" spans="1:9" x14ac:dyDescent="0.2">
      <c r="A50" s="1">
        <v>45544</v>
      </c>
      <c r="B50">
        <v>220.91</v>
      </c>
      <c r="C50" s="20">
        <f t="shared" si="7"/>
        <v>9.0000000000003411E-2</v>
      </c>
      <c r="D50" s="20">
        <f t="shared" si="8"/>
        <v>9.0000000000003411E-2</v>
      </c>
      <c r="E50" s="20">
        <f t="shared" si="9"/>
        <v>0</v>
      </c>
      <c r="F50" s="20">
        <f t="shared" si="12"/>
        <v>0.88841935728679755</v>
      </c>
      <c r="G50" s="20">
        <f t="shared" si="13"/>
        <v>1.0326782194584183</v>
      </c>
      <c r="H50" s="20">
        <f t="shared" si="10"/>
        <v>0.86030608620052385</v>
      </c>
      <c r="I50" s="20">
        <f t="shared" si="11"/>
        <v>46.24540512887355</v>
      </c>
    </row>
    <row r="51" spans="1:9" x14ac:dyDescent="0.2">
      <c r="A51" s="1">
        <v>45545</v>
      </c>
      <c r="B51">
        <v>220.11</v>
      </c>
      <c r="C51" s="20">
        <f t="shared" si="7"/>
        <v>-0.79999999999998295</v>
      </c>
      <c r="D51" s="20">
        <f t="shared" si="8"/>
        <v>0</v>
      </c>
      <c r="E51" s="20">
        <f t="shared" si="9"/>
        <v>0.79999999999998295</v>
      </c>
      <c r="F51" s="20">
        <f t="shared" si="12"/>
        <v>0.82496083176631196</v>
      </c>
      <c r="G51" s="20">
        <f t="shared" si="13"/>
        <v>1.0160583466399586</v>
      </c>
      <c r="H51" s="20">
        <f t="shared" si="10"/>
        <v>0.81192269567432407</v>
      </c>
      <c r="I51" s="20">
        <f t="shared" si="11"/>
        <v>44.810007491636355</v>
      </c>
    </row>
    <row r="52" spans="1:9" x14ac:dyDescent="0.2">
      <c r="A52" s="1">
        <v>45546</v>
      </c>
      <c r="B52">
        <v>222.66</v>
      </c>
      <c r="C52" s="20">
        <f t="shared" si="7"/>
        <v>2.5499999999999829</v>
      </c>
      <c r="D52" s="20">
        <f t="shared" si="8"/>
        <v>2.5499999999999829</v>
      </c>
      <c r="E52" s="20">
        <f t="shared" si="9"/>
        <v>0</v>
      </c>
      <c r="F52" s="20">
        <f t="shared" si="12"/>
        <v>0.94817791521157424</v>
      </c>
      <c r="G52" s="20">
        <f t="shared" si="13"/>
        <v>0.94348275045139018</v>
      </c>
      <c r="H52" s="20">
        <f t="shared" si="10"/>
        <v>1.004976418231216</v>
      </c>
      <c r="I52" s="20">
        <f t="shared" si="11"/>
        <v>50.124101664886567</v>
      </c>
    </row>
    <row r="53" spans="1:9" x14ac:dyDescent="0.2">
      <c r="A53" s="1">
        <v>45547</v>
      </c>
      <c r="B53">
        <v>222.77</v>
      </c>
      <c r="C53" s="20">
        <f t="shared" si="7"/>
        <v>0.11000000000001364</v>
      </c>
      <c r="D53" s="20">
        <f t="shared" si="8"/>
        <v>0.11000000000001364</v>
      </c>
      <c r="E53" s="20">
        <f t="shared" si="9"/>
        <v>0</v>
      </c>
      <c r="F53" s="20">
        <f t="shared" si="12"/>
        <v>0.88830806412503427</v>
      </c>
      <c r="G53" s="20">
        <f t="shared" si="13"/>
        <v>0.87609112541914802</v>
      </c>
      <c r="H53" s="20">
        <f t="shared" si="10"/>
        <v>1.0139448264585962</v>
      </c>
      <c r="I53" s="20">
        <f t="shared" si="11"/>
        <v>50.346206764837675</v>
      </c>
    </row>
    <row r="54" spans="1:9" x14ac:dyDescent="0.2">
      <c r="A54" s="1">
        <v>45548</v>
      </c>
      <c r="B54">
        <v>222.5</v>
      </c>
      <c r="C54" s="20">
        <f t="shared" si="7"/>
        <v>-0.27000000000001023</v>
      </c>
      <c r="D54" s="20">
        <f t="shared" si="8"/>
        <v>0</v>
      </c>
      <c r="E54" s="20">
        <f t="shared" si="9"/>
        <v>0.27000000000001023</v>
      </c>
      <c r="F54" s="20">
        <f t="shared" si="12"/>
        <v>0.82485748811610315</v>
      </c>
      <c r="G54" s="20">
        <f t="shared" si="13"/>
        <v>0.83279890217492381</v>
      </c>
      <c r="H54" s="20">
        <f t="shared" si="10"/>
        <v>0.99046418764712463</v>
      </c>
      <c r="I54" s="20">
        <f t="shared" si="11"/>
        <v>49.760462599325955</v>
      </c>
    </row>
    <row r="55" spans="1:9" x14ac:dyDescent="0.2">
      <c r="A55" s="1">
        <v>45551</v>
      </c>
      <c r="B55">
        <v>216.32</v>
      </c>
      <c r="C55" s="20">
        <f t="shared" si="7"/>
        <v>-6.1800000000000068</v>
      </c>
      <c r="D55" s="20">
        <f t="shared" si="8"/>
        <v>0</v>
      </c>
      <c r="E55" s="20">
        <f t="shared" si="9"/>
        <v>6.1800000000000068</v>
      </c>
      <c r="F55" s="20">
        <f t="shared" si="12"/>
        <v>0.76593909610781008</v>
      </c>
      <c r="G55" s="20">
        <f t="shared" si="13"/>
        <v>1.2147418377338586</v>
      </c>
      <c r="H55" s="20">
        <f t="shared" si="10"/>
        <v>0.6305365241528974</v>
      </c>
      <c r="I55" s="20">
        <f t="shared" si="11"/>
        <v>38.670493718653503</v>
      </c>
    </row>
    <row r="56" spans="1:9" x14ac:dyDescent="0.2">
      <c r="A56" s="1">
        <v>45552</v>
      </c>
      <c r="B56">
        <v>216.79</v>
      </c>
      <c r="C56" s="20">
        <f t="shared" si="7"/>
        <v>0.46999999999999886</v>
      </c>
      <c r="D56" s="20">
        <f t="shared" si="8"/>
        <v>0.46999999999999886</v>
      </c>
      <c r="E56" s="20">
        <f t="shared" si="9"/>
        <v>0</v>
      </c>
      <c r="F56" s="20">
        <f t="shared" si="12"/>
        <v>0.74480058924296644</v>
      </c>
      <c r="G56" s="20">
        <f t="shared" si="13"/>
        <v>1.1279745636100116</v>
      </c>
      <c r="H56" s="20">
        <f t="shared" si="10"/>
        <v>0.66029910006062464</v>
      </c>
      <c r="I56" s="20">
        <f t="shared" si="11"/>
        <v>39.769888451816563</v>
      </c>
    </row>
    <row r="57" spans="1:9" x14ac:dyDescent="0.2">
      <c r="A57" s="1">
        <v>45553</v>
      </c>
      <c r="B57">
        <v>220.69</v>
      </c>
      <c r="C57" s="20">
        <f t="shared" si="7"/>
        <v>3.9000000000000057</v>
      </c>
      <c r="D57" s="20">
        <f t="shared" si="8"/>
        <v>3.9000000000000057</v>
      </c>
      <c r="E57" s="20">
        <f t="shared" si="9"/>
        <v>0</v>
      </c>
      <c r="F57" s="20">
        <f t="shared" si="12"/>
        <v>0.97017197572561209</v>
      </c>
      <c r="G57" s="20">
        <f t="shared" si="13"/>
        <v>1.0474049519235822</v>
      </c>
      <c r="H57" s="20">
        <f t="shared" si="10"/>
        <v>0.92626254434244359</v>
      </c>
      <c r="I57" s="20">
        <f t="shared" si="11"/>
        <v>48.085996743431259</v>
      </c>
    </row>
    <row r="58" spans="1:9" x14ac:dyDescent="0.2">
      <c r="A58" s="1">
        <v>45554</v>
      </c>
      <c r="B58">
        <v>228.87</v>
      </c>
      <c r="C58" s="20">
        <f t="shared" si="7"/>
        <v>8.1800000000000068</v>
      </c>
      <c r="D58" s="20">
        <f t="shared" si="8"/>
        <v>8.1800000000000068</v>
      </c>
      <c r="E58" s="20">
        <f t="shared" si="9"/>
        <v>0</v>
      </c>
      <c r="F58" s="20">
        <f t="shared" si="12"/>
        <v>1.4851596917452117</v>
      </c>
      <c r="G58" s="20">
        <f t="shared" si="13"/>
        <v>0.97259031250046923</v>
      </c>
      <c r="H58" s="20">
        <f t="shared" si="10"/>
        <v>1.527014687126544</v>
      </c>
      <c r="I58" s="20">
        <f t="shared" si="11"/>
        <v>60.427614247976727</v>
      </c>
    </row>
    <row r="59" spans="1:9" x14ac:dyDescent="0.2">
      <c r="A59" s="1">
        <v>45555</v>
      </c>
      <c r="B59">
        <v>228.2</v>
      </c>
      <c r="C59" s="20">
        <f t="shared" si="7"/>
        <v>-0.67000000000001592</v>
      </c>
      <c r="D59" s="20">
        <f t="shared" si="8"/>
        <v>0</v>
      </c>
      <c r="E59" s="20">
        <f t="shared" si="9"/>
        <v>0.67000000000001592</v>
      </c>
      <c r="F59" s="20">
        <f t="shared" si="12"/>
        <v>1.3790768566205536</v>
      </c>
      <c r="G59" s="20">
        <f t="shared" si="13"/>
        <v>0.95097671875043688</v>
      </c>
      <c r="H59" s="20">
        <f t="shared" si="10"/>
        <v>1.4501688941792719</v>
      </c>
      <c r="I59" s="20">
        <f t="shared" si="11"/>
        <v>59.186487006032777</v>
      </c>
    </row>
    <row r="60" spans="1:9" x14ac:dyDescent="0.2">
      <c r="A60" s="1">
        <v>45558</v>
      </c>
      <c r="B60">
        <v>226.47</v>
      </c>
      <c r="C60" s="20">
        <f t="shared" si="7"/>
        <v>-1.7299999999999898</v>
      </c>
      <c r="D60" s="20">
        <f t="shared" si="8"/>
        <v>0</v>
      </c>
      <c r="E60" s="20">
        <f t="shared" si="9"/>
        <v>1.7299999999999898</v>
      </c>
      <c r="F60" s="20">
        <f t="shared" si="12"/>
        <v>1.2805713668619425</v>
      </c>
      <c r="G60" s="20">
        <f t="shared" si="13"/>
        <v>1.0066212388396907</v>
      </c>
      <c r="H60" s="20">
        <f t="shared" si="10"/>
        <v>1.2721481699889701</v>
      </c>
      <c r="I60" s="20">
        <f t="shared" si="11"/>
        <v>55.988785713527896</v>
      </c>
    </row>
    <row r="61" spans="1:9" x14ac:dyDescent="0.2">
      <c r="A61" s="1">
        <v>45559</v>
      </c>
      <c r="B61">
        <v>227.37</v>
      </c>
      <c r="C61" s="20">
        <f t="shared" si="7"/>
        <v>0.90000000000000568</v>
      </c>
      <c r="D61" s="20">
        <f t="shared" si="8"/>
        <v>0.90000000000000568</v>
      </c>
      <c r="E61" s="20">
        <f t="shared" si="9"/>
        <v>0</v>
      </c>
      <c r="F61" s="20">
        <f t="shared" si="12"/>
        <v>1.2533876978003755</v>
      </c>
      <c r="G61" s="20">
        <f t="shared" si="13"/>
        <v>0.93471972177971274</v>
      </c>
      <c r="H61" s="20">
        <f t="shared" si="10"/>
        <v>1.3409235609300258</v>
      </c>
      <c r="I61" s="20">
        <f t="shared" si="11"/>
        <v>57.28181745487197</v>
      </c>
    </row>
    <row r="62" spans="1:9" x14ac:dyDescent="0.2">
      <c r="A62" s="1">
        <v>45560</v>
      </c>
      <c r="B62">
        <v>226.37</v>
      </c>
      <c r="C62" s="20">
        <f t="shared" si="7"/>
        <v>-1</v>
      </c>
      <c r="D62" s="20">
        <f t="shared" si="8"/>
        <v>0</v>
      </c>
      <c r="E62" s="20">
        <f t="shared" si="9"/>
        <v>1</v>
      </c>
      <c r="F62" s="20">
        <f t="shared" si="12"/>
        <v>1.1638600051003487</v>
      </c>
      <c r="G62" s="20">
        <f t="shared" si="13"/>
        <v>0.9393825987954475</v>
      </c>
      <c r="H62" s="20">
        <f t="shared" si="10"/>
        <v>1.2389627044324052</v>
      </c>
      <c r="I62" s="20">
        <f t="shared" si="11"/>
        <v>55.33646013753016</v>
      </c>
    </row>
    <row r="63" spans="1:9" x14ac:dyDescent="0.2">
      <c r="A63" s="1">
        <v>45561</v>
      </c>
      <c r="B63">
        <v>227.52</v>
      </c>
      <c r="C63" s="20">
        <f t="shared" si="7"/>
        <v>1.1500000000000057</v>
      </c>
      <c r="D63" s="20">
        <f t="shared" si="8"/>
        <v>1.1500000000000057</v>
      </c>
      <c r="E63" s="20">
        <f t="shared" si="9"/>
        <v>0</v>
      </c>
      <c r="F63" s="20">
        <f t="shared" si="12"/>
        <v>1.1628700047360385</v>
      </c>
      <c r="G63" s="20">
        <f t="shared" si="13"/>
        <v>0.87228384173862972</v>
      </c>
      <c r="H63" s="20">
        <f t="shared" si="10"/>
        <v>1.3331325757659509</v>
      </c>
      <c r="I63" s="20">
        <f t="shared" si="11"/>
        <v>57.13916944168048</v>
      </c>
    </row>
    <row r="64" spans="1:9" x14ac:dyDescent="0.2">
      <c r="A64" s="1">
        <v>45562</v>
      </c>
      <c r="B64">
        <v>227.79</v>
      </c>
      <c r="C64" s="20">
        <f t="shared" si="7"/>
        <v>0.26999999999998181</v>
      </c>
      <c r="D64" s="20">
        <f t="shared" si="8"/>
        <v>0.26999999999998181</v>
      </c>
      <c r="E64" s="20">
        <f t="shared" si="9"/>
        <v>0</v>
      </c>
      <c r="F64" s="20">
        <f t="shared" si="12"/>
        <v>1.0990935758263203</v>
      </c>
      <c r="G64" s="20">
        <f t="shared" si="13"/>
        <v>0.80997785304301329</v>
      </c>
      <c r="H64" s="20">
        <f t="shared" si="10"/>
        <v>1.3569427505914211</v>
      </c>
      <c r="I64" s="20">
        <f t="shared" si="11"/>
        <v>57.572155719562012</v>
      </c>
    </row>
    <row r="65" spans="1:9" x14ac:dyDescent="0.2">
      <c r="A65" s="1">
        <v>45565</v>
      </c>
      <c r="B65">
        <v>233</v>
      </c>
      <c r="C65" s="20">
        <f t="shared" si="7"/>
        <v>5.210000000000008</v>
      </c>
      <c r="D65" s="20">
        <f t="shared" si="8"/>
        <v>5.210000000000008</v>
      </c>
      <c r="E65" s="20">
        <f t="shared" si="9"/>
        <v>0</v>
      </c>
      <c r="F65" s="20">
        <f t="shared" si="12"/>
        <v>1.3927297489815835</v>
      </c>
      <c r="G65" s="20">
        <f t="shared" si="13"/>
        <v>0.75212229211136949</v>
      </c>
      <c r="H65" s="20">
        <f t="shared" si="10"/>
        <v>1.8517331072210221</v>
      </c>
      <c r="I65" s="20">
        <f t="shared" si="11"/>
        <v>64.93360485005249</v>
      </c>
    </row>
    <row r="66" spans="1:9" x14ac:dyDescent="0.2">
      <c r="A66" s="1">
        <v>45566</v>
      </c>
      <c r="B66">
        <v>226.21</v>
      </c>
      <c r="C66" s="20">
        <f t="shared" si="7"/>
        <v>-6.789999999999992</v>
      </c>
      <c r="D66" s="20">
        <f t="shared" si="8"/>
        <v>0</v>
      </c>
      <c r="E66" s="20">
        <f t="shared" si="9"/>
        <v>6.789999999999992</v>
      </c>
      <c r="F66" s="20">
        <f t="shared" si="12"/>
        <v>1.2932490526257561</v>
      </c>
      <c r="G66" s="20">
        <f t="shared" si="13"/>
        <v>1.1833992712462711</v>
      </c>
      <c r="H66" s="20">
        <f t="shared" si="10"/>
        <v>1.0928256287193747</v>
      </c>
      <c r="I66" s="20">
        <f t="shared" si="11"/>
        <v>52.217710530814166</v>
      </c>
    </row>
    <row r="67" spans="1:9" x14ac:dyDescent="0.2">
      <c r="A67" s="1">
        <v>45567</v>
      </c>
      <c r="B67">
        <v>226.78</v>
      </c>
      <c r="C67" s="20">
        <f t="shared" ref="C67:C98" si="14">B67-B66</f>
        <v>0.56999999999999318</v>
      </c>
      <c r="D67" s="20">
        <f t="shared" ref="D67:D98" si="15">IF(C67&gt;0,C67,0)</f>
        <v>0.56999999999999318</v>
      </c>
      <c r="E67" s="20">
        <f t="shared" ref="E67:E98" si="16">IF(C67&lt;0,-C67,0)</f>
        <v>0</v>
      </c>
      <c r="F67" s="20">
        <f t="shared" si="12"/>
        <v>1.2415884060096301</v>
      </c>
      <c r="G67" s="20">
        <f t="shared" si="13"/>
        <v>1.0988707518715375</v>
      </c>
      <c r="H67" s="20">
        <f t="shared" si="10"/>
        <v>1.1298766519129055</v>
      </c>
      <c r="I67" s="20">
        <f t="shared" si="11"/>
        <v>53.048924260385199</v>
      </c>
    </row>
    <row r="68" spans="1:9" x14ac:dyDescent="0.2">
      <c r="A68" s="1">
        <v>45568</v>
      </c>
      <c r="B68">
        <v>225.67</v>
      </c>
      <c r="C68" s="20">
        <f t="shared" si="14"/>
        <v>-1.1100000000000136</v>
      </c>
      <c r="D68" s="20">
        <f t="shared" si="15"/>
        <v>0</v>
      </c>
      <c r="E68" s="20">
        <f t="shared" si="16"/>
        <v>1.1100000000000136</v>
      </c>
      <c r="F68" s="20">
        <f t="shared" si="12"/>
        <v>1.1529035198660851</v>
      </c>
      <c r="G68" s="20">
        <f t="shared" si="13"/>
        <v>1.0996656981664288</v>
      </c>
      <c r="H68" s="20">
        <f t="shared" si="10"/>
        <v>1.0484127328772959</v>
      </c>
      <c r="I68" s="20">
        <f t="shared" si="11"/>
        <v>51.181713335898202</v>
      </c>
    </row>
    <row r="69" spans="1:9" x14ac:dyDescent="0.2">
      <c r="A69" s="1">
        <v>45569</v>
      </c>
      <c r="B69">
        <v>226.8</v>
      </c>
      <c r="C69" s="20">
        <f t="shared" si="14"/>
        <v>1.1300000000000239</v>
      </c>
      <c r="D69" s="20">
        <f t="shared" si="15"/>
        <v>1.1300000000000239</v>
      </c>
      <c r="E69" s="20">
        <f t="shared" si="16"/>
        <v>0</v>
      </c>
      <c r="F69" s="20">
        <f t="shared" si="12"/>
        <v>1.1512675541613664</v>
      </c>
      <c r="G69" s="20">
        <f t="shared" si="13"/>
        <v>1.0211181482973981</v>
      </c>
      <c r="H69" s="20">
        <f t="shared" si="10"/>
        <v>1.1274577345246268</v>
      </c>
      <c r="I69" s="20">
        <f t="shared" si="11"/>
        <v>52.995540932640587</v>
      </c>
    </row>
    <row r="70" spans="1:9" x14ac:dyDescent="0.2">
      <c r="A70" s="1">
        <v>45572</v>
      </c>
      <c r="B70">
        <v>221.69</v>
      </c>
      <c r="C70" s="20">
        <f t="shared" si="14"/>
        <v>-5.1100000000000136</v>
      </c>
      <c r="D70" s="20">
        <f t="shared" si="15"/>
        <v>0</v>
      </c>
      <c r="E70" s="20">
        <f t="shared" si="16"/>
        <v>5.1100000000000136</v>
      </c>
      <c r="F70" s="20">
        <f t="shared" si="12"/>
        <v>1.0690341574355544</v>
      </c>
      <c r="G70" s="20">
        <f t="shared" si="13"/>
        <v>1.3131811377047278</v>
      </c>
      <c r="H70" s="20">
        <f t="shared" si="10"/>
        <v>0.81407973869019246</v>
      </c>
      <c r="I70" s="20">
        <f t="shared" si="11"/>
        <v>44.875631502172936</v>
      </c>
    </row>
    <row r="71" spans="1:9" x14ac:dyDescent="0.2">
      <c r="A71" s="1">
        <v>45573</v>
      </c>
      <c r="B71">
        <v>225.77</v>
      </c>
      <c r="C71" s="20">
        <f t="shared" si="14"/>
        <v>4.0800000000000125</v>
      </c>
      <c r="D71" s="20">
        <f t="shared" si="15"/>
        <v>4.0800000000000125</v>
      </c>
      <c r="E71" s="20">
        <f t="shared" si="16"/>
        <v>0</v>
      </c>
      <c r="F71" s="20">
        <f t="shared" si="12"/>
        <v>1.2841031461901586</v>
      </c>
      <c r="G71" s="20">
        <f t="shared" si="13"/>
        <v>1.2193824850115329</v>
      </c>
      <c r="H71" s="20">
        <f t="shared" si="10"/>
        <v>1.0530765875138952</v>
      </c>
      <c r="I71" s="20">
        <f t="shared" si="11"/>
        <v>51.292610997482726</v>
      </c>
    </row>
    <row r="72" spans="1:9" x14ac:dyDescent="0.2">
      <c r="A72" s="1">
        <v>45574</v>
      </c>
      <c r="B72">
        <v>229.54</v>
      </c>
      <c r="C72" s="20">
        <f t="shared" si="14"/>
        <v>3.7699999999999818</v>
      </c>
      <c r="D72" s="20">
        <f t="shared" si="15"/>
        <v>3.7699999999999818</v>
      </c>
      <c r="E72" s="20">
        <f t="shared" si="16"/>
        <v>0</v>
      </c>
      <c r="F72" s="20">
        <f t="shared" si="12"/>
        <v>1.4616672071765746</v>
      </c>
      <c r="G72" s="20">
        <f t="shared" si="13"/>
        <v>1.1322837360821378</v>
      </c>
      <c r="H72" s="20">
        <f t="shared" si="10"/>
        <v>1.2909018831570878</v>
      </c>
      <c r="I72" s="20">
        <f t="shared" si="11"/>
        <v>56.349069012859609</v>
      </c>
    </row>
    <row r="73" spans="1:9" x14ac:dyDescent="0.2">
      <c r="A73" s="1">
        <v>45575</v>
      </c>
      <c r="B73">
        <v>229.04</v>
      </c>
      <c r="C73" s="20">
        <f t="shared" si="14"/>
        <v>-0.5</v>
      </c>
      <c r="D73" s="20">
        <f t="shared" si="15"/>
        <v>0</v>
      </c>
      <c r="E73" s="20">
        <f t="shared" si="16"/>
        <v>0.5</v>
      </c>
      <c r="F73" s="20">
        <f t="shared" si="12"/>
        <v>1.357262406663962</v>
      </c>
      <c r="G73" s="20">
        <f t="shared" si="13"/>
        <v>1.0871206120762709</v>
      </c>
      <c r="H73" s="20">
        <f t="shared" si="10"/>
        <v>1.2484929377539375</v>
      </c>
      <c r="I73" s="20">
        <f t="shared" si="11"/>
        <v>55.525766471878754</v>
      </c>
    </row>
    <row r="74" spans="1:9" x14ac:dyDescent="0.2">
      <c r="A74" s="1">
        <v>45576</v>
      </c>
      <c r="B74">
        <v>227.55</v>
      </c>
      <c r="C74" s="20">
        <f t="shared" si="14"/>
        <v>-1.4899999999999807</v>
      </c>
      <c r="D74" s="20">
        <f t="shared" si="15"/>
        <v>0</v>
      </c>
      <c r="E74" s="20">
        <f t="shared" si="16"/>
        <v>1.4899999999999807</v>
      </c>
      <c r="F74" s="20">
        <f t="shared" si="12"/>
        <v>1.2603150919022503</v>
      </c>
      <c r="G74" s="20">
        <f t="shared" si="13"/>
        <v>1.1158977112136788</v>
      </c>
      <c r="H74" s="20">
        <f t="shared" si="10"/>
        <v>1.1294181171242834</v>
      </c>
      <c r="I74" s="20">
        <f t="shared" si="11"/>
        <v>53.038814126815517</v>
      </c>
    </row>
    <row r="75" spans="1:9" x14ac:dyDescent="0.2">
      <c r="A75" s="1">
        <v>45579</v>
      </c>
      <c r="B75">
        <v>231.3</v>
      </c>
      <c r="C75" s="20">
        <f t="shared" si="14"/>
        <v>3.75</v>
      </c>
      <c r="D75" s="20">
        <f t="shared" si="15"/>
        <v>3.75</v>
      </c>
      <c r="E75" s="20">
        <f t="shared" si="16"/>
        <v>0</v>
      </c>
      <c r="F75" s="20">
        <f t="shared" si="12"/>
        <v>1.4381497281949467</v>
      </c>
      <c r="G75" s="20">
        <f t="shared" si="13"/>
        <v>1.0361907318412731</v>
      </c>
      <c r="H75" s="20">
        <f t="shared" ref="H75:H106" si="17">F75/G75</f>
        <v>1.38791989158155</v>
      </c>
      <c r="I75" s="20">
        <f t="shared" ref="I75:I106" si="18">IF(G75=0,100,100-(100/(1+H75)))</f>
        <v>58.122548267827895</v>
      </c>
    </row>
    <row r="76" spans="1:9" x14ac:dyDescent="0.2">
      <c r="A76" s="1">
        <v>45580</v>
      </c>
      <c r="B76">
        <v>233.85</v>
      </c>
      <c r="C76" s="20">
        <f t="shared" si="14"/>
        <v>2.5499999999999829</v>
      </c>
      <c r="D76" s="20">
        <f t="shared" si="15"/>
        <v>2.5499999999999829</v>
      </c>
      <c r="E76" s="20">
        <f t="shared" si="16"/>
        <v>0</v>
      </c>
      <c r="F76" s="20">
        <f t="shared" ref="F76:F107" si="19">((F75*13)+D76)/14</f>
        <v>1.5175676047524491</v>
      </c>
      <c r="G76" s="20">
        <f t="shared" ref="G76:G107" si="20">((G75*13)+E76)/14</f>
        <v>0.96217710813832491</v>
      </c>
      <c r="H76" s="20">
        <f t="shared" si="17"/>
        <v>1.5772227294917933</v>
      </c>
      <c r="I76" s="20">
        <f t="shared" si="18"/>
        <v>61.198541804060852</v>
      </c>
    </row>
    <row r="77" spans="1:9" x14ac:dyDescent="0.2">
      <c r="A77" s="1">
        <v>45581</v>
      </c>
      <c r="B77">
        <v>231.78</v>
      </c>
      <c r="C77" s="20">
        <f t="shared" si="14"/>
        <v>-2.0699999999999932</v>
      </c>
      <c r="D77" s="20">
        <f t="shared" si="15"/>
        <v>0</v>
      </c>
      <c r="E77" s="20">
        <f t="shared" si="16"/>
        <v>2.0699999999999932</v>
      </c>
      <c r="F77" s="20">
        <f t="shared" si="19"/>
        <v>1.4091699186987028</v>
      </c>
      <c r="G77" s="20">
        <f t="shared" si="20"/>
        <v>1.0413073146998726</v>
      </c>
      <c r="H77" s="20">
        <f t="shared" si="17"/>
        <v>1.3532699701671222</v>
      </c>
      <c r="I77" s="20">
        <f t="shared" si="18"/>
        <v>57.505938006382543</v>
      </c>
    </row>
    <row r="78" spans="1:9" x14ac:dyDescent="0.2">
      <c r="A78" s="1">
        <v>45582</v>
      </c>
      <c r="B78">
        <v>232.15</v>
      </c>
      <c r="C78" s="20">
        <f t="shared" si="14"/>
        <v>0.37000000000000455</v>
      </c>
      <c r="D78" s="20">
        <f t="shared" si="15"/>
        <v>0.37000000000000455</v>
      </c>
      <c r="E78" s="20">
        <f t="shared" si="16"/>
        <v>0</v>
      </c>
      <c r="F78" s="20">
        <f t="shared" si="19"/>
        <v>1.3349434959345101</v>
      </c>
      <c r="G78" s="20">
        <f t="shared" si="20"/>
        <v>0.96692822079273888</v>
      </c>
      <c r="H78" s="20">
        <f t="shared" si="17"/>
        <v>1.3806024762004079</v>
      </c>
      <c r="I78" s="20">
        <f t="shared" si="18"/>
        <v>57.993826772957767</v>
      </c>
    </row>
    <row r="79" spans="1:9" x14ac:dyDescent="0.2">
      <c r="A79" s="1">
        <v>45583</v>
      </c>
      <c r="B79">
        <v>235</v>
      </c>
      <c r="C79" s="20">
        <f t="shared" si="14"/>
        <v>2.8499999999999943</v>
      </c>
      <c r="D79" s="20">
        <f t="shared" si="15"/>
        <v>2.8499999999999943</v>
      </c>
      <c r="E79" s="20">
        <f t="shared" si="16"/>
        <v>0</v>
      </c>
      <c r="F79" s="20">
        <f t="shared" si="19"/>
        <v>1.4431618176534733</v>
      </c>
      <c r="G79" s="20">
        <f t="shared" si="20"/>
        <v>0.89786191930754333</v>
      </c>
      <c r="H79" s="20">
        <f t="shared" si="17"/>
        <v>1.6073315803018806</v>
      </c>
      <c r="I79" s="20">
        <f t="shared" si="18"/>
        <v>61.646611901804278</v>
      </c>
    </row>
    <row r="80" spans="1:9" x14ac:dyDescent="0.2">
      <c r="A80" s="1">
        <v>45586</v>
      </c>
      <c r="B80">
        <v>236.48</v>
      </c>
      <c r="C80" s="20">
        <f t="shared" si="14"/>
        <v>1.4799999999999898</v>
      </c>
      <c r="D80" s="20">
        <f t="shared" si="15"/>
        <v>1.4799999999999898</v>
      </c>
      <c r="E80" s="20">
        <f t="shared" si="16"/>
        <v>0</v>
      </c>
      <c r="F80" s="20">
        <f t="shared" si="19"/>
        <v>1.4457931163925102</v>
      </c>
      <c r="G80" s="20">
        <f t="shared" si="20"/>
        <v>0.83372892507129026</v>
      </c>
      <c r="H80" s="20">
        <f t="shared" si="17"/>
        <v>1.734128531367535</v>
      </c>
      <c r="I80" s="20">
        <f t="shared" si="18"/>
        <v>63.425274688903237</v>
      </c>
    </row>
    <row r="81" spans="1:9" x14ac:dyDescent="0.2">
      <c r="A81" s="1">
        <v>45587</v>
      </c>
      <c r="B81">
        <v>235.86</v>
      </c>
      <c r="C81" s="20">
        <f t="shared" si="14"/>
        <v>-0.61999999999997613</v>
      </c>
      <c r="D81" s="20">
        <f t="shared" si="15"/>
        <v>0</v>
      </c>
      <c r="E81" s="20">
        <f t="shared" si="16"/>
        <v>0.61999999999997613</v>
      </c>
      <c r="F81" s="20">
        <f t="shared" si="19"/>
        <v>1.3425221795073308</v>
      </c>
      <c r="G81" s="20">
        <f t="shared" si="20"/>
        <v>0.81846257328048211</v>
      </c>
      <c r="H81" s="20">
        <f t="shared" si="17"/>
        <v>1.640297581508662</v>
      </c>
      <c r="I81" s="20">
        <f t="shared" si="18"/>
        <v>62.125481347121429</v>
      </c>
    </row>
    <row r="82" spans="1:9" x14ac:dyDescent="0.2">
      <c r="A82" s="1">
        <v>45588</v>
      </c>
      <c r="B82">
        <v>230.76</v>
      </c>
      <c r="C82" s="20">
        <f t="shared" si="14"/>
        <v>-5.1000000000000227</v>
      </c>
      <c r="D82" s="20">
        <f t="shared" si="15"/>
        <v>0</v>
      </c>
      <c r="E82" s="20">
        <f t="shared" si="16"/>
        <v>5.1000000000000227</v>
      </c>
      <c r="F82" s="20">
        <f t="shared" si="19"/>
        <v>1.2466277381139501</v>
      </c>
      <c r="G82" s="20">
        <f t="shared" si="20"/>
        <v>1.1242866751890206</v>
      </c>
      <c r="H82" s="20">
        <f t="shared" si="17"/>
        <v>1.1088166084547439</v>
      </c>
      <c r="I82" s="20">
        <f t="shared" si="18"/>
        <v>52.58003963024742</v>
      </c>
    </row>
    <row r="83" spans="1:9" x14ac:dyDescent="0.2">
      <c r="A83" s="1">
        <v>45589</v>
      </c>
      <c r="B83">
        <v>230.57</v>
      </c>
      <c r="C83" s="20">
        <f t="shared" si="14"/>
        <v>-0.18999999999999773</v>
      </c>
      <c r="D83" s="20">
        <f t="shared" si="15"/>
        <v>0</v>
      </c>
      <c r="E83" s="20">
        <f t="shared" si="16"/>
        <v>0.18999999999999773</v>
      </c>
      <c r="F83" s="20">
        <f t="shared" si="19"/>
        <v>1.1575828996772393</v>
      </c>
      <c r="G83" s="20">
        <f t="shared" si="20"/>
        <v>1.0575519126755188</v>
      </c>
      <c r="H83" s="20">
        <f t="shared" si="17"/>
        <v>1.0945873065924965</v>
      </c>
      <c r="I83" s="20">
        <f t="shared" si="18"/>
        <v>52.257898400672836</v>
      </c>
    </row>
    <row r="84" spans="1:9" x14ac:dyDescent="0.2">
      <c r="A84" s="1">
        <v>45590</v>
      </c>
      <c r="B84">
        <v>231.41</v>
      </c>
      <c r="C84" s="20">
        <f t="shared" si="14"/>
        <v>0.84000000000000341</v>
      </c>
      <c r="D84" s="20">
        <f t="shared" si="15"/>
        <v>0.84000000000000341</v>
      </c>
      <c r="E84" s="20">
        <f t="shared" si="16"/>
        <v>0</v>
      </c>
      <c r="F84" s="20">
        <f t="shared" si="19"/>
        <v>1.1348984068431511</v>
      </c>
      <c r="G84" s="20">
        <f t="shared" si="20"/>
        <v>0.98201249034155325</v>
      </c>
      <c r="H84" s="20">
        <f t="shared" si="17"/>
        <v>1.1556863257904415</v>
      </c>
      <c r="I84" s="20">
        <f t="shared" si="18"/>
        <v>53.611061682022658</v>
      </c>
    </row>
    <row r="85" spans="1:9" x14ac:dyDescent="0.2">
      <c r="A85" s="1">
        <v>45593</v>
      </c>
      <c r="B85">
        <v>233.4</v>
      </c>
      <c r="C85" s="20">
        <f t="shared" si="14"/>
        <v>1.9900000000000091</v>
      </c>
      <c r="D85" s="20">
        <f t="shared" si="15"/>
        <v>1.9900000000000091</v>
      </c>
      <c r="E85" s="20">
        <f t="shared" si="16"/>
        <v>0</v>
      </c>
      <c r="F85" s="20">
        <f t="shared" si="19"/>
        <v>1.1959770920686412</v>
      </c>
      <c r="G85" s="20">
        <f t="shared" si="20"/>
        <v>0.91186874103144233</v>
      </c>
      <c r="H85" s="20">
        <f t="shared" si="17"/>
        <v>1.311567156821096</v>
      </c>
      <c r="I85" s="20">
        <f t="shared" si="18"/>
        <v>56.739305754144041</v>
      </c>
    </row>
    <row r="86" spans="1:9" x14ac:dyDescent="0.2">
      <c r="A86" s="1">
        <v>45594</v>
      </c>
      <c r="B86">
        <v>233.67</v>
      </c>
      <c r="C86" s="20">
        <f t="shared" si="14"/>
        <v>0.26999999999998181</v>
      </c>
      <c r="D86" s="20">
        <f t="shared" si="15"/>
        <v>0.26999999999998181</v>
      </c>
      <c r="E86" s="20">
        <f t="shared" si="16"/>
        <v>0</v>
      </c>
      <c r="F86" s="20">
        <f t="shared" si="19"/>
        <v>1.1298358712065941</v>
      </c>
      <c r="G86" s="20">
        <f t="shared" si="20"/>
        <v>0.84673525952919637</v>
      </c>
      <c r="H86" s="20">
        <f t="shared" si="17"/>
        <v>1.334343714273583</v>
      </c>
      <c r="I86" s="20">
        <f t="shared" si="18"/>
        <v>57.161407127605166</v>
      </c>
    </row>
    <row r="87" spans="1:9" x14ac:dyDescent="0.2">
      <c r="A87" s="1">
        <v>45595</v>
      </c>
      <c r="B87">
        <v>230.1</v>
      </c>
      <c r="C87" s="20">
        <f t="shared" si="14"/>
        <v>-3.5699999999999932</v>
      </c>
      <c r="D87" s="20">
        <f t="shared" si="15"/>
        <v>0</v>
      </c>
      <c r="E87" s="20">
        <f t="shared" si="16"/>
        <v>3.5699999999999932</v>
      </c>
      <c r="F87" s="20">
        <f t="shared" si="19"/>
        <v>1.0491333089775516</v>
      </c>
      <c r="G87" s="20">
        <f t="shared" si="20"/>
        <v>1.0412541695628248</v>
      </c>
      <c r="H87" s="20">
        <f t="shared" si="17"/>
        <v>1.0075669703373529</v>
      </c>
      <c r="I87" s="20">
        <f t="shared" si="18"/>
        <v>50.188461218209852</v>
      </c>
    </row>
    <row r="88" spans="1:9" x14ac:dyDescent="0.2">
      <c r="A88" s="1">
        <v>45596</v>
      </c>
      <c r="B88">
        <v>225.91</v>
      </c>
      <c r="C88" s="20">
        <f t="shared" si="14"/>
        <v>-4.1899999999999977</v>
      </c>
      <c r="D88" s="20">
        <f t="shared" si="15"/>
        <v>0</v>
      </c>
      <c r="E88" s="20">
        <f t="shared" si="16"/>
        <v>4.1899999999999977</v>
      </c>
      <c r="F88" s="20">
        <f t="shared" si="19"/>
        <v>0.97419521547915511</v>
      </c>
      <c r="G88" s="20">
        <f t="shared" si="20"/>
        <v>1.2661645860226227</v>
      </c>
      <c r="H88" s="20">
        <f t="shared" si="17"/>
        <v>0.76940646281963621</v>
      </c>
      <c r="I88" s="20">
        <f t="shared" si="18"/>
        <v>43.483873207603708</v>
      </c>
    </row>
    <row r="89" spans="1:9" x14ac:dyDescent="0.2">
      <c r="A89" s="1">
        <v>45597</v>
      </c>
      <c r="B89">
        <v>222.91</v>
      </c>
      <c r="C89" s="20">
        <f t="shared" si="14"/>
        <v>-3</v>
      </c>
      <c r="D89" s="20">
        <f t="shared" si="15"/>
        <v>0</v>
      </c>
      <c r="E89" s="20">
        <f t="shared" si="16"/>
        <v>3</v>
      </c>
      <c r="F89" s="20">
        <f t="shared" si="19"/>
        <v>0.90460984294492974</v>
      </c>
      <c r="G89" s="20">
        <f t="shared" si="20"/>
        <v>1.3900099727352926</v>
      </c>
      <c r="H89" s="20">
        <f t="shared" si="17"/>
        <v>0.65079377895744039</v>
      </c>
      <c r="I89" s="20">
        <f t="shared" si="18"/>
        <v>39.423081626128344</v>
      </c>
    </row>
    <row r="90" spans="1:9" x14ac:dyDescent="0.2">
      <c r="A90" s="1">
        <v>45600</v>
      </c>
      <c r="B90">
        <v>222.01</v>
      </c>
      <c r="C90" s="20">
        <f t="shared" si="14"/>
        <v>-0.90000000000000568</v>
      </c>
      <c r="D90" s="20">
        <f t="shared" si="15"/>
        <v>0</v>
      </c>
      <c r="E90" s="20">
        <f t="shared" si="16"/>
        <v>0.90000000000000568</v>
      </c>
      <c r="F90" s="20">
        <f t="shared" si="19"/>
        <v>0.83999485416314901</v>
      </c>
      <c r="G90" s="20">
        <f t="shared" si="20"/>
        <v>1.3550092603970578</v>
      </c>
      <c r="H90" s="20">
        <f t="shared" si="17"/>
        <v>0.61991816492605045</v>
      </c>
      <c r="I90" s="20">
        <f t="shared" si="18"/>
        <v>38.268486541377214</v>
      </c>
    </row>
    <row r="91" spans="1:9" x14ac:dyDescent="0.2">
      <c r="A91" s="1">
        <v>45601</v>
      </c>
      <c r="B91">
        <v>223.45</v>
      </c>
      <c r="C91" s="20">
        <f t="shared" si="14"/>
        <v>1.4399999999999977</v>
      </c>
      <c r="D91" s="20">
        <f t="shared" si="15"/>
        <v>1.4399999999999977</v>
      </c>
      <c r="E91" s="20">
        <f t="shared" si="16"/>
        <v>0</v>
      </c>
      <c r="F91" s="20">
        <f t="shared" si="19"/>
        <v>0.88285236458006666</v>
      </c>
      <c r="G91" s="20">
        <f t="shared" si="20"/>
        <v>1.2582228846544108</v>
      </c>
      <c r="H91" s="20">
        <f t="shared" si="17"/>
        <v>0.70166611603361106</v>
      </c>
      <c r="I91" s="20">
        <f t="shared" si="18"/>
        <v>41.234065215396924</v>
      </c>
    </row>
    <row r="92" spans="1:9" x14ac:dyDescent="0.2">
      <c r="A92" s="1">
        <v>45602</v>
      </c>
      <c r="B92">
        <v>222.72</v>
      </c>
      <c r="C92" s="20">
        <f t="shared" si="14"/>
        <v>-0.72999999999998977</v>
      </c>
      <c r="D92" s="20">
        <f t="shared" si="15"/>
        <v>0</v>
      </c>
      <c r="E92" s="20">
        <f t="shared" si="16"/>
        <v>0.72999999999998977</v>
      </c>
      <c r="F92" s="20">
        <f t="shared" si="19"/>
        <v>0.81979148139577618</v>
      </c>
      <c r="G92" s="20">
        <f t="shared" si="20"/>
        <v>1.2204926786076664</v>
      </c>
      <c r="H92" s="20">
        <f t="shared" si="17"/>
        <v>0.67168897918420234</v>
      </c>
      <c r="I92" s="20">
        <f t="shared" si="18"/>
        <v>40.180260057226192</v>
      </c>
    </row>
    <row r="93" spans="1:9" x14ac:dyDescent="0.2">
      <c r="A93" s="1">
        <v>45603</v>
      </c>
      <c r="B93">
        <v>227.48</v>
      </c>
      <c r="C93" s="20">
        <f t="shared" si="14"/>
        <v>4.7599999999999909</v>
      </c>
      <c r="D93" s="20">
        <f t="shared" si="15"/>
        <v>4.7599999999999909</v>
      </c>
      <c r="E93" s="20">
        <f t="shared" si="16"/>
        <v>0</v>
      </c>
      <c r="F93" s="20">
        <f t="shared" si="19"/>
        <v>1.1012349470103628</v>
      </c>
      <c r="G93" s="20">
        <f t="shared" si="20"/>
        <v>1.1333146301356902</v>
      </c>
      <c r="H93" s="20">
        <f t="shared" si="17"/>
        <v>0.97169393011234084</v>
      </c>
      <c r="I93" s="20">
        <f t="shared" si="18"/>
        <v>49.282189049340779</v>
      </c>
    </row>
    <row r="94" spans="1:9" x14ac:dyDescent="0.2">
      <c r="A94" s="1">
        <v>45604</v>
      </c>
      <c r="B94">
        <v>226.96</v>
      </c>
      <c r="C94" s="20">
        <f t="shared" si="14"/>
        <v>-0.51999999999998181</v>
      </c>
      <c r="D94" s="20">
        <f t="shared" si="15"/>
        <v>0</v>
      </c>
      <c r="E94" s="20">
        <f t="shared" si="16"/>
        <v>0.51999999999998181</v>
      </c>
      <c r="F94" s="20">
        <f t="shared" si="19"/>
        <v>1.0225753079381941</v>
      </c>
      <c r="G94" s="20">
        <f t="shared" si="20"/>
        <v>1.0895064422688538</v>
      </c>
      <c r="H94" s="20">
        <f t="shared" si="17"/>
        <v>0.93856747263349971</v>
      </c>
      <c r="I94" s="20">
        <f t="shared" si="18"/>
        <v>48.415517431460728</v>
      </c>
    </row>
    <row r="95" spans="1:9" x14ac:dyDescent="0.2">
      <c r="A95" s="1">
        <v>45607</v>
      </c>
      <c r="B95">
        <v>224.23</v>
      </c>
      <c r="C95" s="20">
        <f t="shared" si="14"/>
        <v>-2.7300000000000182</v>
      </c>
      <c r="D95" s="20">
        <f t="shared" si="15"/>
        <v>0</v>
      </c>
      <c r="E95" s="20">
        <f t="shared" si="16"/>
        <v>2.7300000000000182</v>
      </c>
      <c r="F95" s="20">
        <f t="shared" si="19"/>
        <v>0.94953421451403741</v>
      </c>
      <c r="G95" s="20">
        <f t="shared" si="20"/>
        <v>1.2066845535353656</v>
      </c>
      <c r="H95" s="20">
        <f t="shared" si="17"/>
        <v>0.78689514316900422</v>
      </c>
      <c r="I95" s="20">
        <f t="shared" si="18"/>
        <v>44.037007217640621</v>
      </c>
    </row>
    <row r="96" spans="1:9" x14ac:dyDescent="0.2">
      <c r="A96" s="1">
        <v>45608</v>
      </c>
      <c r="B96">
        <v>224.23</v>
      </c>
      <c r="C96" s="20">
        <f t="shared" si="14"/>
        <v>0</v>
      </c>
      <c r="D96" s="20">
        <f t="shared" si="15"/>
        <v>0</v>
      </c>
      <c r="E96" s="20">
        <f t="shared" si="16"/>
        <v>0</v>
      </c>
      <c r="F96" s="20">
        <f t="shared" si="19"/>
        <v>0.8817103420487491</v>
      </c>
      <c r="G96" s="20">
        <f t="shared" si="20"/>
        <v>1.1204927997114109</v>
      </c>
      <c r="H96" s="20">
        <f t="shared" si="17"/>
        <v>0.78689514316900422</v>
      </c>
      <c r="I96" s="20">
        <f t="shared" si="18"/>
        <v>44.037007217640621</v>
      </c>
    </row>
    <row r="97" spans="1:9" x14ac:dyDescent="0.2">
      <c r="A97" s="1">
        <v>45609</v>
      </c>
      <c r="B97">
        <v>225.12</v>
      </c>
      <c r="C97" s="20">
        <f t="shared" si="14"/>
        <v>0.89000000000001478</v>
      </c>
      <c r="D97" s="20">
        <f t="shared" si="15"/>
        <v>0.89000000000001478</v>
      </c>
      <c r="E97" s="20">
        <f t="shared" si="16"/>
        <v>0</v>
      </c>
      <c r="F97" s="20">
        <f t="shared" si="19"/>
        <v>0.88230246047383953</v>
      </c>
      <c r="G97" s="20">
        <f t="shared" si="20"/>
        <v>1.0404575997320245</v>
      </c>
      <c r="H97" s="20">
        <f t="shared" si="17"/>
        <v>0.84799463303558109</v>
      </c>
      <c r="I97" s="20">
        <f t="shared" si="18"/>
        <v>45.887288733227287</v>
      </c>
    </row>
    <row r="98" spans="1:9" x14ac:dyDescent="0.2">
      <c r="A98" s="1">
        <v>45610</v>
      </c>
      <c r="B98">
        <v>228.22</v>
      </c>
      <c r="C98" s="20">
        <f t="shared" si="14"/>
        <v>3.0999999999999943</v>
      </c>
      <c r="D98" s="20">
        <f t="shared" si="15"/>
        <v>3.0999999999999943</v>
      </c>
      <c r="E98" s="20">
        <f t="shared" si="16"/>
        <v>0</v>
      </c>
      <c r="F98" s="20">
        <f t="shared" si="19"/>
        <v>1.0407094275828506</v>
      </c>
      <c r="G98" s="20">
        <f t="shared" si="20"/>
        <v>0.96613919975116558</v>
      </c>
      <c r="H98" s="20">
        <f t="shared" si="17"/>
        <v>1.0771837307200567</v>
      </c>
      <c r="I98" s="20">
        <f t="shared" si="18"/>
        <v>51.857893685054542</v>
      </c>
    </row>
    <row r="99" spans="1:9" x14ac:dyDescent="0.2">
      <c r="A99" s="1">
        <v>45611</v>
      </c>
      <c r="B99">
        <v>225</v>
      </c>
      <c r="C99" s="20">
        <f t="shared" ref="C99:C130" si="21">B99-B98</f>
        <v>-3.2199999999999989</v>
      </c>
      <c r="D99" s="20">
        <f t="shared" ref="D99:D130" si="22">IF(C99&gt;0,C99,0)</f>
        <v>0</v>
      </c>
      <c r="E99" s="20">
        <f t="shared" ref="E99:E130" si="23">IF(C99&lt;0,-C99,0)</f>
        <v>3.2199999999999989</v>
      </c>
      <c r="F99" s="20">
        <f t="shared" si="19"/>
        <v>0.96637303989836121</v>
      </c>
      <c r="G99" s="20">
        <f t="shared" si="20"/>
        <v>1.1271292569117966</v>
      </c>
      <c r="H99" s="20">
        <f t="shared" si="17"/>
        <v>0.85737552634035186</v>
      </c>
      <c r="I99" s="20">
        <f t="shared" si="18"/>
        <v>46.160591338772896</v>
      </c>
    </row>
    <row r="100" spans="1:9" x14ac:dyDescent="0.2">
      <c r="A100" s="1">
        <v>45614</v>
      </c>
      <c r="B100">
        <v>228.02</v>
      </c>
      <c r="C100" s="20">
        <f t="shared" si="21"/>
        <v>3.0200000000000102</v>
      </c>
      <c r="D100" s="20">
        <f t="shared" si="22"/>
        <v>3.0200000000000102</v>
      </c>
      <c r="E100" s="20">
        <f t="shared" si="23"/>
        <v>0</v>
      </c>
      <c r="F100" s="20">
        <f t="shared" si="19"/>
        <v>1.113060679905622</v>
      </c>
      <c r="G100" s="20">
        <f t="shared" si="20"/>
        <v>1.0466200242752397</v>
      </c>
      <c r="H100" s="20">
        <f t="shared" si="17"/>
        <v>1.0634811623028051</v>
      </c>
      <c r="I100" s="20">
        <f t="shared" si="18"/>
        <v>51.538205520421656</v>
      </c>
    </row>
    <row r="101" spans="1:9" x14ac:dyDescent="0.2">
      <c r="A101" s="1">
        <v>45615</v>
      </c>
      <c r="B101">
        <v>228.28</v>
      </c>
      <c r="C101" s="20">
        <f t="shared" si="21"/>
        <v>0.25999999999999091</v>
      </c>
      <c r="D101" s="20">
        <f t="shared" si="22"/>
        <v>0.25999999999999091</v>
      </c>
      <c r="E101" s="20">
        <f t="shared" si="23"/>
        <v>0</v>
      </c>
      <c r="F101" s="20">
        <f t="shared" si="19"/>
        <v>1.052127774198077</v>
      </c>
      <c r="G101" s="20">
        <f t="shared" si="20"/>
        <v>0.9718614511127226</v>
      </c>
      <c r="H101" s="20">
        <f t="shared" si="17"/>
        <v>1.0825902941138927</v>
      </c>
      <c r="I101" s="20">
        <f t="shared" si="18"/>
        <v>51.982874268340758</v>
      </c>
    </row>
    <row r="102" spans="1:9" x14ac:dyDescent="0.2">
      <c r="A102" s="1">
        <v>45616</v>
      </c>
      <c r="B102">
        <v>229</v>
      </c>
      <c r="C102" s="20">
        <f t="shared" si="21"/>
        <v>0.71999999999999886</v>
      </c>
      <c r="D102" s="20">
        <f t="shared" si="22"/>
        <v>0.71999999999999886</v>
      </c>
      <c r="E102" s="20">
        <f t="shared" si="23"/>
        <v>0</v>
      </c>
      <c r="F102" s="20">
        <f t="shared" si="19"/>
        <v>1.0284043617553571</v>
      </c>
      <c r="G102" s="20">
        <f t="shared" si="20"/>
        <v>0.90244277603324241</v>
      </c>
      <c r="H102" s="20">
        <f t="shared" si="17"/>
        <v>1.1395784741895643</v>
      </c>
      <c r="I102" s="20">
        <f t="shared" si="18"/>
        <v>53.261821799792465</v>
      </c>
    </row>
    <row r="103" spans="1:9" x14ac:dyDescent="0.2">
      <c r="A103" s="1">
        <v>45617</v>
      </c>
      <c r="B103">
        <v>228.52</v>
      </c>
      <c r="C103" s="20">
        <f t="shared" si="21"/>
        <v>-0.47999999999998977</v>
      </c>
      <c r="D103" s="20">
        <f t="shared" si="22"/>
        <v>0</v>
      </c>
      <c r="E103" s="20">
        <f t="shared" si="23"/>
        <v>0.47999999999998977</v>
      </c>
      <c r="F103" s="20">
        <f t="shared" si="19"/>
        <v>0.95494690734426013</v>
      </c>
      <c r="G103" s="20">
        <f t="shared" si="20"/>
        <v>0.8722682920308672</v>
      </c>
      <c r="H103" s="20">
        <f t="shared" si="17"/>
        <v>1.0947857626704458</v>
      </c>
      <c r="I103" s="20">
        <f t="shared" si="18"/>
        <v>52.26242139791929</v>
      </c>
    </row>
    <row r="104" spans="1:9" x14ac:dyDescent="0.2">
      <c r="A104" s="1">
        <v>45618</v>
      </c>
      <c r="B104">
        <v>229.87</v>
      </c>
      <c r="C104" s="20">
        <f t="shared" si="21"/>
        <v>1.3499999999999943</v>
      </c>
      <c r="D104" s="20">
        <f t="shared" si="22"/>
        <v>1.3499999999999943</v>
      </c>
      <c r="E104" s="20">
        <f t="shared" si="23"/>
        <v>0</v>
      </c>
      <c r="F104" s="20">
        <f t="shared" si="19"/>
        <v>0.9831649853910982</v>
      </c>
      <c r="G104" s="20">
        <f t="shared" si="20"/>
        <v>0.80996341402866245</v>
      </c>
      <c r="H104" s="20">
        <f t="shared" si="17"/>
        <v>1.2138387590878352</v>
      </c>
      <c r="I104" s="20">
        <f t="shared" si="18"/>
        <v>54.829591997385187</v>
      </c>
    </row>
    <row r="105" spans="1:9" x14ac:dyDescent="0.2">
      <c r="A105" s="1">
        <v>45621</v>
      </c>
      <c r="B105">
        <v>232.87</v>
      </c>
      <c r="C105" s="20">
        <f t="shared" si="21"/>
        <v>3</v>
      </c>
      <c r="D105" s="20">
        <f t="shared" si="22"/>
        <v>3</v>
      </c>
      <c r="E105" s="20">
        <f t="shared" si="23"/>
        <v>0</v>
      </c>
      <c r="F105" s="20">
        <f t="shared" si="19"/>
        <v>1.1272246292917341</v>
      </c>
      <c r="G105" s="20">
        <f t="shared" si="20"/>
        <v>0.75210888445518653</v>
      </c>
      <c r="H105" s="20">
        <f t="shared" si="17"/>
        <v>1.4987519129072306</v>
      </c>
      <c r="I105" s="20">
        <f t="shared" si="18"/>
        <v>59.980020632119221</v>
      </c>
    </row>
    <row r="106" spans="1:9" x14ac:dyDescent="0.2">
      <c r="A106" s="1">
        <v>45622</v>
      </c>
      <c r="B106">
        <v>235.06</v>
      </c>
      <c r="C106" s="20">
        <f t="shared" si="21"/>
        <v>2.1899999999999977</v>
      </c>
      <c r="D106" s="20">
        <f t="shared" si="22"/>
        <v>2.1899999999999977</v>
      </c>
      <c r="E106" s="20">
        <f t="shared" si="23"/>
        <v>0</v>
      </c>
      <c r="F106" s="20">
        <f t="shared" si="19"/>
        <v>1.2031371557708959</v>
      </c>
      <c r="G106" s="20">
        <f t="shared" si="20"/>
        <v>0.69838682127981599</v>
      </c>
      <c r="H106" s="20">
        <f t="shared" si="17"/>
        <v>1.7227374846021706</v>
      </c>
      <c r="I106" s="20">
        <f t="shared" si="18"/>
        <v>63.272257951591911</v>
      </c>
    </row>
    <row r="107" spans="1:9" x14ac:dyDescent="0.2">
      <c r="A107" s="1">
        <v>45623</v>
      </c>
      <c r="B107">
        <v>234.93</v>
      </c>
      <c r="C107" s="20">
        <f t="shared" si="21"/>
        <v>-0.12999999999999545</v>
      </c>
      <c r="D107" s="20">
        <f t="shared" si="22"/>
        <v>0</v>
      </c>
      <c r="E107" s="20">
        <f t="shared" si="23"/>
        <v>0.12999999999999545</v>
      </c>
      <c r="F107" s="20">
        <f t="shared" si="19"/>
        <v>1.1171987875015461</v>
      </c>
      <c r="G107" s="20">
        <f t="shared" si="20"/>
        <v>0.65778776261697158</v>
      </c>
      <c r="H107" s="20">
        <f t="shared" ref="H107:H138" si="24">F107/G107</f>
        <v>1.698418321217825</v>
      </c>
      <c r="I107" s="20">
        <f t="shared" ref="I107:I138" si="25">IF(G107=0,100,100-(100/(1+H107)))</f>
        <v>62.941253691581473</v>
      </c>
    </row>
    <row r="108" spans="1:9" x14ac:dyDescent="0.2">
      <c r="A108" s="1">
        <v>45625</v>
      </c>
      <c r="B108">
        <v>237.33</v>
      </c>
      <c r="C108" s="20">
        <f t="shared" si="21"/>
        <v>2.4000000000000057</v>
      </c>
      <c r="D108" s="20">
        <f t="shared" si="22"/>
        <v>2.4000000000000057</v>
      </c>
      <c r="E108" s="20">
        <f t="shared" si="23"/>
        <v>0</v>
      </c>
      <c r="F108" s="20">
        <f t="shared" ref="F108:F139" si="26">((F107*13)+D108)/14</f>
        <v>1.2088274455371502</v>
      </c>
      <c r="G108" s="20">
        <f t="shared" ref="G108:G139" si="27">((G107*13)+E108)/14</f>
        <v>0.61080292243004497</v>
      </c>
      <c r="H108" s="20">
        <f t="shared" si="24"/>
        <v>1.9790793415458761</v>
      </c>
      <c r="I108" s="20">
        <f t="shared" si="25"/>
        <v>66.432582507819703</v>
      </c>
    </row>
    <row r="109" spans="1:9" x14ac:dyDescent="0.2">
      <c r="A109" s="1">
        <v>45628</v>
      </c>
      <c r="B109">
        <v>239.59</v>
      </c>
      <c r="C109" s="20">
        <f t="shared" si="21"/>
        <v>2.2599999999999909</v>
      </c>
      <c r="D109" s="20">
        <f t="shared" si="22"/>
        <v>2.2599999999999909</v>
      </c>
      <c r="E109" s="20">
        <f t="shared" si="23"/>
        <v>0</v>
      </c>
      <c r="F109" s="20">
        <f t="shared" si="26"/>
        <v>1.2839111994273529</v>
      </c>
      <c r="G109" s="20">
        <f t="shared" si="27"/>
        <v>0.56717414225647034</v>
      </c>
      <c r="H109" s="20">
        <f t="shared" si="24"/>
        <v>2.2636984019041924</v>
      </c>
      <c r="I109" s="20">
        <f t="shared" si="25"/>
        <v>69.359913911881264</v>
      </c>
    </row>
    <row r="110" spans="1:9" x14ac:dyDescent="0.2">
      <c r="A110" s="1">
        <v>45629</v>
      </c>
      <c r="B110">
        <v>242.65</v>
      </c>
      <c r="C110" s="20">
        <f t="shared" si="21"/>
        <v>3.0600000000000023</v>
      </c>
      <c r="D110" s="20">
        <f t="shared" si="22"/>
        <v>3.0600000000000023</v>
      </c>
      <c r="E110" s="20">
        <f t="shared" si="23"/>
        <v>0</v>
      </c>
      <c r="F110" s="20">
        <f t="shared" si="26"/>
        <v>1.410774685182542</v>
      </c>
      <c r="G110" s="20">
        <f t="shared" si="27"/>
        <v>0.52666170352386532</v>
      </c>
      <c r="H110" s="20">
        <f t="shared" si="24"/>
        <v>2.6787113544484513</v>
      </c>
      <c r="I110" s="20">
        <f t="shared" si="25"/>
        <v>72.816567986755516</v>
      </c>
    </row>
    <row r="111" spans="1:9" x14ac:dyDescent="0.2">
      <c r="A111" s="1">
        <v>45630</v>
      </c>
      <c r="B111">
        <v>243.01</v>
      </c>
      <c r="C111" s="20">
        <f t="shared" si="21"/>
        <v>0.35999999999998522</v>
      </c>
      <c r="D111" s="20">
        <f t="shared" si="22"/>
        <v>0.35999999999998522</v>
      </c>
      <c r="E111" s="20">
        <f t="shared" si="23"/>
        <v>0</v>
      </c>
      <c r="F111" s="20">
        <f t="shared" si="26"/>
        <v>1.3357193505266451</v>
      </c>
      <c r="G111" s="20">
        <f t="shared" si="27"/>
        <v>0.4890430104150178</v>
      </c>
      <c r="H111" s="20">
        <f t="shared" si="24"/>
        <v>2.7312921810151427</v>
      </c>
      <c r="I111" s="20">
        <f t="shared" si="25"/>
        <v>73.199632955896305</v>
      </c>
    </row>
    <row r="112" spans="1:9" x14ac:dyDescent="0.2">
      <c r="A112" s="1">
        <v>45631</v>
      </c>
      <c r="B112">
        <v>243.04</v>
      </c>
      <c r="C112" s="20">
        <f t="shared" si="21"/>
        <v>3.0000000000001137E-2</v>
      </c>
      <c r="D112" s="20">
        <f t="shared" si="22"/>
        <v>3.0000000000001137E-2</v>
      </c>
      <c r="E112" s="20">
        <f t="shared" si="23"/>
        <v>0</v>
      </c>
      <c r="F112" s="20">
        <f t="shared" si="26"/>
        <v>1.2424536826318848</v>
      </c>
      <c r="G112" s="20">
        <f t="shared" si="27"/>
        <v>0.45411136681394509</v>
      </c>
      <c r="H112" s="20">
        <f t="shared" si="24"/>
        <v>2.736010973142923</v>
      </c>
      <c r="I112" s="20">
        <f t="shared" si="25"/>
        <v>73.23348332784073</v>
      </c>
    </row>
    <row r="113" spans="1:9" x14ac:dyDescent="0.2">
      <c r="A113" s="1">
        <v>45632</v>
      </c>
      <c r="B113">
        <v>242.84</v>
      </c>
      <c r="C113" s="20">
        <f t="shared" si="21"/>
        <v>-0.19999999999998863</v>
      </c>
      <c r="D113" s="20">
        <f t="shared" si="22"/>
        <v>0</v>
      </c>
      <c r="E113" s="20">
        <f t="shared" si="23"/>
        <v>0.19999999999998863</v>
      </c>
      <c r="F113" s="20">
        <f t="shared" si="26"/>
        <v>1.1537069910153215</v>
      </c>
      <c r="G113" s="20">
        <f t="shared" si="27"/>
        <v>0.43596055489866253</v>
      </c>
      <c r="H113" s="20">
        <f t="shared" si="24"/>
        <v>2.6463563688313418</v>
      </c>
      <c r="I113" s="20">
        <f t="shared" si="25"/>
        <v>72.575362941815257</v>
      </c>
    </row>
    <row r="114" spans="1:9" x14ac:dyDescent="0.2">
      <c r="A114" s="1">
        <v>45635</v>
      </c>
      <c r="B114">
        <v>246.75</v>
      </c>
      <c r="C114" s="20">
        <f t="shared" si="21"/>
        <v>3.9099999999999966</v>
      </c>
      <c r="D114" s="20">
        <f t="shared" si="22"/>
        <v>3.9099999999999966</v>
      </c>
      <c r="E114" s="20">
        <f t="shared" si="23"/>
        <v>0</v>
      </c>
      <c r="F114" s="20">
        <f t="shared" si="26"/>
        <v>1.3505850630856553</v>
      </c>
      <c r="G114" s="20">
        <f t="shared" si="27"/>
        <v>0.4048205152630438</v>
      </c>
      <c r="H114" s="20">
        <f t="shared" si="24"/>
        <v>3.3362564696309271</v>
      </c>
      <c r="I114" s="20">
        <f t="shared" si="25"/>
        <v>76.938633427161804</v>
      </c>
    </row>
    <row r="115" spans="1:9" x14ac:dyDescent="0.2">
      <c r="A115" s="1">
        <v>45636</v>
      </c>
      <c r="B115">
        <v>247.77</v>
      </c>
      <c r="C115" s="20">
        <f t="shared" si="21"/>
        <v>1.0200000000000102</v>
      </c>
      <c r="D115" s="20">
        <f t="shared" si="22"/>
        <v>1.0200000000000102</v>
      </c>
      <c r="E115" s="20">
        <f t="shared" si="23"/>
        <v>0</v>
      </c>
      <c r="F115" s="20">
        <f t="shared" si="26"/>
        <v>1.3269718442938234</v>
      </c>
      <c r="G115" s="20">
        <f t="shared" si="27"/>
        <v>0.37590476417282642</v>
      </c>
      <c r="H115" s="20">
        <f t="shared" si="24"/>
        <v>3.5300745581498756</v>
      </c>
      <c r="I115" s="20">
        <f t="shared" si="25"/>
        <v>77.925308134257079</v>
      </c>
    </row>
    <row r="116" spans="1:9" x14ac:dyDescent="0.2">
      <c r="A116" s="1">
        <v>45637</v>
      </c>
      <c r="B116">
        <v>246.49</v>
      </c>
      <c r="C116" s="20">
        <f t="shared" si="21"/>
        <v>-1.2800000000000011</v>
      </c>
      <c r="D116" s="20">
        <f t="shared" si="22"/>
        <v>0</v>
      </c>
      <c r="E116" s="20">
        <f t="shared" si="23"/>
        <v>1.2800000000000011</v>
      </c>
      <c r="F116" s="20">
        <f t="shared" si="26"/>
        <v>1.2321881411299789</v>
      </c>
      <c r="G116" s="20">
        <f t="shared" si="27"/>
        <v>0.44048299530333895</v>
      </c>
      <c r="H116" s="20">
        <f t="shared" si="24"/>
        <v>2.7973568883889186</v>
      </c>
      <c r="I116" s="20">
        <f t="shared" si="25"/>
        <v>73.665893688905712</v>
      </c>
    </row>
    <row r="117" spans="1:9" x14ac:dyDescent="0.2">
      <c r="A117" s="1">
        <v>45638</v>
      </c>
      <c r="B117">
        <v>247.96</v>
      </c>
      <c r="C117" s="20">
        <f t="shared" si="21"/>
        <v>1.4699999999999989</v>
      </c>
      <c r="D117" s="20">
        <f t="shared" si="22"/>
        <v>1.4699999999999989</v>
      </c>
      <c r="E117" s="20">
        <f t="shared" si="23"/>
        <v>0</v>
      </c>
      <c r="F117" s="20">
        <f t="shared" si="26"/>
        <v>1.2491747024778375</v>
      </c>
      <c r="G117" s="20">
        <f t="shared" si="27"/>
        <v>0.4090199242102433</v>
      </c>
      <c r="H117" s="20">
        <f t="shared" si="24"/>
        <v>3.0540680992247706</v>
      </c>
      <c r="I117" s="20">
        <f t="shared" si="25"/>
        <v>75.333418790098207</v>
      </c>
    </row>
    <row r="118" spans="1:9" x14ac:dyDescent="0.2">
      <c r="A118" s="1">
        <v>45639</v>
      </c>
      <c r="B118">
        <v>248.13</v>
      </c>
      <c r="C118" s="20">
        <f t="shared" si="21"/>
        <v>0.16999999999998749</v>
      </c>
      <c r="D118" s="20">
        <f t="shared" si="22"/>
        <v>0.16999999999998749</v>
      </c>
      <c r="E118" s="20">
        <f t="shared" si="23"/>
        <v>0</v>
      </c>
      <c r="F118" s="20">
        <f t="shared" si="26"/>
        <v>1.1720907951579911</v>
      </c>
      <c r="G118" s="20">
        <f t="shared" si="27"/>
        <v>0.37980421533808306</v>
      </c>
      <c r="H118" s="20">
        <f t="shared" si="24"/>
        <v>3.0860394588160465</v>
      </c>
      <c r="I118" s="20">
        <f t="shared" si="25"/>
        <v>75.526423323142453</v>
      </c>
    </row>
    <row r="119" spans="1:9" x14ac:dyDescent="0.2">
      <c r="A119" s="1">
        <v>45642</v>
      </c>
      <c r="B119">
        <v>251.04</v>
      </c>
      <c r="C119" s="20">
        <f t="shared" si="21"/>
        <v>2.9099999999999966</v>
      </c>
      <c r="D119" s="20">
        <f t="shared" si="22"/>
        <v>2.9099999999999966</v>
      </c>
      <c r="E119" s="20">
        <f t="shared" si="23"/>
        <v>0</v>
      </c>
      <c r="F119" s="20">
        <f t="shared" si="26"/>
        <v>1.2962271669324201</v>
      </c>
      <c r="G119" s="20">
        <f t="shared" si="27"/>
        <v>0.35267534281393426</v>
      </c>
      <c r="H119" s="20">
        <f t="shared" si="24"/>
        <v>3.6754119428652214</v>
      </c>
      <c r="I119" s="20">
        <f t="shared" si="25"/>
        <v>78.611510339190076</v>
      </c>
    </row>
    <row r="120" spans="1:9" x14ac:dyDescent="0.2">
      <c r="A120" s="1">
        <v>45643</v>
      </c>
      <c r="B120">
        <v>253.48</v>
      </c>
      <c r="C120" s="20">
        <f t="shared" si="21"/>
        <v>2.4399999999999977</v>
      </c>
      <c r="D120" s="20">
        <f t="shared" si="22"/>
        <v>2.4399999999999977</v>
      </c>
      <c r="E120" s="20">
        <f t="shared" si="23"/>
        <v>0</v>
      </c>
      <c r="F120" s="20">
        <f t="shared" si="26"/>
        <v>1.377925226437247</v>
      </c>
      <c r="G120" s="20">
        <f t="shared" si="27"/>
        <v>0.32748424689865324</v>
      </c>
      <c r="H120" s="20">
        <f t="shared" si="24"/>
        <v>4.2076076620066383</v>
      </c>
      <c r="I120" s="20">
        <f t="shared" si="25"/>
        <v>80.79732451244854</v>
      </c>
    </row>
    <row r="121" spans="1:9" x14ac:dyDescent="0.2">
      <c r="A121" s="1">
        <v>45644</v>
      </c>
      <c r="B121">
        <v>248.05</v>
      </c>
      <c r="C121" s="20">
        <f t="shared" si="21"/>
        <v>-5.4299999999999784</v>
      </c>
      <c r="D121" s="20">
        <f t="shared" si="22"/>
        <v>0</v>
      </c>
      <c r="E121" s="20">
        <f t="shared" si="23"/>
        <v>5.4299999999999784</v>
      </c>
      <c r="F121" s="20">
        <f t="shared" si="26"/>
        <v>1.2795019959774439</v>
      </c>
      <c r="G121" s="20">
        <f t="shared" si="27"/>
        <v>0.69194965783446227</v>
      </c>
      <c r="H121" s="20">
        <f t="shared" si="24"/>
        <v>1.849125845342269</v>
      </c>
      <c r="I121" s="20">
        <f t="shared" si="25"/>
        <v>64.901515261784837</v>
      </c>
    </row>
    <row r="122" spans="1:9" x14ac:dyDescent="0.2">
      <c r="A122" s="1">
        <v>45645</v>
      </c>
      <c r="B122">
        <v>249.79</v>
      </c>
      <c r="C122" s="20">
        <f t="shared" si="21"/>
        <v>1.7399999999999807</v>
      </c>
      <c r="D122" s="20">
        <f t="shared" si="22"/>
        <v>1.7399999999999807</v>
      </c>
      <c r="E122" s="20">
        <f t="shared" si="23"/>
        <v>0</v>
      </c>
      <c r="F122" s="20">
        <f t="shared" si="26"/>
        <v>1.3123947105504821</v>
      </c>
      <c r="G122" s="20">
        <f t="shared" si="27"/>
        <v>0.64252468227485782</v>
      </c>
      <c r="H122" s="20">
        <f t="shared" si="24"/>
        <v>2.0425592148521834</v>
      </c>
      <c r="I122" s="20">
        <f t="shared" si="25"/>
        <v>67.132932200020207</v>
      </c>
    </row>
    <row r="123" spans="1:9" x14ac:dyDescent="0.2">
      <c r="A123" s="1">
        <v>45646</v>
      </c>
      <c r="B123">
        <v>254.49</v>
      </c>
      <c r="C123" s="20">
        <f t="shared" si="21"/>
        <v>4.7000000000000171</v>
      </c>
      <c r="D123" s="20">
        <f t="shared" si="22"/>
        <v>4.7000000000000171</v>
      </c>
      <c r="E123" s="20">
        <f t="shared" si="23"/>
        <v>0</v>
      </c>
      <c r="F123" s="20">
        <f t="shared" si="26"/>
        <v>1.5543665169397347</v>
      </c>
      <c r="G123" s="20">
        <f t="shared" si="27"/>
        <v>0.59663006211236791</v>
      </c>
      <c r="H123" s="20">
        <f t="shared" si="24"/>
        <v>2.6052433754955326</v>
      </c>
      <c r="I123" s="20">
        <f t="shared" si="25"/>
        <v>72.262621525168129</v>
      </c>
    </row>
    <row r="124" spans="1:9" x14ac:dyDescent="0.2">
      <c r="A124" s="1">
        <v>45649</v>
      </c>
      <c r="B124">
        <v>255.27</v>
      </c>
      <c r="C124" s="20">
        <f t="shared" si="21"/>
        <v>0.78000000000000114</v>
      </c>
      <c r="D124" s="20">
        <f t="shared" si="22"/>
        <v>0.78000000000000114</v>
      </c>
      <c r="E124" s="20">
        <f t="shared" si="23"/>
        <v>0</v>
      </c>
      <c r="F124" s="20">
        <f t="shared" si="26"/>
        <v>1.4990546228726109</v>
      </c>
      <c r="G124" s="20">
        <f t="shared" si="27"/>
        <v>0.5540136291043416</v>
      </c>
      <c r="H124" s="20">
        <f t="shared" si="24"/>
        <v>2.7058082042062588</v>
      </c>
      <c r="I124" s="20">
        <f t="shared" si="25"/>
        <v>73.015333096166302</v>
      </c>
    </row>
    <row r="125" spans="1:9" x14ac:dyDescent="0.2">
      <c r="A125" s="1">
        <v>45650</v>
      </c>
      <c r="B125">
        <v>258.2</v>
      </c>
      <c r="C125" s="20">
        <f t="shared" si="21"/>
        <v>2.9299999999999784</v>
      </c>
      <c r="D125" s="20">
        <f t="shared" si="22"/>
        <v>2.9299999999999784</v>
      </c>
      <c r="E125" s="20">
        <f t="shared" si="23"/>
        <v>0</v>
      </c>
      <c r="F125" s="20">
        <f t="shared" si="26"/>
        <v>1.6012650069531371</v>
      </c>
      <c r="G125" s="20">
        <f t="shared" si="27"/>
        <v>0.51444122702546002</v>
      </c>
      <c r="H125" s="20">
        <f t="shared" si="24"/>
        <v>3.1126296315942219</v>
      </c>
      <c r="I125" s="20">
        <f t="shared" si="25"/>
        <v>75.684657030194103</v>
      </c>
    </row>
    <row r="126" spans="1:9" x14ac:dyDescent="0.2">
      <c r="A126" s="1">
        <v>45652</v>
      </c>
      <c r="B126">
        <v>259.02</v>
      </c>
      <c r="C126" s="20">
        <f t="shared" si="21"/>
        <v>0.81999999999999318</v>
      </c>
      <c r="D126" s="20">
        <f t="shared" si="22"/>
        <v>0.81999999999999318</v>
      </c>
      <c r="E126" s="20">
        <f t="shared" si="23"/>
        <v>0</v>
      </c>
      <c r="F126" s="20">
        <f t="shared" si="26"/>
        <v>1.5454603635993411</v>
      </c>
      <c r="G126" s="20">
        <f t="shared" si="27"/>
        <v>0.47769542509507001</v>
      </c>
      <c r="H126" s="20">
        <f t="shared" si="24"/>
        <v>3.2352421279558343</v>
      </c>
      <c r="I126" s="20">
        <f t="shared" si="25"/>
        <v>76.388599050825547</v>
      </c>
    </row>
    <row r="127" spans="1:9" x14ac:dyDescent="0.2">
      <c r="A127" s="1">
        <v>45653</v>
      </c>
      <c r="B127">
        <v>255.59</v>
      </c>
      <c r="C127" s="20">
        <f t="shared" si="21"/>
        <v>-3.4299999999999784</v>
      </c>
      <c r="D127" s="20">
        <f t="shared" si="22"/>
        <v>0</v>
      </c>
      <c r="E127" s="20">
        <f t="shared" si="23"/>
        <v>3.4299999999999784</v>
      </c>
      <c r="F127" s="20">
        <f t="shared" si="26"/>
        <v>1.4350703376279594</v>
      </c>
      <c r="G127" s="20">
        <f t="shared" si="27"/>
        <v>0.68857432330256352</v>
      </c>
      <c r="H127" s="20">
        <f t="shared" si="24"/>
        <v>2.0841182847844606</v>
      </c>
      <c r="I127" s="20">
        <f t="shared" si="25"/>
        <v>67.575822077463329</v>
      </c>
    </row>
    <row r="128" spans="1:9" x14ac:dyDescent="0.2">
      <c r="A128" s="1">
        <v>45656</v>
      </c>
      <c r="B128">
        <v>252.2</v>
      </c>
      <c r="C128" s="20">
        <f t="shared" si="21"/>
        <v>-3.3900000000000148</v>
      </c>
      <c r="D128" s="20">
        <f t="shared" si="22"/>
        <v>0</v>
      </c>
      <c r="E128" s="20">
        <f t="shared" si="23"/>
        <v>3.3900000000000148</v>
      </c>
      <c r="F128" s="20">
        <f t="shared" si="26"/>
        <v>1.3325653135116766</v>
      </c>
      <c r="G128" s="20">
        <f t="shared" si="27"/>
        <v>0.88153330020952425</v>
      </c>
      <c r="H128" s="20">
        <f t="shared" si="24"/>
        <v>1.5116448955416095</v>
      </c>
      <c r="I128" s="20">
        <f t="shared" si="25"/>
        <v>60.185454489403021</v>
      </c>
    </row>
    <row r="129" spans="1:9" x14ac:dyDescent="0.2">
      <c r="A129" s="1">
        <v>45657</v>
      </c>
      <c r="B129">
        <v>250.42</v>
      </c>
      <c r="C129" s="20">
        <f t="shared" si="21"/>
        <v>-1.7800000000000011</v>
      </c>
      <c r="D129" s="20">
        <f t="shared" si="22"/>
        <v>0</v>
      </c>
      <c r="E129" s="20">
        <f t="shared" si="23"/>
        <v>1.7800000000000011</v>
      </c>
      <c r="F129" s="20">
        <f t="shared" si="26"/>
        <v>1.237382076832271</v>
      </c>
      <c r="G129" s="20">
        <f t="shared" si="27"/>
        <v>0.94570949305170127</v>
      </c>
      <c r="H129" s="20">
        <f t="shared" si="24"/>
        <v>1.3084166817860463</v>
      </c>
      <c r="I129" s="20">
        <f t="shared" si="25"/>
        <v>56.68026453411828</v>
      </c>
    </row>
    <row r="130" spans="1:9" x14ac:dyDescent="0.2">
      <c r="A130" s="1">
        <v>45659</v>
      </c>
      <c r="B130">
        <v>243.85</v>
      </c>
      <c r="C130" s="20">
        <f t="shared" si="21"/>
        <v>-6.5699999999999932</v>
      </c>
      <c r="D130" s="20">
        <f t="shared" si="22"/>
        <v>0</v>
      </c>
      <c r="E130" s="20">
        <f t="shared" si="23"/>
        <v>6.5699999999999932</v>
      </c>
      <c r="F130" s="20">
        <f t="shared" si="26"/>
        <v>1.148997642772823</v>
      </c>
      <c r="G130" s="20">
        <f t="shared" si="27"/>
        <v>1.3474445292622936</v>
      </c>
      <c r="H130" s="20">
        <f t="shared" si="24"/>
        <v>0.85272352057556133</v>
      </c>
      <c r="I130" s="20">
        <f t="shared" si="25"/>
        <v>46.025405901397363</v>
      </c>
    </row>
    <row r="131" spans="1:9" x14ac:dyDescent="0.2">
      <c r="A131" s="1">
        <v>45660</v>
      </c>
      <c r="B131">
        <v>243.36</v>
      </c>
      <c r="C131" s="20">
        <f t="shared" ref="C131:C162" si="28">B131-B130</f>
        <v>-0.48999999999998067</v>
      </c>
      <c r="D131" s="20">
        <f t="shared" ref="D131:D162" si="29">IF(C131&gt;0,C131,0)</f>
        <v>0</v>
      </c>
      <c r="E131" s="20">
        <f t="shared" ref="E131:E162" si="30">IF(C131&lt;0,-C131,0)</f>
        <v>0.48999999999998067</v>
      </c>
      <c r="F131" s="20">
        <f t="shared" si="26"/>
        <v>1.0669263825747641</v>
      </c>
      <c r="G131" s="20">
        <f t="shared" si="27"/>
        <v>1.2861984914578426</v>
      </c>
      <c r="H131" s="20">
        <f t="shared" si="24"/>
        <v>0.82951923024373608</v>
      </c>
      <c r="I131" s="20">
        <f t="shared" si="25"/>
        <v>45.340831434344864</v>
      </c>
    </row>
    <row r="132" spans="1:9" x14ac:dyDescent="0.2">
      <c r="A132" s="1">
        <v>45663</v>
      </c>
      <c r="B132">
        <v>245</v>
      </c>
      <c r="C132" s="20">
        <f t="shared" si="28"/>
        <v>1.6399999999999864</v>
      </c>
      <c r="D132" s="20">
        <f t="shared" si="29"/>
        <v>1.6399999999999864</v>
      </c>
      <c r="E132" s="20">
        <f t="shared" si="30"/>
        <v>0</v>
      </c>
      <c r="F132" s="20">
        <f t="shared" si="26"/>
        <v>1.1078602123908514</v>
      </c>
      <c r="G132" s="20">
        <f t="shared" si="27"/>
        <v>1.1943271706394254</v>
      </c>
      <c r="H132" s="20">
        <f t="shared" si="24"/>
        <v>0.92760194997298706</v>
      </c>
      <c r="I132" s="20">
        <f t="shared" si="25"/>
        <v>48.122069496038137</v>
      </c>
    </row>
    <row r="133" spans="1:9" x14ac:dyDescent="0.2">
      <c r="A133" s="1">
        <v>45664</v>
      </c>
      <c r="B133">
        <v>242.21</v>
      </c>
      <c r="C133" s="20">
        <f t="shared" si="28"/>
        <v>-2.789999999999992</v>
      </c>
      <c r="D133" s="20">
        <f t="shared" si="29"/>
        <v>0</v>
      </c>
      <c r="E133" s="20">
        <f t="shared" si="30"/>
        <v>2.789999999999992</v>
      </c>
      <c r="F133" s="20">
        <f t="shared" si="26"/>
        <v>1.0287273400772192</v>
      </c>
      <c r="G133" s="20">
        <f t="shared" si="27"/>
        <v>1.3083038013080373</v>
      </c>
      <c r="H133" s="20">
        <f t="shared" si="24"/>
        <v>0.78630616149605426</v>
      </c>
      <c r="I133" s="20">
        <f t="shared" si="25"/>
        <v>44.018555074428718</v>
      </c>
    </row>
    <row r="134" spans="1:9" x14ac:dyDescent="0.2">
      <c r="A134" s="1">
        <v>45665</v>
      </c>
      <c r="B134">
        <v>242.7</v>
      </c>
      <c r="C134" s="20">
        <f t="shared" si="28"/>
        <v>0.48999999999998067</v>
      </c>
      <c r="D134" s="20">
        <f t="shared" si="29"/>
        <v>0.48999999999998067</v>
      </c>
      <c r="E134" s="20">
        <f t="shared" si="30"/>
        <v>0</v>
      </c>
      <c r="F134" s="20">
        <f t="shared" si="26"/>
        <v>0.99024681578598794</v>
      </c>
      <c r="G134" s="20">
        <f t="shared" si="27"/>
        <v>1.2148535297860346</v>
      </c>
      <c r="H134" s="20">
        <f t="shared" si="24"/>
        <v>0.81511621895718955</v>
      </c>
      <c r="I134" s="20">
        <f t="shared" si="25"/>
        <v>44.907109001840418</v>
      </c>
    </row>
    <row r="135" spans="1:9" x14ac:dyDescent="0.2">
      <c r="A135" s="1">
        <v>45667</v>
      </c>
      <c r="B135">
        <v>236.85</v>
      </c>
      <c r="C135" s="20">
        <f t="shared" si="28"/>
        <v>-5.8499999999999943</v>
      </c>
      <c r="D135" s="20">
        <f t="shared" si="29"/>
        <v>0</v>
      </c>
      <c r="E135" s="20">
        <f t="shared" si="30"/>
        <v>5.8499999999999943</v>
      </c>
      <c r="F135" s="20">
        <f t="shared" si="26"/>
        <v>0.91951490037270311</v>
      </c>
      <c r="G135" s="20">
        <f t="shared" si="27"/>
        <v>1.5459354205156031</v>
      </c>
      <c r="H135" s="20">
        <f t="shared" si="24"/>
        <v>0.59479515649238757</v>
      </c>
      <c r="I135" s="20">
        <f t="shared" si="25"/>
        <v>37.296022255333874</v>
      </c>
    </row>
    <row r="136" spans="1:9" x14ac:dyDescent="0.2">
      <c r="A136" s="1">
        <v>45670</v>
      </c>
      <c r="B136">
        <v>234.4</v>
      </c>
      <c r="C136" s="20">
        <f t="shared" si="28"/>
        <v>-2.4499999999999886</v>
      </c>
      <c r="D136" s="20">
        <f t="shared" si="29"/>
        <v>0</v>
      </c>
      <c r="E136" s="20">
        <f t="shared" si="30"/>
        <v>2.4499999999999886</v>
      </c>
      <c r="F136" s="20">
        <f t="shared" si="26"/>
        <v>0.85383526463179571</v>
      </c>
      <c r="G136" s="20">
        <f t="shared" si="27"/>
        <v>1.6105114619073448</v>
      </c>
      <c r="H136" s="20">
        <f t="shared" si="24"/>
        <v>0.53016404094422898</v>
      </c>
      <c r="I136" s="20">
        <f t="shared" si="25"/>
        <v>34.647529726098966</v>
      </c>
    </row>
    <row r="137" spans="1:9" x14ac:dyDescent="0.2">
      <c r="A137" s="1">
        <v>45671</v>
      </c>
      <c r="B137">
        <v>233.28</v>
      </c>
      <c r="C137" s="20">
        <f t="shared" si="28"/>
        <v>-1.1200000000000045</v>
      </c>
      <c r="D137" s="20">
        <f t="shared" si="29"/>
        <v>0</v>
      </c>
      <c r="E137" s="20">
        <f t="shared" si="30"/>
        <v>1.1200000000000045</v>
      </c>
      <c r="F137" s="20">
        <f t="shared" si="26"/>
        <v>0.7928470314438103</v>
      </c>
      <c r="G137" s="20">
        <f t="shared" si="27"/>
        <v>1.5754749289139636</v>
      </c>
      <c r="H137" s="20">
        <f t="shared" si="24"/>
        <v>0.50324319155643482</v>
      </c>
      <c r="I137" s="20">
        <f t="shared" si="25"/>
        <v>33.477164199585332</v>
      </c>
    </row>
    <row r="138" spans="1:9" x14ac:dyDescent="0.2">
      <c r="A138" s="1">
        <v>45672</v>
      </c>
      <c r="B138">
        <v>237.87</v>
      </c>
      <c r="C138" s="20">
        <f t="shared" si="28"/>
        <v>4.5900000000000034</v>
      </c>
      <c r="D138" s="20">
        <f t="shared" si="29"/>
        <v>4.5900000000000034</v>
      </c>
      <c r="E138" s="20">
        <f t="shared" si="30"/>
        <v>0</v>
      </c>
      <c r="F138" s="20">
        <f t="shared" si="26"/>
        <v>1.0640722434835383</v>
      </c>
      <c r="G138" s="20">
        <f t="shared" si="27"/>
        <v>1.4629410054201091</v>
      </c>
      <c r="H138" s="20">
        <f t="shared" si="24"/>
        <v>0.72735143764595711</v>
      </c>
      <c r="I138" s="20">
        <f t="shared" si="25"/>
        <v>42.107901252404965</v>
      </c>
    </row>
    <row r="139" spans="1:9" x14ac:dyDescent="0.2">
      <c r="A139" s="1">
        <v>45673</v>
      </c>
      <c r="B139">
        <v>228.26</v>
      </c>
      <c r="C139" s="20">
        <f t="shared" si="28"/>
        <v>-9.6100000000000136</v>
      </c>
      <c r="D139" s="20">
        <f t="shared" si="29"/>
        <v>0</v>
      </c>
      <c r="E139" s="20">
        <f t="shared" si="30"/>
        <v>9.6100000000000136</v>
      </c>
      <c r="F139" s="20">
        <f t="shared" si="26"/>
        <v>0.98806708323471415</v>
      </c>
      <c r="G139" s="20">
        <f t="shared" si="27"/>
        <v>2.044873790747245</v>
      </c>
      <c r="H139" s="20">
        <f t="shared" ref="H139:H170" si="31">F139/G139</f>
        <v>0.48319220858792034</v>
      </c>
      <c r="I139" s="20">
        <f t="shared" ref="I139:I170" si="32">IF(G139=0,100,100-(100/(1+H139)))</f>
        <v>32.577855101325383</v>
      </c>
    </row>
    <row r="140" spans="1:9" x14ac:dyDescent="0.2">
      <c r="A140" s="1">
        <v>45674</v>
      </c>
      <c r="B140">
        <v>229.98</v>
      </c>
      <c r="C140" s="20">
        <f t="shared" si="28"/>
        <v>1.7199999999999989</v>
      </c>
      <c r="D140" s="20">
        <f t="shared" si="29"/>
        <v>1.7199999999999989</v>
      </c>
      <c r="E140" s="20">
        <f t="shared" si="30"/>
        <v>0</v>
      </c>
      <c r="F140" s="20">
        <f t="shared" ref="F140:F171" si="33">((F139*13)+D140)/14</f>
        <v>1.0403480058608059</v>
      </c>
      <c r="G140" s="20">
        <f t="shared" ref="G140:G171" si="34">((G139*13)+E140)/14</f>
        <v>1.8988113771224417</v>
      </c>
      <c r="H140" s="20">
        <f t="shared" si="31"/>
        <v>0.54789433979345736</v>
      </c>
      <c r="I140" s="20">
        <f t="shared" si="32"/>
        <v>35.396107195957924</v>
      </c>
    </row>
    <row r="141" spans="1:9" x14ac:dyDescent="0.2">
      <c r="A141" s="1">
        <v>45678</v>
      </c>
      <c r="B141">
        <v>222.64</v>
      </c>
      <c r="C141" s="20">
        <f t="shared" si="28"/>
        <v>-7.3400000000000034</v>
      </c>
      <c r="D141" s="20">
        <f t="shared" si="29"/>
        <v>0</v>
      </c>
      <c r="E141" s="20">
        <f t="shared" si="30"/>
        <v>7.3400000000000034</v>
      </c>
      <c r="F141" s="20">
        <f t="shared" si="33"/>
        <v>0.96603743401360553</v>
      </c>
      <c r="G141" s="20">
        <f t="shared" si="34"/>
        <v>2.2874677073279819</v>
      </c>
      <c r="H141" s="20">
        <f t="shared" si="31"/>
        <v>0.42231740842455229</v>
      </c>
      <c r="I141" s="20">
        <f t="shared" si="32"/>
        <v>29.692205545901132</v>
      </c>
    </row>
    <row r="142" spans="1:9" x14ac:dyDescent="0.2">
      <c r="A142" s="1">
        <v>45679</v>
      </c>
      <c r="B142">
        <v>223.83</v>
      </c>
      <c r="C142" s="20">
        <f t="shared" si="28"/>
        <v>1.1900000000000261</v>
      </c>
      <c r="D142" s="20">
        <f t="shared" si="29"/>
        <v>1.1900000000000261</v>
      </c>
      <c r="E142" s="20">
        <f t="shared" si="30"/>
        <v>0</v>
      </c>
      <c r="F142" s="20">
        <f t="shared" si="33"/>
        <v>0.98203476015549274</v>
      </c>
      <c r="G142" s="20">
        <f t="shared" si="34"/>
        <v>2.1240771568045544</v>
      </c>
      <c r="H142" s="20">
        <f t="shared" si="31"/>
        <v>0.46233478713779796</v>
      </c>
      <c r="I142" s="20">
        <f t="shared" si="32"/>
        <v>31.616206576246299</v>
      </c>
    </row>
    <row r="143" spans="1:9" x14ac:dyDescent="0.2">
      <c r="A143" s="1">
        <v>45680</v>
      </c>
      <c r="B143">
        <v>223.66</v>
      </c>
      <c r="C143" s="20">
        <f t="shared" si="28"/>
        <v>-0.17000000000001592</v>
      </c>
      <c r="D143" s="20">
        <f t="shared" si="29"/>
        <v>0</v>
      </c>
      <c r="E143" s="20">
        <f t="shared" si="30"/>
        <v>0.17000000000001592</v>
      </c>
      <c r="F143" s="20">
        <f t="shared" si="33"/>
        <v>0.91188942014438612</v>
      </c>
      <c r="G143" s="20">
        <f t="shared" si="34"/>
        <v>1.9845002170328017</v>
      </c>
      <c r="H143" s="20">
        <f t="shared" si="31"/>
        <v>0.45950583039382636</v>
      </c>
      <c r="I143" s="20">
        <f t="shared" si="32"/>
        <v>31.483658429088663</v>
      </c>
    </row>
    <row r="144" spans="1:9" x14ac:dyDescent="0.2">
      <c r="A144" s="1">
        <v>45681</v>
      </c>
      <c r="B144">
        <v>222.78</v>
      </c>
      <c r="C144" s="20">
        <f t="shared" si="28"/>
        <v>-0.87999999999999545</v>
      </c>
      <c r="D144" s="20">
        <f t="shared" si="29"/>
        <v>0</v>
      </c>
      <c r="E144" s="20">
        <f t="shared" si="30"/>
        <v>0.87999999999999545</v>
      </c>
      <c r="F144" s="20">
        <f t="shared" si="33"/>
        <v>0.84675446156264422</v>
      </c>
      <c r="G144" s="20">
        <f t="shared" si="34"/>
        <v>1.9056073443876012</v>
      </c>
      <c r="H144" s="20">
        <f t="shared" si="31"/>
        <v>0.44434886549766262</v>
      </c>
      <c r="I144" s="20">
        <f t="shared" si="32"/>
        <v>30.764649463310818</v>
      </c>
    </row>
    <row r="145" spans="1:9" x14ac:dyDescent="0.2">
      <c r="A145" s="1">
        <v>45684</v>
      </c>
      <c r="B145">
        <v>229.86</v>
      </c>
      <c r="C145" s="20">
        <f t="shared" si="28"/>
        <v>7.0800000000000125</v>
      </c>
      <c r="D145" s="20">
        <f t="shared" si="29"/>
        <v>7.0800000000000125</v>
      </c>
      <c r="E145" s="20">
        <f t="shared" si="30"/>
        <v>0</v>
      </c>
      <c r="F145" s="20">
        <f t="shared" si="33"/>
        <v>1.2919862857367421</v>
      </c>
      <c r="G145" s="20">
        <f t="shared" si="34"/>
        <v>1.7694925340742012</v>
      </c>
      <c r="H145" s="20">
        <f t="shared" si="31"/>
        <v>0.73014509010783113</v>
      </c>
      <c r="I145" s="20">
        <f t="shared" si="32"/>
        <v>42.201379195447991</v>
      </c>
    </row>
    <row r="146" spans="1:9" x14ac:dyDescent="0.2">
      <c r="A146" s="1">
        <v>45685</v>
      </c>
      <c r="B146">
        <v>238.26</v>
      </c>
      <c r="C146" s="20">
        <f t="shared" si="28"/>
        <v>8.3999999999999773</v>
      </c>
      <c r="D146" s="20">
        <f t="shared" si="29"/>
        <v>8.3999999999999773</v>
      </c>
      <c r="E146" s="20">
        <f t="shared" si="30"/>
        <v>0</v>
      </c>
      <c r="F146" s="20">
        <f t="shared" si="33"/>
        <v>1.7997015510412591</v>
      </c>
      <c r="G146" s="20">
        <f t="shared" si="34"/>
        <v>1.6431002102117582</v>
      </c>
      <c r="H146" s="20">
        <f t="shared" si="31"/>
        <v>1.0953084540165194</v>
      </c>
      <c r="I146" s="20">
        <f t="shared" si="32"/>
        <v>52.274329916290412</v>
      </c>
    </row>
    <row r="147" spans="1:9" x14ac:dyDescent="0.2">
      <c r="A147" s="1">
        <v>45686</v>
      </c>
      <c r="B147">
        <v>239.36</v>
      </c>
      <c r="C147" s="20">
        <f t="shared" si="28"/>
        <v>1.1000000000000227</v>
      </c>
      <c r="D147" s="20">
        <f t="shared" si="29"/>
        <v>1.1000000000000227</v>
      </c>
      <c r="E147" s="20">
        <f t="shared" si="30"/>
        <v>0</v>
      </c>
      <c r="F147" s="20">
        <f t="shared" si="33"/>
        <v>1.7497228688240278</v>
      </c>
      <c r="G147" s="20">
        <f t="shared" si="34"/>
        <v>1.5257359094823468</v>
      </c>
      <c r="H147" s="20">
        <f t="shared" si="31"/>
        <v>1.1468058514908228</v>
      </c>
      <c r="I147" s="20">
        <f t="shared" si="32"/>
        <v>53.419169259969998</v>
      </c>
    </row>
    <row r="148" spans="1:9" x14ac:dyDescent="0.2">
      <c r="A148" s="1">
        <v>45687</v>
      </c>
      <c r="B148">
        <v>237.59</v>
      </c>
      <c r="C148" s="20">
        <f t="shared" si="28"/>
        <v>-1.7700000000000102</v>
      </c>
      <c r="D148" s="20">
        <f t="shared" si="29"/>
        <v>0</v>
      </c>
      <c r="E148" s="20">
        <f t="shared" si="30"/>
        <v>1.7700000000000102</v>
      </c>
      <c r="F148" s="20">
        <f t="shared" si="33"/>
        <v>1.624742663908026</v>
      </c>
      <c r="G148" s="20">
        <f t="shared" si="34"/>
        <v>1.5431833445193228</v>
      </c>
      <c r="H148" s="20">
        <f t="shared" si="31"/>
        <v>1.0528513476239647</v>
      </c>
      <c r="I148" s="20">
        <f t="shared" si="32"/>
        <v>51.287266798083955</v>
      </c>
    </row>
    <row r="149" spans="1:9" x14ac:dyDescent="0.2">
      <c r="A149" s="1">
        <v>45688</v>
      </c>
      <c r="B149">
        <v>236</v>
      </c>
      <c r="C149" s="20">
        <f t="shared" si="28"/>
        <v>-1.5900000000000034</v>
      </c>
      <c r="D149" s="20">
        <f t="shared" si="29"/>
        <v>0</v>
      </c>
      <c r="E149" s="20">
        <f t="shared" si="30"/>
        <v>1.5900000000000034</v>
      </c>
      <c r="F149" s="20">
        <f t="shared" si="33"/>
        <v>1.5086896164860242</v>
      </c>
      <c r="G149" s="20">
        <f t="shared" si="34"/>
        <v>1.5465273913393713</v>
      </c>
      <c r="H149" s="20">
        <f t="shared" si="31"/>
        <v>0.97553371827408908</v>
      </c>
      <c r="I149" s="20">
        <f t="shared" si="32"/>
        <v>49.380767802149037</v>
      </c>
    </row>
    <row r="150" spans="1:9" x14ac:dyDescent="0.2">
      <c r="A150" s="1">
        <v>45691</v>
      </c>
      <c r="B150">
        <v>228.01</v>
      </c>
      <c r="C150" s="20">
        <f t="shared" si="28"/>
        <v>-7.9900000000000091</v>
      </c>
      <c r="D150" s="20">
        <f t="shared" si="29"/>
        <v>0</v>
      </c>
      <c r="E150" s="20">
        <f t="shared" si="30"/>
        <v>7.9900000000000091</v>
      </c>
      <c r="F150" s="20">
        <f t="shared" si="33"/>
        <v>1.400926072451308</v>
      </c>
      <c r="G150" s="20">
        <f t="shared" si="34"/>
        <v>2.0067754348151312</v>
      </c>
      <c r="H150" s="20">
        <f t="shared" si="31"/>
        <v>0.6980980772172769</v>
      </c>
      <c r="I150" s="20">
        <f t="shared" si="32"/>
        <v>41.110586401538754</v>
      </c>
    </row>
    <row r="151" spans="1:9" x14ac:dyDescent="0.2">
      <c r="A151" s="1">
        <v>45692</v>
      </c>
      <c r="B151">
        <v>232.8</v>
      </c>
      <c r="C151" s="20">
        <f t="shared" si="28"/>
        <v>4.7900000000000205</v>
      </c>
      <c r="D151" s="20">
        <f t="shared" si="29"/>
        <v>4.7900000000000205</v>
      </c>
      <c r="E151" s="20">
        <f t="shared" si="30"/>
        <v>0</v>
      </c>
      <c r="F151" s="20">
        <f t="shared" si="33"/>
        <v>1.6430027815619304</v>
      </c>
      <c r="G151" s="20">
        <f t="shared" si="34"/>
        <v>1.863434332328336</v>
      </c>
      <c r="H151" s="20">
        <f t="shared" si="31"/>
        <v>0.88170683187371601</v>
      </c>
      <c r="I151" s="20">
        <f t="shared" si="32"/>
        <v>46.856758818043588</v>
      </c>
    </row>
    <row r="152" spans="1:9" x14ac:dyDescent="0.2">
      <c r="A152" s="1">
        <v>45693</v>
      </c>
      <c r="B152">
        <v>232.47</v>
      </c>
      <c r="C152" s="20">
        <f t="shared" si="28"/>
        <v>-0.33000000000001251</v>
      </c>
      <c r="D152" s="20">
        <f t="shared" si="29"/>
        <v>0</v>
      </c>
      <c r="E152" s="20">
        <f t="shared" si="30"/>
        <v>0.33000000000001251</v>
      </c>
      <c r="F152" s="20">
        <f t="shared" si="33"/>
        <v>1.5256454400217925</v>
      </c>
      <c r="G152" s="20">
        <f t="shared" si="34"/>
        <v>1.7539033085905984</v>
      </c>
      <c r="H152" s="20">
        <f t="shared" si="31"/>
        <v>0.86985721079902101</v>
      </c>
      <c r="I152" s="20">
        <f t="shared" si="32"/>
        <v>46.519980551205649</v>
      </c>
    </row>
    <row r="153" spans="1:9" x14ac:dyDescent="0.2">
      <c r="A153" s="1">
        <v>45694</v>
      </c>
      <c r="B153">
        <v>233.22</v>
      </c>
      <c r="C153" s="20">
        <f t="shared" si="28"/>
        <v>0.75</v>
      </c>
      <c r="D153" s="20">
        <f t="shared" si="29"/>
        <v>0.75</v>
      </c>
      <c r="E153" s="20">
        <f t="shared" si="30"/>
        <v>0</v>
      </c>
      <c r="F153" s="20">
        <f t="shared" si="33"/>
        <v>1.47024219430595</v>
      </c>
      <c r="G153" s="20">
        <f t="shared" si="34"/>
        <v>1.6286245008341269</v>
      </c>
      <c r="H153" s="20">
        <f t="shared" si="31"/>
        <v>0.90275087569476031</v>
      </c>
      <c r="I153" s="20">
        <f t="shared" si="32"/>
        <v>47.444512428098854</v>
      </c>
    </row>
    <row r="154" spans="1:9" x14ac:dyDescent="0.2">
      <c r="A154" s="1">
        <v>45695</v>
      </c>
      <c r="B154">
        <v>227.63</v>
      </c>
      <c r="C154" s="20">
        <f t="shared" si="28"/>
        <v>-5.5900000000000034</v>
      </c>
      <c r="D154" s="20">
        <f t="shared" si="29"/>
        <v>0</v>
      </c>
      <c r="E154" s="20">
        <f t="shared" si="30"/>
        <v>5.5900000000000034</v>
      </c>
      <c r="F154" s="20">
        <f t="shared" si="33"/>
        <v>1.3652248947126679</v>
      </c>
      <c r="G154" s="20">
        <f t="shared" si="34"/>
        <v>1.9115798936316895</v>
      </c>
      <c r="H154" s="20">
        <f t="shared" si="31"/>
        <v>0.71418667839143446</v>
      </c>
      <c r="I154" s="20">
        <f t="shared" si="32"/>
        <v>41.663296500566425</v>
      </c>
    </row>
    <row r="155" spans="1:9" x14ac:dyDescent="0.2">
      <c r="A155" s="1">
        <v>45698</v>
      </c>
      <c r="B155">
        <v>227.65</v>
      </c>
      <c r="C155" s="20">
        <f t="shared" si="28"/>
        <v>2.0000000000010232E-2</v>
      </c>
      <c r="D155" s="20">
        <f t="shared" si="29"/>
        <v>2.0000000000010232E-2</v>
      </c>
      <c r="E155" s="20">
        <f t="shared" si="30"/>
        <v>0</v>
      </c>
      <c r="F155" s="20">
        <f t="shared" si="33"/>
        <v>1.2691374022331925</v>
      </c>
      <c r="G155" s="20">
        <f t="shared" si="34"/>
        <v>1.7750384726579973</v>
      </c>
      <c r="H155" s="20">
        <f t="shared" si="31"/>
        <v>0.71499148992119987</v>
      </c>
      <c r="I155" s="20">
        <f t="shared" si="32"/>
        <v>41.690672759784498</v>
      </c>
    </row>
    <row r="156" spans="1:9" x14ac:dyDescent="0.2">
      <c r="A156" s="1">
        <v>45699</v>
      </c>
      <c r="B156">
        <v>232.62</v>
      </c>
      <c r="C156" s="20">
        <f t="shared" si="28"/>
        <v>4.9699999999999989</v>
      </c>
      <c r="D156" s="20">
        <f t="shared" si="29"/>
        <v>4.9699999999999989</v>
      </c>
      <c r="E156" s="20">
        <f t="shared" si="30"/>
        <v>0</v>
      </c>
      <c r="F156" s="20">
        <f t="shared" si="33"/>
        <v>1.5334847306451072</v>
      </c>
      <c r="G156" s="20">
        <f t="shared" si="34"/>
        <v>1.6482500103252831</v>
      </c>
      <c r="H156" s="20">
        <f t="shared" si="31"/>
        <v>0.93037143700212876</v>
      </c>
      <c r="I156" s="20">
        <f t="shared" si="32"/>
        <v>48.196498309516933</v>
      </c>
    </row>
    <row r="157" spans="1:9" x14ac:dyDescent="0.2">
      <c r="A157" s="1">
        <v>45700</v>
      </c>
      <c r="B157">
        <v>236.87</v>
      </c>
      <c r="C157" s="20">
        <f t="shared" si="28"/>
        <v>4.25</v>
      </c>
      <c r="D157" s="20">
        <f t="shared" si="29"/>
        <v>4.25</v>
      </c>
      <c r="E157" s="20">
        <f t="shared" si="30"/>
        <v>0</v>
      </c>
      <c r="F157" s="20">
        <f t="shared" si="33"/>
        <v>1.7275215355990281</v>
      </c>
      <c r="G157" s="20">
        <f t="shared" si="34"/>
        <v>1.5305178667306198</v>
      </c>
      <c r="H157" s="20">
        <f t="shared" si="31"/>
        <v>1.1287170004027676</v>
      </c>
      <c r="I157" s="20">
        <f t="shared" si="32"/>
        <v>53.023346935699145</v>
      </c>
    </row>
    <row r="158" spans="1:9" x14ac:dyDescent="0.2">
      <c r="A158" s="1">
        <v>45701</v>
      </c>
      <c r="B158">
        <v>241.53</v>
      </c>
      <c r="C158" s="20">
        <f t="shared" si="28"/>
        <v>4.6599999999999966</v>
      </c>
      <c r="D158" s="20">
        <f t="shared" si="29"/>
        <v>4.6599999999999966</v>
      </c>
      <c r="E158" s="20">
        <f t="shared" si="30"/>
        <v>0</v>
      </c>
      <c r="F158" s="20">
        <f t="shared" si="33"/>
        <v>1.9369842830562403</v>
      </c>
      <c r="G158" s="20">
        <f t="shared" si="34"/>
        <v>1.4211951619641472</v>
      </c>
      <c r="H158" s="20">
        <f t="shared" si="31"/>
        <v>1.3629263136382004</v>
      </c>
      <c r="I158" s="20">
        <f t="shared" si="32"/>
        <v>57.679594398341656</v>
      </c>
    </row>
    <row r="159" spans="1:9" x14ac:dyDescent="0.2">
      <c r="A159" s="1">
        <v>45702</v>
      </c>
      <c r="B159">
        <v>244.6</v>
      </c>
      <c r="C159" s="20">
        <f t="shared" si="28"/>
        <v>3.0699999999999932</v>
      </c>
      <c r="D159" s="20">
        <f t="shared" si="29"/>
        <v>3.0699999999999932</v>
      </c>
      <c r="E159" s="20">
        <f t="shared" si="30"/>
        <v>0</v>
      </c>
      <c r="F159" s="20">
        <f t="shared" si="33"/>
        <v>2.0179139771236509</v>
      </c>
      <c r="G159" s="20">
        <f t="shared" si="34"/>
        <v>1.3196812218238509</v>
      </c>
      <c r="H159" s="20">
        <f t="shared" si="31"/>
        <v>1.5290919835434311</v>
      </c>
      <c r="I159" s="20">
        <f t="shared" si="32"/>
        <v>60.460117445039245</v>
      </c>
    </row>
    <row r="160" spans="1:9" x14ac:dyDescent="0.2">
      <c r="A160" s="1">
        <v>45706</v>
      </c>
      <c r="B160">
        <v>244.47</v>
      </c>
      <c r="C160" s="20">
        <f t="shared" si="28"/>
        <v>-0.12999999999999545</v>
      </c>
      <c r="D160" s="20">
        <f t="shared" si="29"/>
        <v>0</v>
      </c>
      <c r="E160" s="20">
        <f t="shared" si="30"/>
        <v>0.12999999999999545</v>
      </c>
      <c r="F160" s="20">
        <f t="shared" si="33"/>
        <v>1.8737772644719615</v>
      </c>
      <c r="G160" s="20">
        <f t="shared" si="34"/>
        <v>1.2347039916935754</v>
      </c>
      <c r="H160" s="20">
        <f t="shared" si="31"/>
        <v>1.517592295058352</v>
      </c>
      <c r="I160" s="20">
        <f t="shared" si="32"/>
        <v>60.279509833151032</v>
      </c>
    </row>
    <row r="161" spans="1:9" x14ac:dyDescent="0.2">
      <c r="A161" s="1">
        <v>45707</v>
      </c>
      <c r="B161">
        <v>244.87</v>
      </c>
      <c r="C161" s="20">
        <f t="shared" si="28"/>
        <v>0.40000000000000568</v>
      </c>
      <c r="D161" s="20">
        <f t="shared" si="29"/>
        <v>0.40000000000000568</v>
      </c>
      <c r="E161" s="20">
        <f t="shared" si="30"/>
        <v>0</v>
      </c>
      <c r="F161" s="20">
        <f t="shared" si="33"/>
        <v>1.7685074598668218</v>
      </c>
      <c r="G161" s="20">
        <f t="shared" si="34"/>
        <v>1.1465108494297487</v>
      </c>
      <c r="H161" s="20">
        <f t="shared" si="31"/>
        <v>1.542512624931933</v>
      </c>
      <c r="I161" s="20">
        <f t="shared" si="32"/>
        <v>60.668828536229135</v>
      </c>
    </row>
    <row r="162" spans="1:9" x14ac:dyDescent="0.2">
      <c r="A162" s="1">
        <v>45708</v>
      </c>
      <c r="B162">
        <v>245.83</v>
      </c>
      <c r="C162" s="20">
        <f t="shared" si="28"/>
        <v>0.96000000000000796</v>
      </c>
      <c r="D162" s="20">
        <f t="shared" si="29"/>
        <v>0.96000000000000796</v>
      </c>
      <c r="E162" s="20">
        <f t="shared" si="30"/>
        <v>0</v>
      </c>
      <c r="F162" s="20">
        <f t="shared" si="33"/>
        <v>1.7107569270191922</v>
      </c>
      <c r="G162" s="20">
        <f t="shared" si="34"/>
        <v>1.0646172173276238</v>
      </c>
      <c r="H162" s="20">
        <f t="shared" si="31"/>
        <v>1.6069220929128805</v>
      </c>
      <c r="I162" s="20">
        <f t="shared" si="32"/>
        <v>61.640587468318387</v>
      </c>
    </row>
    <row r="163" spans="1:9" x14ac:dyDescent="0.2">
      <c r="A163" s="1">
        <v>45709</v>
      </c>
      <c r="B163">
        <v>245.55</v>
      </c>
      <c r="C163" s="20">
        <f t="shared" ref="C163:C189" si="35">B163-B162</f>
        <v>-0.28000000000000114</v>
      </c>
      <c r="D163" s="20">
        <f t="shared" ref="D163:D189" si="36">IF(C163&gt;0,C163,0)</f>
        <v>0</v>
      </c>
      <c r="E163" s="20">
        <f t="shared" ref="E163:E189" si="37">IF(C163&lt;0,-C163,0)</f>
        <v>0.28000000000000114</v>
      </c>
      <c r="F163" s="20">
        <f t="shared" si="33"/>
        <v>1.5885600036606784</v>
      </c>
      <c r="G163" s="20">
        <f t="shared" si="34"/>
        <v>1.0085731303756507</v>
      </c>
      <c r="H163" s="20">
        <f t="shared" si="31"/>
        <v>1.5750568360561095</v>
      </c>
      <c r="I163" s="20">
        <f t="shared" si="32"/>
        <v>61.16590569971364</v>
      </c>
    </row>
    <row r="164" spans="1:9" x14ac:dyDescent="0.2">
      <c r="A164" s="1">
        <v>45712</v>
      </c>
      <c r="B164">
        <v>247.1</v>
      </c>
      <c r="C164" s="20">
        <f t="shared" si="35"/>
        <v>1.5499999999999829</v>
      </c>
      <c r="D164" s="20">
        <f t="shared" si="36"/>
        <v>1.5499999999999829</v>
      </c>
      <c r="E164" s="20">
        <f t="shared" si="37"/>
        <v>0</v>
      </c>
      <c r="F164" s="20">
        <f t="shared" si="33"/>
        <v>1.5858057176849145</v>
      </c>
      <c r="G164" s="20">
        <f t="shared" si="34"/>
        <v>0.93653219249167563</v>
      </c>
      <c r="H164" s="20">
        <f t="shared" si="31"/>
        <v>1.6932741131576317</v>
      </c>
      <c r="I164" s="20">
        <f t="shared" si="32"/>
        <v>62.870470736170766</v>
      </c>
    </row>
    <row r="165" spans="1:9" x14ac:dyDescent="0.2">
      <c r="A165" s="1">
        <v>45713</v>
      </c>
      <c r="B165">
        <v>247.04</v>
      </c>
      <c r="C165" s="20">
        <f t="shared" si="35"/>
        <v>-6.0000000000002274E-2</v>
      </c>
      <c r="D165" s="20">
        <f t="shared" si="36"/>
        <v>0</v>
      </c>
      <c r="E165" s="20">
        <f t="shared" si="37"/>
        <v>6.0000000000002274E-2</v>
      </c>
      <c r="F165" s="20">
        <f t="shared" si="33"/>
        <v>1.4725338807074206</v>
      </c>
      <c r="G165" s="20">
        <f t="shared" si="34"/>
        <v>0.87392275017084187</v>
      </c>
      <c r="H165" s="20">
        <f t="shared" si="31"/>
        <v>1.6849703024890439</v>
      </c>
      <c r="I165" s="20">
        <f t="shared" si="32"/>
        <v>62.755640199335851</v>
      </c>
    </row>
    <row r="166" spans="1:9" x14ac:dyDescent="0.2">
      <c r="A166" s="1">
        <v>45714</v>
      </c>
      <c r="B166">
        <v>240.36</v>
      </c>
      <c r="C166" s="20">
        <f t="shared" si="35"/>
        <v>-6.6799999999999784</v>
      </c>
      <c r="D166" s="20">
        <f t="shared" si="36"/>
        <v>0</v>
      </c>
      <c r="E166" s="20">
        <f t="shared" si="37"/>
        <v>6.6799999999999784</v>
      </c>
      <c r="F166" s="20">
        <f t="shared" si="33"/>
        <v>1.3673528892283193</v>
      </c>
      <c r="G166" s="20">
        <f t="shared" si="34"/>
        <v>1.2886425537300659</v>
      </c>
      <c r="H166" s="20">
        <f t="shared" si="31"/>
        <v>1.0610800374940443</v>
      </c>
      <c r="I166" s="20">
        <f t="shared" si="32"/>
        <v>51.48174831600204</v>
      </c>
    </row>
    <row r="167" spans="1:9" x14ac:dyDescent="0.2">
      <c r="A167" s="1">
        <v>45715</v>
      </c>
      <c r="B167">
        <v>237.3</v>
      </c>
      <c r="C167" s="20">
        <f t="shared" si="35"/>
        <v>-3.0600000000000023</v>
      </c>
      <c r="D167" s="20">
        <f t="shared" si="36"/>
        <v>0</v>
      </c>
      <c r="E167" s="20">
        <f t="shared" si="37"/>
        <v>3.0600000000000023</v>
      </c>
      <c r="F167" s="20">
        <f t="shared" si="33"/>
        <v>1.2696848257120108</v>
      </c>
      <c r="G167" s="20">
        <f t="shared" si="34"/>
        <v>1.4151680856064899</v>
      </c>
      <c r="H167" s="20">
        <f t="shared" si="31"/>
        <v>0.89719718712273655</v>
      </c>
      <c r="I167" s="20">
        <f t="shared" si="32"/>
        <v>47.290666105372722</v>
      </c>
    </row>
    <row r="168" spans="1:9" x14ac:dyDescent="0.2">
      <c r="A168" s="1">
        <v>45716</v>
      </c>
      <c r="B168">
        <v>241.84</v>
      </c>
      <c r="C168" s="20">
        <f t="shared" si="35"/>
        <v>4.539999999999992</v>
      </c>
      <c r="D168" s="20">
        <f t="shared" si="36"/>
        <v>4.539999999999992</v>
      </c>
      <c r="E168" s="20">
        <f t="shared" si="37"/>
        <v>0</v>
      </c>
      <c r="F168" s="20">
        <f t="shared" si="33"/>
        <v>1.5032787667325809</v>
      </c>
      <c r="G168" s="20">
        <f t="shared" si="34"/>
        <v>1.3140846509203121</v>
      </c>
      <c r="H168" s="20">
        <f t="shared" si="31"/>
        <v>1.1439740702242946</v>
      </c>
      <c r="I168" s="20">
        <f t="shared" si="32"/>
        <v>53.35764485736604</v>
      </c>
    </row>
    <row r="169" spans="1:9" x14ac:dyDescent="0.2">
      <c r="A169" s="1">
        <v>45719</v>
      </c>
      <c r="B169">
        <v>238.03</v>
      </c>
      <c r="C169" s="20">
        <f t="shared" si="35"/>
        <v>-3.8100000000000023</v>
      </c>
      <c r="D169" s="20">
        <f t="shared" si="36"/>
        <v>0</v>
      </c>
      <c r="E169" s="20">
        <f t="shared" si="37"/>
        <v>3.8100000000000023</v>
      </c>
      <c r="F169" s="20">
        <f t="shared" si="33"/>
        <v>1.3959017119659678</v>
      </c>
      <c r="G169" s="20">
        <f t="shared" si="34"/>
        <v>1.4923643187117186</v>
      </c>
      <c r="H169" s="20">
        <f t="shared" si="31"/>
        <v>0.93536256158347308</v>
      </c>
      <c r="I169" s="20">
        <f t="shared" si="32"/>
        <v>48.330094843737136</v>
      </c>
    </row>
    <row r="170" spans="1:9" x14ac:dyDescent="0.2">
      <c r="A170" s="1">
        <v>45720</v>
      </c>
      <c r="B170">
        <v>235.93</v>
      </c>
      <c r="C170" s="20">
        <f t="shared" si="35"/>
        <v>-2.0999999999999943</v>
      </c>
      <c r="D170" s="20">
        <f t="shared" si="36"/>
        <v>0</v>
      </c>
      <c r="E170" s="20">
        <f t="shared" si="37"/>
        <v>2.0999999999999943</v>
      </c>
      <c r="F170" s="20">
        <f t="shared" si="33"/>
        <v>1.2961944468255415</v>
      </c>
      <c r="G170" s="20">
        <f t="shared" si="34"/>
        <v>1.5357668673751668</v>
      </c>
      <c r="H170" s="20">
        <f t="shared" si="31"/>
        <v>0.84400469521843058</v>
      </c>
      <c r="I170" s="20">
        <f t="shared" si="32"/>
        <v>45.770203156584394</v>
      </c>
    </row>
    <row r="171" spans="1:9" x14ac:dyDescent="0.2">
      <c r="A171" s="1">
        <v>45721</v>
      </c>
      <c r="B171">
        <v>235.74</v>
      </c>
      <c r="C171" s="20">
        <f t="shared" si="35"/>
        <v>-0.18999999999999773</v>
      </c>
      <c r="D171" s="20">
        <f t="shared" si="36"/>
        <v>0</v>
      </c>
      <c r="E171" s="20">
        <f t="shared" si="37"/>
        <v>0.18999999999999773</v>
      </c>
      <c r="F171" s="20">
        <f t="shared" si="33"/>
        <v>1.2036091291951456</v>
      </c>
      <c r="G171" s="20">
        <f t="shared" si="34"/>
        <v>1.4396406625626545</v>
      </c>
      <c r="H171" s="20">
        <f t="shared" ref="H171:H189" si="38">F171/G171</f>
        <v>0.83604830045064349</v>
      </c>
      <c r="I171" s="20">
        <f t="shared" ref="I171:I189" si="39">IF(G171=0,100,100-(100/(1+H171)))</f>
        <v>45.535201892316344</v>
      </c>
    </row>
    <row r="172" spans="1:9" x14ac:dyDescent="0.2">
      <c r="A172" s="1">
        <v>45722</v>
      </c>
      <c r="B172">
        <v>235.33</v>
      </c>
      <c r="C172" s="20">
        <f t="shared" si="35"/>
        <v>-0.40999999999999659</v>
      </c>
      <c r="D172" s="20">
        <f t="shared" si="36"/>
        <v>0</v>
      </c>
      <c r="E172" s="20">
        <f t="shared" si="37"/>
        <v>0.40999999999999659</v>
      </c>
      <c r="F172" s="20">
        <f t="shared" ref="F172:F189" si="40">((F171*13)+D172)/14</f>
        <v>1.1176370485383496</v>
      </c>
      <c r="G172" s="20">
        <f t="shared" ref="G172:G189" si="41">((G171*13)+E172)/14</f>
        <v>1.3660949009510361</v>
      </c>
      <c r="H172" s="20">
        <f t="shared" si="38"/>
        <v>0.81812548144369956</v>
      </c>
      <c r="I172" s="20">
        <f t="shared" si="39"/>
        <v>44.998295760865709</v>
      </c>
    </row>
    <row r="173" spans="1:9" x14ac:dyDescent="0.2">
      <c r="A173" s="1">
        <v>45723</v>
      </c>
      <c r="B173">
        <v>239.07</v>
      </c>
      <c r="C173" s="20">
        <f t="shared" si="35"/>
        <v>3.7399999999999807</v>
      </c>
      <c r="D173" s="20">
        <f t="shared" si="36"/>
        <v>3.7399999999999807</v>
      </c>
      <c r="E173" s="20">
        <f t="shared" si="37"/>
        <v>0</v>
      </c>
      <c r="F173" s="20">
        <f t="shared" si="40"/>
        <v>1.304948687928466</v>
      </c>
      <c r="G173" s="20">
        <f t="shared" si="41"/>
        <v>1.2685166937402479</v>
      </c>
      <c r="H173" s="20">
        <f t="shared" si="38"/>
        <v>1.0287201535210369</v>
      </c>
      <c r="I173" s="20">
        <f t="shared" si="39"/>
        <v>50.707839212598891</v>
      </c>
    </row>
    <row r="174" spans="1:9" x14ac:dyDescent="0.2">
      <c r="A174" s="1">
        <v>45726</v>
      </c>
      <c r="B174">
        <v>227.48</v>
      </c>
      <c r="C174" s="20">
        <f t="shared" si="35"/>
        <v>-11.590000000000003</v>
      </c>
      <c r="D174" s="20">
        <f t="shared" si="36"/>
        <v>0</v>
      </c>
      <c r="E174" s="20">
        <f t="shared" si="37"/>
        <v>11.590000000000003</v>
      </c>
      <c r="F174" s="20">
        <f t="shared" si="40"/>
        <v>1.211738067362147</v>
      </c>
      <c r="G174" s="20">
        <f t="shared" si="41"/>
        <v>2.0057655013302305</v>
      </c>
      <c r="H174" s="20">
        <f t="shared" si="38"/>
        <v>0.60412748477253109</v>
      </c>
      <c r="I174" s="20">
        <f t="shared" si="39"/>
        <v>37.660815022952974</v>
      </c>
    </row>
    <row r="175" spans="1:9" x14ac:dyDescent="0.2">
      <c r="A175" s="1">
        <v>45727</v>
      </c>
      <c r="B175">
        <v>220.84</v>
      </c>
      <c r="C175" s="20">
        <f t="shared" si="35"/>
        <v>-6.6399999999999864</v>
      </c>
      <c r="D175" s="20">
        <f t="shared" si="36"/>
        <v>0</v>
      </c>
      <c r="E175" s="20">
        <f t="shared" si="37"/>
        <v>6.6399999999999864</v>
      </c>
      <c r="F175" s="20">
        <f t="shared" si="40"/>
        <v>1.1251853482648506</v>
      </c>
      <c r="G175" s="20">
        <f t="shared" si="41"/>
        <v>2.336782251235213</v>
      </c>
      <c r="H175" s="20">
        <f t="shared" si="38"/>
        <v>0.4815105676492033</v>
      </c>
      <c r="I175" s="20">
        <f t="shared" si="39"/>
        <v>32.501325212498713</v>
      </c>
    </row>
    <row r="176" spans="1:9" x14ac:dyDescent="0.2">
      <c r="A176" s="1">
        <v>45728</v>
      </c>
      <c r="B176">
        <v>216.98</v>
      </c>
      <c r="C176" s="20">
        <f t="shared" si="35"/>
        <v>-3.8600000000000136</v>
      </c>
      <c r="D176" s="20">
        <f t="shared" si="36"/>
        <v>0</v>
      </c>
      <c r="E176" s="20">
        <f t="shared" si="37"/>
        <v>3.8600000000000136</v>
      </c>
      <c r="F176" s="20">
        <f t="shared" si="40"/>
        <v>1.0448149662459327</v>
      </c>
      <c r="G176" s="20">
        <f t="shared" si="41"/>
        <v>2.4455835190041273</v>
      </c>
      <c r="H176" s="20">
        <f t="shared" si="38"/>
        <v>0.42722522380727962</v>
      </c>
      <c r="I176" s="20">
        <f t="shared" si="39"/>
        <v>29.93397374715741</v>
      </c>
    </row>
    <row r="177" spans="1:9" x14ac:dyDescent="0.2">
      <c r="A177" s="1">
        <v>45729</v>
      </c>
      <c r="B177">
        <v>209.68</v>
      </c>
      <c r="C177" s="20">
        <f t="shared" si="35"/>
        <v>-7.2999999999999829</v>
      </c>
      <c r="D177" s="20">
        <f t="shared" si="36"/>
        <v>0</v>
      </c>
      <c r="E177" s="20">
        <f t="shared" si="37"/>
        <v>7.2999999999999829</v>
      </c>
      <c r="F177" s="20">
        <f t="shared" si="40"/>
        <v>0.97018532579979477</v>
      </c>
      <c r="G177" s="20">
        <f t="shared" si="41"/>
        <v>2.7923275533609737</v>
      </c>
      <c r="H177" s="20">
        <f t="shared" si="38"/>
        <v>0.34744681892066537</v>
      </c>
      <c r="I177" s="20">
        <f t="shared" si="39"/>
        <v>25.785568234817461</v>
      </c>
    </row>
    <row r="178" spans="1:9" x14ac:dyDescent="0.2">
      <c r="A178" s="1">
        <v>45730</v>
      </c>
      <c r="B178">
        <v>213.49</v>
      </c>
      <c r="C178" s="20">
        <f t="shared" si="35"/>
        <v>3.8100000000000023</v>
      </c>
      <c r="D178" s="20">
        <f t="shared" si="36"/>
        <v>3.8100000000000023</v>
      </c>
      <c r="E178" s="20">
        <f t="shared" si="37"/>
        <v>0</v>
      </c>
      <c r="F178" s="20">
        <f t="shared" si="40"/>
        <v>1.1730292310998094</v>
      </c>
      <c r="G178" s="20">
        <f t="shared" si="41"/>
        <v>2.5928755852637613</v>
      </c>
      <c r="H178" s="20">
        <f t="shared" si="38"/>
        <v>0.45240475006458225</v>
      </c>
      <c r="I178" s="20">
        <f t="shared" si="39"/>
        <v>31.148669132655044</v>
      </c>
    </row>
    <row r="179" spans="1:9" x14ac:dyDescent="0.2">
      <c r="A179" s="1">
        <v>45733</v>
      </c>
      <c r="B179">
        <v>214</v>
      </c>
      <c r="C179" s="20">
        <f t="shared" si="35"/>
        <v>0.50999999999999091</v>
      </c>
      <c r="D179" s="20">
        <f t="shared" si="36"/>
        <v>0.50999999999999091</v>
      </c>
      <c r="E179" s="20">
        <f t="shared" si="37"/>
        <v>0</v>
      </c>
      <c r="F179" s="20">
        <f t="shared" si="40"/>
        <v>1.1256700003069653</v>
      </c>
      <c r="G179" s="20">
        <f t="shared" si="41"/>
        <v>2.4076701863163494</v>
      </c>
      <c r="H179" s="20">
        <f t="shared" si="38"/>
        <v>0.46753496666800559</v>
      </c>
      <c r="I179" s="20">
        <f t="shared" si="39"/>
        <v>31.858523121226185</v>
      </c>
    </row>
    <row r="180" spans="1:9" x14ac:dyDescent="0.2">
      <c r="A180" s="1">
        <v>45734</v>
      </c>
      <c r="B180">
        <v>212.69</v>
      </c>
      <c r="C180" s="20">
        <f t="shared" si="35"/>
        <v>-1.3100000000000023</v>
      </c>
      <c r="D180" s="20">
        <f t="shared" si="36"/>
        <v>0</v>
      </c>
      <c r="E180" s="20">
        <f t="shared" si="37"/>
        <v>1.3100000000000023</v>
      </c>
      <c r="F180" s="20">
        <f t="shared" si="40"/>
        <v>1.0452650002850392</v>
      </c>
      <c r="G180" s="20">
        <f t="shared" si="41"/>
        <v>2.3292651730080389</v>
      </c>
      <c r="H180" s="20">
        <f t="shared" si="38"/>
        <v>0.44875311424296632</v>
      </c>
      <c r="I180" s="20">
        <f t="shared" si="39"/>
        <v>30.975126806023013</v>
      </c>
    </row>
    <row r="181" spans="1:9" x14ac:dyDescent="0.2">
      <c r="A181" s="1">
        <v>45735</v>
      </c>
      <c r="B181">
        <v>215.24</v>
      </c>
      <c r="C181" s="20">
        <f t="shared" si="35"/>
        <v>2.5500000000000114</v>
      </c>
      <c r="D181" s="20">
        <f t="shared" si="36"/>
        <v>2.5500000000000114</v>
      </c>
      <c r="E181" s="20">
        <f t="shared" si="37"/>
        <v>0</v>
      </c>
      <c r="F181" s="20">
        <f t="shared" si="40"/>
        <v>1.1527460716932514</v>
      </c>
      <c r="G181" s="20">
        <f t="shared" si="41"/>
        <v>2.1628890892217503</v>
      </c>
      <c r="H181" s="20">
        <f t="shared" si="38"/>
        <v>0.53296587302496956</v>
      </c>
      <c r="I181" s="20">
        <f t="shared" si="39"/>
        <v>34.766975730078002</v>
      </c>
    </row>
    <row r="182" spans="1:9" x14ac:dyDescent="0.2">
      <c r="A182" s="1">
        <v>45736</v>
      </c>
      <c r="B182">
        <v>214.1</v>
      </c>
      <c r="C182" s="20">
        <f t="shared" si="35"/>
        <v>-1.1400000000000148</v>
      </c>
      <c r="D182" s="20">
        <f t="shared" si="36"/>
        <v>0</v>
      </c>
      <c r="E182" s="20">
        <f t="shared" si="37"/>
        <v>1.1400000000000148</v>
      </c>
      <c r="F182" s="20">
        <f t="shared" si="40"/>
        <v>1.0704070665723049</v>
      </c>
      <c r="G182" s="20">
        <f t="shared" si="41"/>
        <v>2.0898255828487691</v>
      </c>
      <c r="H182" s="20">
        <f t="shared" si="38"/>
        <v>0.51219923583917826</v>
      </c>
      <c r="I182" s="20">
        <f t="shared" si="39"/>
        <v>33.8711476437785</v>
      </c>
    </row>
    <row r="183" spans="1:9" x14ac:dyDescent="0.2">
      <c r="A183" s="1">
        <v>45737</v>
      </c>
      <c r="B183">
        <v>218.27</v>
      </c>
      <c r="C183" s="20">
        <f t="shared" si="35"/>
        <v>4.1700000000000159</v>
      </c>
      <c r="D183" s="20">
        <f t="shared" si="36"/>
        <v>4.1700000000000159</v>
      </c>
      <c r="E183" s="20">
        <f t="shared" si="37"/>
        <v>0</v>
      </c>
      <c r="F183" s="20">
        <f t="shared" si="40"/>
        <v>1.2918065618171413</v>
      </c>
      <c r="G183" s="20">
        <f t="shared" si="41"/>
        <v>1.9405523269309999</v>
      </c>
      <c r="H183" s="20">
        <f t="shared" si="38"/>
        <v>0.66569014599062337</v>
      </c>
      <c r="I183" s="20">
        <f t="shared" si="39"/>
        <v>39.964824645986148</v>
      </c>
    </row>
    <row r="184" spans="1:9" x14ac:dyDescent="0.2">
      <c r="A184" s="1">
        <v>45740</v>
      </c>
      <c r="B184">
        <v>220.73</v>
      </c>
      <c r="C184" s="20">
        <f t="shared" si="35"/>
        <v>2.4599999999999795</v>
      </c>
      <c r="D184" s="20">
        <f t="shared" si="36"/>
        <v>2.4599999999999795</v>
      </c>
      <c r="E184" s="20">
        <f t="shared" si="37"/>
        <v>0</v>
      </c>
      <c r="F184" s="20">
        <f t="shared" si="40"/>
        <v>1.3752489502587726</v>
      </c>
      <c r="G184" s="20">
        <f t="shared" si="41"/>
        <v>1.8019414464359282</v>
      </c>
      <c r="H184" s="20">
        <f t="shared" si="38"/>
        <v>0.763204016966748</v>
      </c>
      <c r="I184" s="20">
        <f t="shared" si="39"/>
        <v>43.285065688523844</v>
      </c>
    </row>
    <row r="185" spans="1:9" x14ac:dyDescent="0.2">
      <c r="A185" s="1">
        <v>45741</v>
      </c>
      <c r="B185">
        <v>223.75</v>
      </c>
      <c r="C185" s="20">
        <f t="shared" si="35"/>
        <v>3.0200000000000102</v>
      </c>
      <c r="D185" s="20">
        <f t="shared" si="36"/>
        <v>3.0200000000000102</v>
      </c>
      <c r="E185" s="20">
        <f t="shared" si="37"/>
        <v>0</v>
      </c>
      <c r="F185" s="20">
        <f t="shared" si="40"/>
        <v>1.4927311680974324</v>
      </c>
      <c r="G185" s="20">
        <f t="shared" si="41"/>
        <v>1.6732313431190762</v>
      </c>
      <c r="H185" s="20">
        <f t="shared" si="38"/>
        <v>0.89212479447989979</v>
      </c>
      <c r="I185" s="20">
        <f t="shared" si="39"/>
        <v>47.149363355027738</v>
      </c>
    </row>
    <row r="186" spans="1:9" x14ac:dyDescent="0.2">
      <c r="A186" s="1">
        <v>45742</v>
      </c>
      <c r="B186">
        <v>221.53</v>
      </c>
      <c r="C186" s="20">
        <f t="shared" si="35"/>
        <v>-2.2199999999999989</v>
      </c>
      <c r="D186" s="20">
        <f t="shared" si="36"/>
        <v>0</v>
      </c>
      <c r="E186" s="20">
        <f t="shared" si="37"/>
        <v>2.2199999999999989</v>
      </c>
      <c r="F186" s="20">
        <f t="shared" si="40"/>
        <v>1.3861075132333303</v>
      </c>
      <c r="G186" s="20">
        <f t="shared" si="41"/>
        <v>1.7122862471819993</v>
      </c>
      <c r="H186" s="20">
        <f t="shared" si="38"/>
        <v>0.80950688911653712</v>
      </c>
      <c r="I186" s="20">
        <f t="shared" si="39"/>
        <v>44.736325348380738</v>
      </c>
    </row>
    <row r="187" spans="1:9" x14ac:dyDescent="0.2">
      <c r="A187" s="1">
        <v>45743</v>
      </c>
      <c r="B187">
        <v>223.85</v>
      </c>
      <c r="C187" s="20">
        <f t="shared" si="35"/>
        <v>2.3199999999999932</v>
      </c>
      <c r="D187" s="20">
        <f t="shared" si="36"/>
        <v>2.3199999999999932</v>
      </c>
      <c r="E187" s="20">
        <f t="shared" si="37"/>
        <v>0</v>
      </c>
      <c r="F187" s="20">
        <f t="shared" si="40"/>
        <v>1.452814119430949</v>
      </c>
      <c r="G187" s="20">
        <f t="shared" si="41"/>
        <v>1.5899800866689995</v>
      </c>
      <c r="H187" s="20">
        <f t="shared" si="38"/>
        <v>0.91373101563465953</v>
      </c>
      <c r="I187" s="20">
        <f t="shared" si="39"/>
        <v>47.746052510500526</v>
      </c>
    </row>
    <row r="188" spans="1:9" x14ac:dyDescent="0.2">
      <c r="A188" s="1">
        <v>45744</v>
      </c>
      <c r="B188">
        <v>217.9</v>
      </c>
      <c r="C188" s="20">
        <f t="shared" si="35"/>
        <v>-5.9499999999999886</v>
      </c>
      <c r="D188" s="20">
        <f t="shared" si="36"/>
        <v>0</v>
      </c>
      <c r="E188" s="20">
        <f t="shared" si="37"/>
        <v>5.9499999999999886</v>
      </c>
      <c r="F188" s="20">
        <f t="shared" si="40"/>
        <v>1.3490416823287383</v>
      </c>
      <c r="G188" s="20">
        <f t="shared" si="41"/>
        <v>1.901410080478356</v>
      </c>
      <c r="H188" s="20">
        <f t="shared" si="38"/>
        <v>0.70949538775420129</v>
      </c>
      <c r="I188" s="20">
        <f t="shared" si="39"/>
        <v>41.503205731738163</v>
      </c>
    </row>
    <row r="189" spans="1:9" x14ac:dyDescent="0.2">
      <c r="A189" s="1">
        <v>45747</v>
      </c>
      <c r="B189">
        <v>222.13</v>
      </c>
      <c r="C189" s="20">
        <f t="shared" si="35"/>
        <v>4.2299999999999898</v>
      </c>
      <c r="D189" s="20">
        <f t="shared" si="36"/>
        <v>4.2299999999999898</v>
      </c>
      <c r="E189" s="20">
        <f t="shared" si="37"/>
        <v>0</v>
      </c>
      <c r="F189" s="20">
        <f t="shared" si="40"/>
        <v>1.5548244193052565</v>
      </c>
      <c r="G189" s="20">
        <f t="shared" si="41"/>
        <v>1.7655950747299021</v>
      </c>
      <c r="H189" s="20">
        <f t="shared" si="38"/>
        <v>0.88062344620162192</v>
      </c>
      <c r="I189" s="20">
        <f t="shared" si="39"/>
        <v>46.826144169384669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D99E4-2B5E-6949-AD69-9EEC57E12559}">
  <dimension ref="A1:F189"/>
  <sheetViews>
    <sheetView topLeftCell="C1" zoomScale="85" zoomScaleNormal="70" workbookViewId="0">
      <selection activeCell="F21" sqref="F21"/>
    </sheetView>
  </sheetViews>
  <sheetFormatPr baseColWidth="10" defaultColWidth="8.83203125" defaultRowHeight="15" x14ac:dyDescent="0.2"/>
  <cols>
    <col min="1" max="1" width="11.1640625" style="20" bestFit="1" customWidth="1"/>
    <col min="2" max="2" width="7.5" style="20" bestFit="1" customWidth="1"/>
    <col min="3" max="3" width="10.5" style="20" bestFit="1" customWidth="1"/>
    <col min="4" max="6" width="12.6640625" style="20" bestFit="1" customWidth="1"/>
    <col min="7" max="16384" width="8.83203125" style="20"/>
  </cols>
  <sheetData>
    <row r="1" spans="1:6" x14ac:dyDescent="0.2">
      <c r="A1" s="20" t="s">
        <v>0</v>
      </c>
      <c r="B1" s="8" t="s">
        <v>29</v>
      </c>
      <c r="C1" s="20" t="s">
        <v>59</v>
      </c>
      <c r="D1" s="20" t="s">
        <v>60</v>
      </c>
      <c r="E1" s="20" t="s">
        <v>61</v>
      </c>
      <c r="F1" s="20" t="s">
        <v>62</v>
      </c>
    </row>
    <row r="2" spans="1:6" x14ac:dyDescent="0.2">
      <c r="A2" s="1">
        <v>45474</v>
      </c>
      <c r="B2">
        <v>216.75</v>
      </c>
    </row>
    <row r="3" spans="1:6" x14ac:dyDescent="0.2">
      <c r="A3" s="1">
        <v>45475</v>
      </c>
      <c r="B3">
        <v>220.27</v>
      </c>
    </row>
    <row r="4" spans="1:6" x14ac:dyDescent="0.2">
      <c r="A4" s="1">
        <v>45476</v>
      </c>
      <c r="B4">
        <v>221.55</v>
      </c>
    </row>
    <row r="5" spans="1:6" x14ac:dyDescent="0.2">
      <c r="A5" s="1">
        <v>45478</v>
      </c>
      <c r="B5">
        <v>226.34</v>
      </c>
    </row>
    <row r="6" spans="1:6" x14ac:dyDescent="0.2">
      <c r="A6" s="1">
        <v>45481</v>
      </c>
      <c r="B6">
        <v>227.82</v>
      </c>
    </row>
    <row r="7" spans="1:6" x14ac:dyDescent="0.2">
      <c r="A7" s="1">
        <v>45482</v>
      </c>
      <c r="B7">
        <v>228.68</v>
      </c>
    </row>
    <row r="8" spans="1:6" x14ac:dyDescent="0.2">
      <c r="A8" s="1">
        <v>45483</v>
      </c>
      <c r="B8">
        <v>232.98</v>
      </c>
    </row>
    <row r="9" spans="1:6" x14ac:dyDescent="0.2">
      <c r="A9" s="1">
        <v>45484</v>
      </c>
      <c r="B9">
        <v>227.57</v>
      </c>
    </row>
    <row r="10" spans="1:6" x14ac:dyDescent="0.2">
      <c r="A10" s="1">
        <v>45485</v>
      </c>
      <c r="B10">
        <v>230.54</v>
      </c>
    </row>
    <row r="11" spans="1:6" x14ac:dyDescent="0.2">
      <c r="A11" s="1">
        <v>45488</v>
      </c>
      <c r="B11">
        <v>234.4</v>
      </c>
    </row>
    <row r="12" spans="1:6" x14ac:dyDescent="0.2">
      <c r="A12" s="1">
        <v>45489</v>
      </c>
      <c r="B12">
        <v>234.82</v>
      </c>
    </row>
    <row r="13" spans="1:6" x14ac:dyDescent="0.2">
      <c r="A13" s="1">
        <v>45490</v>
      </c>
      <c r="B13">
        <v>228.88</v>
      </c>
    </row>
    <row r="14" spans="1:6" x14ac:dyDescent="0.2">
      <c r="A14" s="1">
        <v>45491</v>
      </c>
      <c r="B14">
        <v>224.18</v>
      </c>
    </row>
    <row r="15" spans="1:6" x14ac:dyDescent="0.2">
      <c r="A15" s="1">
        <v>45492</v>
      </c>
      <c r="B15">
        <v>224.31</v>
      </c>
    </row>
    <row r="16" spans="1:6" x14ac:dyDescent="0.2">
      <c r="A16" s="1">
        <v>45495</v>
      </c>
      <c r="B16">
        <v>223.96</v>
      </c>
    </row>
    <row r="17" spans="1:6" x14ac:dyDescent="0.2">
      <c r="A17" s="1">
        <v>45496</v>
      </c>
      <c r="B17">
        <v>225.01</v>
      </c>
    </row>
    <row r="18" spans="1:6" x14ac:dyDescent="0.2">
      <c r="A18" s="1">
        <v>45497</v>
      </c>
      <c r="B18">
        <v>218.54</v>
      </c>
    </row>
    <row r="19" spans="1:6" x14ac:dyDescent="0.2">
      <c r="A19" s="1">
        <v>45498</v>
      </c>
      <c r="B19">
        <v>217.49</v>
      </c>
    </row>
    <row r="20" spans="1:6" x14ac:dyDescent="0.2">
      <c r="A20" s="1">
        <v>45499</v>
      </c>
      <c r="B20">
        <v>217.96</v>
      </c>
    </row>
    <row r="21" spans="1:6" x14ac:dyDescent="0.2">
      <c r="A21" s="1">
        <v>45502</v>
      </c>
      <c r="B21">
        <v>218.24</v>
      </c>
      <c r="C21" s="20">
        <f t="shared" ref="C21:C84" si="0">AVERAGE(B2:B21)</f>
        <v>225.0145</v>
      </c>
      <c r="D21" s="20">
        <f>_xlfn.STDEV.S(B2:B21)</f>
        <v>5.7219287096131062</v>
      </c>
      <c r="E21" s="20">
        <f t="shared" ref="E21:E84" si="1">C21+D21*2</f>
        <v>236.45835741922622</v>
      </c>
      <c r="F21" s="20">
        <f t="shared" ref="F21:F84" si="2">C21+D21*-2</f>
        <v>213.57064258077378</v>
      </c>
    </row>
    <row r="22" spans="1:6" x14ac:dyDescent="0.2">
      <c r="A22" s="1">
        <v>45503</v>
      </c>
      <c r="B22">
        <v>218.8</v>
      </c>
      <c r="C22" s="20">
        <f t="shared" si="0"/>
        <v>225.11700000000002</v>
      </c>
      <c r="D22" s="20">
        <f t="shared" ref="D22:D84" si="3">_xlfn.STDEV.S(B3:B22)</f>
        <v>5.5827592687336542</v>
      </c>
      <c r="E22" s="20">
        <f t="shared" si="1"/>
        <v>236.28251853746733</v>
      </c>
      <c r="F22" s="20">
        <f t="shared" si="2"/>
        <v>213.95148146253271</v>
      </c>
    </row>
    <row r="23" spans="1:6" x14ac:dyDescent="0.2">
      <c r="A23" s="1">
        <v>45504</v>
      </c>
      <c r="B23">
        <v>222.08</v>
      </c>
      <c r="C23" s="20">
        <f>AVERAGE(B4:B23)</f>
        <v>225.20749999999998</v>
      </c>
      <c r="D23" s="20">
        <f t="shared" si="3"/>
        <v>5.5143018597098905</v>
      </c>
      <c r="E23" s="20">
        <f t="shared" si="1"/>
        <v>236.23610371941976</v>
      </c>
      <c r="F23" s="20">
        <f t="shared" si="2"/>
        <v>214.1788962805802</v>
      </c>
    </row>
    <row r="24" spans="1:6" x14ac:dyDescent="0.2">
      <c r="A24" s="1">
        <v>45505</v>
      </c>
      <c r="B24">
        <v>218.36</v>
      </c>
      <c r="C24" s="20">
        <f t="shared" si="0"/>
        <v>225.04799999999994</v>
      </c>
      <c r="D24" s="20">
        <f t="shared" si="3"/>
        <v>5.6696102158790369</v>
      </c>
      <c r="E24" s="20">
        <f t="shared" si="1"/>
        <v>236.38722043175801</v>
      </c>
      <c r="F24" s="20">
        <f t="shared" si="2"/>
        <v>213.70877956824188</v>
      </c>
    </row>
    <row r="25" spans="1:6" x14ac:dyDescent="0.2">
      <c r="A25" s="1">
        <v>45506</v>
      </c>
      <c r="B25">
        <v>219.86</v>
      </c>
      <c r="C25" s="20">
        <f t="shared" si="0"/>
        <v>224.72399999999993</v>
      </c>
      <c r="D25" s="20">
        <f t="shared" si="3"/>
        <v>5.7760470912207715</v>
      </c>
      <c r="E25" s="20">
        <f t="shared" si="1"/>
        <v>236.27609418244148</v>
      </c>
      <c r="F25" s="20">
        <f t="shared" si="2"/>
        <v>213.17190581755838</v>
      </c>
    </row>
    <row r="26" spans="1:6" x14ac:dyDescent="0.2">
      <c r="A26" s="1">
        <v>45509</v>
      </c>
      <c r="B26">
        <v>209.27</v>
      </c>
      <c r="C26" s="20">
        <f t="shared" si="0"/>
        <v>223.79650000000001</v>
      </c>
      <c r="D26" s="20">
        <f t="shared" si="3"/>
        <v>6.6725180877670818</v>
      </c>
      <c r="E26" s="20">
        <f t="shared" si="1"/>
        <v>237.14153617553418</v>
      </c>
      <c r="F26" s="20">
        <f t="shared" si="2"/>
        <v>210.45146382446583</v>
      </c>
    </row>
    <row r="27" spans="1:6" x14ac:dyDescent="0.2">
      <c r="A27" s="1">
        <v>45510</v>
      </c>
      <c r="B27">
        <v>207.23</v>
      </c>
      <c r="C27" s="20">
        <f t="shared" si="0"/>
        <v>222.72399999999999</v>
      </c>
      <c r="D27" s="20">
        <f t="shared" si="3"/>
        <v>7.5167275914596283</v>
      </c>
      <c r="E27" s="20">
        <f t="shared" si="1"/>
        <v>237.75745518291924</v>
      </c>
      <c r="F27" s="20">
        <f t="shared" si="2"/>
        <v>207.69054481708073</v>
      </c>
    </row>
    <row r="28" spans="1:6" x14ac:dyDescent="0.2">
      <c r="A28" s="1">
        <v>45511</v>
      </c>
      <c r="B28">
        <v>209.82</v>
      </c>
      <c r="C28" s="20">
        <f t="shared" si="0"/>
        <v>221.56599999999997</v>
      </c>
      <c r="D28" s="20">
        <f t="shared" si="3"/>
        <v>7.6365846595947504</v>
      </c>
      <c r="E28" s="20">
        <f t="shared" si="1"/>
        <v>236.83916931918947</v>
      </c>
      <c r="F28" s="20">
        <f t="shared" si="2"/>
        <v>206.29283068081048</v>
      </c>
    </row>
    <row r="29" spans="1:6" x14ac:dyDescent="0.2">
      <c r="A29" s="1">
        <v>45512</v>
      </c>
      <c r="B29">
        <v>213.31</v>
      </c>
      <c r="C29" s="20">
        <f t="shared" si="0"/>
        <v>220.85300000000001</v>
      </c>
      <c r="D29" s="20">
        <f t="shared" si="3"/>
        <v>7.711840588546802</v>
      </c>
      <c r="E29" s="20">
        <f t="shared" si="1"/>
        <v>236.27668117709362</v>
      </c>
      <c r="F29" s="20">
        <f t="shared" si="2"/>
        <v>205.4293188229064</v>
      </c>
    </row>
    <row r="30" spans="1:6" x14ac:dyDescent="0.2">
      <c r="A30" s="1">
        <v>45513</v>
      </c>
      <c r="B30">
        <v>216.24</v>
      </c>
      <c r="C30" s="20">
        <f t="shared" si="0"/>
        <v>220.13800000000001</v>
      </c>
      <c r="D30" s="20">
        <f t="shared" si="3"/>
        <v>7.4239814825086672</v>
      </c>
      <c r="E30" s="20">
        <f t="shared" si="1"/>
        <v>234.98596296501734</v>
      </c>
      <c r="F30" s="20">
        <f t="shared" si="2"/>
        <v>205.29003703498267</v>
      </c>
    </row>
    <row r="31" spans="1:6" x14ac:dyDescent="0.2">
      <c r="A31" s="1">
        <v>45516</v>
      </c>
      <c r="B31">
        <v>217.53</v>
      </c>
      <c r="C31" s="20">
        <f t="shared" si="0"/>
        <v>219.29450000000003</v>
      </c>
      <c r="D31" s="20">
        <f t="shared" si="3"/>
        <v>6.6346843616669036</v>
      </c>
      <c r="E31" s="20">
        <f t="shared" si="1"/>
        <v>232.56386872333383</v>
      </c>
      <c r="F31" s="20">
        <f t="shared" si="2"/>
        <v>206.02513127666623</v>
      </c>
    </row>
    <row r="32" spans="1:6" x14ac:dyDescent="0.2">
      <c r="A32" s="1">
        <v>45517</v>
      </c>
      <c r="B32">
        <v>221.27</v>
      </c>
      <c r="C32" s="20">
        <f t="shared" si="0"/>
        <v>218.61700000000005</v>
      </c>
      <c r="D32" s="20">
        <f t="shared" si="3"/>
        <v>5.5726919697282478</v>
      </c>
      <c r="E32" s="20">
        <f t="shared" si="1"/>
        <v>229.76238393945656</v>
      </c>
      <c r="F32" s="20">
        <f t="shared" si="2"/>
        <v>207.47161606054354</v>
      </c>
    </row>
    <row r="33" spans="1:6" x14ac:dyDescent="0.2">
      <c r="A33" s="1">
        <v>45518</v>
      </c>
      <c r="B33">
        <v>221.72</v>
      </c>
      <c r="C33" s="20">
        <f t="shared" si="0"/>
        <v>218.25900000000007</v>
      </c>
      <c r="D33" s="20">
        <f t="shared" si="3"/>
        <v>5.0875450599323564</v>
      </c>
      <c r="E33" s="20">
        <f t="shared" si="1"/>
        <v>228.43409011986478</v>
      </c>
      <c r="F33" s="20">
        <f t="shared" si="2"/>
        <v>208.08390988013537</v>
      </c>
    </row>
    <row r="34" spans="1:6" x14ac:dyDescent="0.2">
      <c r="A34" s="1">
        <v>45519</v>
      </c>
      <c r="B34">
        <v>224.72</v>
      </c>
      <c r="C34" s="20">
        <f t="shared" si="0"/>
        <v>218.28600000000006</v>
      </c>
      <c r="D34" s="20">
        <f t="shared" si="3"/>
        <v>5.1219387776607865</v>
      </c>
      <c r="E34" s="20">
        <f t="shared" si="1"/>
        <v>228.52987755532163</v>
      </c>
      <c r="F34" s="20">
        <f t="shared" si="2"/>
        <v>208.04212244467848</v>
      </c>
    </row>
    <row r="35" spans="1:6" x14ac:dyDescent="0.2">
      <c r="A35" s="1">
        <v>45520</v>
      </c>
      <c r="B35">
        <v>226.05</v>
      </c>
      <c r="C35" s="20">
        <f t="shared" si="0"/>
        <v>218.37299999999999</v>
      </c>
      <c r="D35" s="20">
        <f t="shared" si="3"/>
        <v>5.2429934197936978</v>
      </c>
      <c r="E35" s="20">
        <f t="shared" si="1"/>
        <v>228.85898683958737</v>
      </c>
      <c r="F35" s="20">
        <f t="shared" si="2"/>
        <v>207.88701316041261</v>
      </c>
    </row>
    <row r="36" spans="1:6" x14ac:dyDescent="0.2">
      <c r="A36" s="1">
        <v>45523</v>
      </c>
      <c r="B36">
        <v>225.89</v>
      </c>
      <c r="C36" s="20">
        <f t="shared" si="0"/>
        <v>218.46950000000001</v>
      </c>
      <c r="D36" s="20">
        <f t="shared" si="3"/>
        <v>5.3675197398700583</v>
      </c>
      <c r="E36" s="20">
        <f t="shared" si="1"/>
        <v>229.20453947974013</v>
      </c>
      <c r="F36" s="20">
        <f t="shared" si="2"/>
        <v>207.73446052025989</v>
      </c>
    </row>
    <row r="37" spans="1:6" x14ac:dyDescent="0.2">
      <c r="A37" s="1">
        <v>45524</v>
      </c>
      <c r="B37">
        <v>226.51</v>
      </c>
      <c r="C37" s="20">
        <f t="shared" si="0"/>
        <v>218.54450000000003</v>
      </c>
      <c r="D37" s="20">
        <f t="shared" si="3"/>
        <v>5.4731598445697278</v>
      </c>
      <c r="E37" s="20">
        <f t="shared" si="1"/>
        <v>229.49081968913947</v>
      </c>
      <c r="F37" s="20">
        <f t="shared" si="2"/>
        <v>207.59818031086058</v>
      </c>
    </row>
    <row r="38" spans="1:6" x14ac:dyDescent="0.2">
      <c r="A38" s="1">
        <v>45525</v>
      </c>
      <c r="B38">
        <v>226.4</v>
      </c>
      <c r="C38" s="20">
        <f t="shared" si="0"/>
        <v>218.93749999999994</v>
      </c>
      <c r="D38" s="20">
        <f t="shared" si="3"/>
        <v>5.7481071255079961</v>
      </c>
      <c r="E38" s="20">
        <f t="shared" si="1"/>
        <v>230.43371425101594</v>
      </c>
      <c r="F38" s="20">
        <f t="shared" si="2"/>
        <v>207.44128574898394</v>
      </c>
    </row>
    <row r="39" spans="1:6" x14ac:dyDescent="0.2">
      <c r="A39" s="1">
        <v>45526</v>
      </c>
      <c r="B39">
        <v>224.53</v>
      </c>
      <c r="C39" s="20">
        <f t="shared" si="0"/>
        <v>219.28949999999995</v>
      </c>
      <c r="D39" s="20">
        <f t="shared" si="3"/>
        <v>5.8690835606681615</v>
      </c>
      <c r="E39" s="20">
        <f t="shared" si="1"/>
        <v>231.02766712133626</v>
      </c>
      <c r="F39" s="20">
        <f t="shared" si="2"/>
        <v>207.55133287866363</v>
      </c>
    </row>
    <row r="40" spans="1:6" x14ac:dyDescent="0.2">
      <c r="A40" s="1">
        <v>45527</v>
      </c>
      <c r="B40">
        <v>226.84</v>
      </c>
      <c r="C40" s="20">
        <f t="shared" si="0"/>
        <v>219.73349999999999</v>
      </c>
      <c r="D40" s="20">
        <f t="shared" si="3"/>
        <v>6.0947624408607037</v>
      </c>
      <c r="E40" s="20">
        <f t="shared" si="1"/>
        <v>231.9230248817214</v>
      </c>
      <c r="F40" s="20">
        <f t="shared" si="2"/>
        <v>207.54397511827858</v>
      </c>
    </row>
    <row r="41" spans="1:6" x14ac:dyDescent="0.2">
      <c r="A41" s="1">
        <v>45530</v>
      </c>
      <c r="B41">
        <v>227.18</v>
      </c>
      <c r="C41" s="20">
        <f t="shared" si="0"/>
        <v>220.18050000000002</v>
      </c>
      <c r="D41" s="20">
        <f t="shared" si="3"/>
        <v>6.3037169277548593</v>
      </c>
      <c r="E41" s="20">
        <f t="shared" si="1"/>
        <v>232.78793385550975</v>
      </c>
      <c r="F41" s="20">
        <f t="shared" si="2"/>
        <v>207.5730661444903</v>
      </c>
    </row>
    <row r="42" spans="1:6" x14ac:dyDescent="0.2">
      <c r="A42" s="1">
        <v>45531</v>
      </c>
      <c r="B42">
        <v>228.03</v>
      </c>
      <c r="C42" s="20">
        <f t="shared" si="0"/>
        <v>220.642</v>
      </c>
      <c r="D42" s="20">
        <f t="shared" si="3"/>
        <v>6.5310969498562086</v>
      </c>
      <c r="E42" s="20">
        <f t="shared" si="1"/>
        <v>233.70419389971241</v>
      </c>
      <c r="F42" s="20">
        <f t="shared" si="2"/>
        <v>207.57980610028758</v>
      </c>
    </row>
    <row r="43" spans="1:6" x14ac:dyDescent="0.2">
      <c r="A43" s="1">
        <v>45532</v>
      </c>
      <c r="B43">
        <v>226.49</v>
      </c>
      <c r="C43" s="20">
        <f t="shared" si="0"/>
        <v>220.86250000000001</v>
      </c>
      <c r="D43" s="20">
        <f t="shared" si="3"/>
        <v>6.6554614494611251</v>
      </c>
      <c r="E43" s="20">
        <f t="shared" si="1"/>
        <v>234.17342289892227</v>
      </c>
      <c r="F43" s="20">
        <f t="shared" si="2"/>
        <v>207.55157710107775</v>
      </c>
    </row>
    <row r="44" spans="1:6" x14ac:dyDescent="0.2">
      <c r="A44" s="1">
        <v>45533</v>
      </c>
      <c r="B44">
        <v>229.79</v>
      </c>
      <c r="C44" s="20">
        <f t="shared" si="0"/>
        <v>221.43400000000003</v>
      </c>
      <c r="D44" s="20">
        <f t="shared" si="3"/>
        <v>6.9149482625457308</v>
      </c>
      <c r="E44" s="20">
        <f t="shared" si="1"/>
        <v>235.2638965250915</v>
      </c>
      <c r="F44" s="20">
        <f t="shared" si="2"/>
        <v>207.60410347490856</v>
      </c>
    </row>
    <row r="45" spans="1:6" x14ac:dyDescent="0.2">
      <c r="A45" s="1">
        <v>45534</v>
      </c>
      <c r="B45">
        <v>229</v>
      </c>
      <c r="C45" s="20">
        <f t="shared" si="0"/>
        <v>221.89099999999999</v>
      </c>
      <c r="D45" s="20">
        <f t="shared" si="3"/>
        <v>7.1048670493876012</v>
      </c>
      <c r="E45" s="20">
        <f t="shared" si="1"/>
        <v>236.10073409877521</v>
      </c>
      <c r="F45" s="20">
        <f t="shared" si="2"/>
        <v>207.68126590122478</v>
      </c>
    </row>
    <row r="46" spans="1:6" x14ac:dyDescent="0.2">
      <c r="A46" s="1">
        <v>45538</v>
      </c>
      <c r="B46">
        <v>222.77</v>
      </c>
      <c r="C46" s="20">
        <f t="shared" si="0"/>
        <v>222.56600000000003</v>
      </c>
      <c r="D46" s="20">
        <f t="shared" si="3"/>
        <v>6.4541870538678845</v>
      </c>
      <c r="E46" s="20">
        <f t="shared" si="1"/>
        <v>235.4743741077358</v>
      </c>
      <c r="F46" s="20">
        <f t="shared" si="2"/>
        <v>209.65762589226426</v>
      </c>
    </row>
    <row r="47" spans="1:6" x14ac:dyDescent="0.2">
      <c r="A47" s="1">
        <v>45539</v>
      </c>
      <c r="B47">
        <v>220.85</v>
      </c>
      <c r="C47" s="20">
        <f t="shared" si="0"/>
        <v>223.24700000000007</v>
      </c>
      <c r="D47" s="20">
        <f t="shared" si="3"/>
        <v>5.3800343375934139</v>
      </c>
      <c r="E47" s="20">
        <f t="shared" si="1"/>
        <v>234.0070686751869</v>
      </c>
      <c r="F47" s="20">
        <f t="shared" si="2"/>
        <v>212.48693132481324</v>
      </c>
    </row>
    <row r="48" spans="1:6" x14ac:dyDescent="0.2">
      <c r="A48" s="1">
        <v>45540</v>
      </c>
      <c r="B48">
        <v>222.38</v>
      </c>
      <c r="C48" s="20">
        <f t="shared" si="0"/>
        <v>223.875</v>
      </c>
      <c r="D48" s="20">
        <f t="shared" si="3"/>
        <v>4.3681279863647706</v>
      </c>
      <c r="E48" s="20">
        <f t="shared" si="1"/>
        <v>232.61125597272954</v>
      </c>
      <c r="F48" s="20">
        <f t="shared" si="2"/>
        <v>215.13874402727046</v>
      </c>
    </row>
    <row r="49" spans="1:6" x14ac:dyDescent="0.2">
      <c r="A49" s="1">
        <v>45541</v>
      </c>
      <c r="B49">
        <v>220.82</v>
      </c>
      <c r="C49" s="20">
        <f t="shared" si="0"/>
        <v>224.25050000000002</v>
      </c>
      <c r="D49" s="20">
        <f t="shared" si="3"/>
        <v>3.6808472637352612</v>
      </c>
      <c r="E49" s="20">
        <f t="shared" si="1"/>
        <v>231.61219452747054</v>
      </c>
      <c r="F49" s="20">
        <f t="shared" si="2"/>
        <v>216.8888054725295</v>
      </c>
    </row>
    <row r="50" spans="1:6" x14ac:dyDescent="0.2">
      <c r="A50" s="1">
        <v>45544</v>
      </c>
      <c r="B50">
        <v>220.91</v>
      </c>
      <c r="C50" s="20">
        <f t="shared" si="0"/>
        <v>224.48399999999998</v>
      </c>
      <c r="D50" s="20">
        <f t="shared" si="3"/>
        <v>3.2712823817354306</v>
      </c>
      <c r="E50" s="20">
        <f t="shared" si="1"/>
        <v>231.02656476347084</v>
      </c>
      <c r="F50" s="20">
        <f t="shared" si="2"/>
        <v>217.94143523652912</v>
      </c>
    </row>
    <row r="51" spans="1:6" x14ac:dyDescent="0.2">
      <c r="A51" s="1">
        <v>45545</v>
      </c>
      <c r="B51">
        <v>220.11</v>
      </c>
      <c r="C51" s="20">
        <f t="shared" si="0"/>
        <v>224.613</v>
      </c>
      <c r="D51" s="20">
        <f t="shared" si="3"/>
        <v>3.0241607796300491</v>
      </c>
      <c r="E51" s="20">
        <f t="shared" si="1"/>
        <v>230.6613215592601</v>
      </c>
      <c r="F51" s="20">
        <f t="shared" si="2"/>
        <v>218.5646784407399</v>
      </c>
    </row>
    <row r="52" spans="1:6" x14ac:dyDescent="0.2">
      <c r="A52" s="1">
        <v>45546</v>
      </c>
      <c r="B52">
        <v>222.66</v>
      </c>
      <c r="C52" s="20">
        <f t="shared" si="0"/>
        <v>224.68249999999998</v>
      </c>
      <c r="D52" s="20">
        <f t="shared" si="3"/>
        <v>2.9585502762065925</v>
      </c>
      <c r="E52" s="20">
        <f t="shared" si="1"/>
        <v>230.59960055241316</v>
      </c>
      <c r="F52" s="20">
        <f t="shared" si="2"/>
        <v>218.76539944758679</v>
      </c>
    </row>
    <row r="53" spans="1:6" x14ac:dyDescent="0.2">
      <c r="A53" s="1">
        <v>45547</v>
      </c>
      <c r="B53">
        <v>222.77</v>
      </c>
      <c r="C53" s="20">
        <f t="shared" si="0"/>
        <v>224.73500000000004</v>
      </c>
      <c r="D53" s="20">
        <f t="shared" si="3"/>
        <v>2.9121659510261062</v>
      </c>
      <c r="E53" s="20">
        <f t="shared" si="1"/>
        <v>230.55933190205226</v>
      </c>
      <c r="F53" s="20">
        <f t="shared" si="2"/>
        <v>218.91066809794782</v>
      </c>
    </row>
    <row r="54" spans="1:6" x14ac:dyDescent="0.2">
      <c r="A54" s="1">
        <v>45548</v>
      </c>
      <c r="B54">
        <v>222.5</v>
      </c>
      <c r="C54" s="20">
        <f t="shared" si="0"/>
        <v>224.62400000000002</v>
      </c>
      <c r="D54" s="20">
        <f t="shared" si="3"/>
        <v>2.9547649296473115</v>
      </c>
      <c r="E54" s="20">
        <f t="shared" si="1"/>
        <v>230.53352985929465</v>
      </c>
      <c r="F54" s="20">
        <f t="shared" si="2"/>
        <v>218.7144701407054</v>
      </c>
    </row>
    <row r="55" spans="1:6" x14ac:dyDescent="0.2">
      <c r="A55" s="1">
        <v>45551</v>
      </c>
      <c r="B55">
        <v>216.32</v>
      </c>
      <c r="C55" s="20">
        <f t="shared" si="0"/>
        <v>224.13749999999999</v>
      </c>
      <c r="D55" s="20">
        <f t="shared" si="3"/>
        <v>3.4646437881761196</v>
      </c>
      <c r="E55" s="20">
        <f t="shared" si="1"/>
        <v>231.06678757635223</v>
      </c>
      <c r="F55" s="20">
        <f t="shared" si="2"/>
        <v>217.20821242364775</v>
      </c>
    </row>
    <row r="56" spans="1:6" x14ac:dyDescent="0.2">
      <c r="A56" s="1">
        <v>45552</v>
      </c>
      <c r="B56">
        <v>216.79</v>
      </c>
      <c r="C56" s="20">
        <f t="shared" si="0"/>
        <v>223.68249999999998</v>
      </c>
      <c r="D56" s="20">
        <f t="shared" si="3"/>
        <v>3.8033598373847814</v>
      </c>
      <c r="E56" s="20">
        <f t="shared" si="1"/>
        <v>231.28921967476953</v>
      </c>
      <c r="F56" s="20">
        <f t="shared" si="2"/>
        <v>216.07578032523043</v>
      </c>
    </row>
    <row r="57" spans="1:6" x14ac:dyDescent="0.2">
      <c r="A57" s="1">
        <v>45553</v>
      </c>
      <c r="B57">
        <v>220.69</v>
      </c>
      <c r="C57" s="20">
        <f t="shared" si="0"/>
        <v>223.39150000000001</v>
      </c>
      <c r="D57" s="20">
        <f t="shared" si="3"/>
        <v>3.798282541249125</v>
      </c>
      <c r="E57" s="20">
        <f t="shared" si="1"/>
        <v>230.98806508249825</v>
      </c>
      <c r="F57" s="20">
        <f t="shared" si="2"/>
        <v>215.79493491750176</v>
      </c>
    </row>
    <row r="58" spans="1:6" x14ac:dyDescent="0.2">
      <c r="A58" s="1">
        <v>45554</v>
      </c>
      <c r="B58">
        <v>228.87</v>
      </c>
      <c r="C58" s="20">
        <f t="shared" si="0"/>
        <v>223.51499999999996</v>
      </c>
      <c r="D58" s="20">
        <f t="shared" si="3"/>
        <v>3.9388075940769061</v>
      </c>
      <c r="E58" s="20">
        <f t="shared" si="1"/>
        <v>231.39261518815377</v>
      </c>
      <c r="F58" s="20">
        <f t="shared" si="2"/>
        <v>215.63738481184615</v>
      </c>
    </row>
    <row r="59" spans="1:6" x14ac:dyDescent="0.2">
      <c r="A59" s="1">
        <v>45555</v>
      </c>
      <c r="B59">
        <v>228.2</v>
      </c>
      <c r="C59" s="20">
        <f t="shared" si="0"/>
        <v>223.69850000000002</v>
      </c>
      <c r="D59" s="20">
        <f t="shared" si="3"/>
        <v>4.0718252405369384</v>
      </c>
      <c r="E59" s="20">
        <f t="shared" si="1"/>
        <v>231.8421504810739</v>
      </c>
      <c r="F59" s="20">
        <f t="shared" si="2"/>
        <v>215.55484951892615</v>
      </c>
    </row>
    <row r="60" spans="1:6" x14ac:dyDescent="0.2">
      <c r="A60" s="1">
        <v>45558</v>
      </c>
      <c r="B60">
        <v>226.47</v>
      </c>
      <c r="C60" s="20">
        <f t="shared" si="0"/>
        <v>223.68</v>
      </c>
      <c r="D60" s="20">
        <f t="shared" si="3"/>
        <v>4.0576166195907364</v>
      </c>
      <c r="E60" s="20">
        <f t="shared" si="1"/>
        <v>231.79523323918147</v>
      </c>
      <c r="F60" s="20">
        <f t="shared" si="2"/>
        <v>215.56476676081854</v>
      </c>
    </row>
    <row r="61" spans="1:6" x14ac:dyDescent="0.2">
      <c r="A61" s="1">
        <v>45559</v>
      </c>
      <c r="B61">
        <v>227.37</v>
      </c>
      <c r="C61" s="20">
        <f t="shared" si="0"/>
        <v>223.68950000000001</v>
      </c>
      <c r="D61" s="20">
        <f t="shared" si="3"/>
        <v>4.0664551677817569</v>
      </c>
      <c r="E61" s="20">
        <f t="shared" si="1"/>
        <v>231.82241033556352</v>
      </c>
      <c r="F61" s="20">
        <f t="shared" si="2"/>
        <v>215.5565896644365</v>
      </c>
    </row>
    <row r="62" spans="1:6" x14ac:dyDescent="0.2">
      <c r="A62" s="1">
        <v>45560</v>
      </c>
      <c r="B62">
        <v>226.37</v>
      </c>
      <c r="C62" s="20">
        <f t="shared" si="0"/>
        <v>223.60649999999995</v>
      </c>
      <c r="D62" s="20">
        <f t="shared" si="3"/>
        <v>3.9894100276132383</v>
      </c>
      <c r="E62" s="20">
        <f t="shared" si="1"/>
        <v>231.58532005522642</v>
      </c>
      <c r="F62" s="20">
        <f t="shared" si="2"/>
        <v>215.62767994477349</v>
      </c>
    </row>
    <row r="63" spans="1:6" x14ac:dyDescent="0.2">
      <c r="A63" s="1">
        <v>45561</v>
      </c>
      <c r="B63">
        <v>227.52</v>
      </c>
      <c r="C63" s="20">
        <f t="shared" si="0"/>
        <v>223.65800000000004</v>
      </c>
      <c r="D63" s="20">
        <f t="shared" si="3"/>
        <v>4.0349807277958858</v>
      </c>
      <c r="E63" s="20">
        <f t="shared" si="1"/>
        <v>231.72796145559181</v>
      </c>
      <c r="F63" s="20">
        <f t="shared" si="2"/>
        <v>215.58803854440828</v>
      </c>
    </row>
    <row r="64" spans="1:6" x14ac:dyDescent="0.2">
      <c r="A64" s="1">
        <v>45562</v>
      </c>
      <c r="B64">
        <v>227.79</v>
      </c>
      <c r="C64" s="20">
        <f t="shared" si="0"/>
        <v>223.55799999999999</v>
      </c>
      <c r="D64" s="20">
        <f t="shared" si="3"/>
        <v>3.8974507187728706</v>
      </c>
      <c r="E64" s="20">
        <f t="shared" si="1"/>
        <v>231.35290143754574</v>
      </c>
      <c r="F64" s="20">
        <f t="shared" si="2"/>
        <v>215.76309856245425</v>
      </c>
    </row>
    <row r="65" spans="1:6" x14ac:dyDescent="0.2">
      <c r="A65" s="1">
        <v>45565</v>
      </c>
      <c r="B65">
        <v>233</v>
      </c>
      <c r="C65" s="20">
        <f t="shared" si="0"/>
        <v>223.75799999999998</v>
      </c>
      <c r="D65" s="20">
        <f t="shared" si="3"/>
        <v>4.2756859714338002</v>
      </c>
      <c r="E65" s="20">
        <f t="shared" si="1"/>
        <v>232.30937194286759</v>
      </c>
      <c r="F65" s="20">
        <f t="shared" si="2"/>
        <v>215.20662805713238</v>
      </c>
    </row>
    <row r="66" spans="1:6" x14ac:dyDescent="0.2">
      <c r="A66" s="1">
        <v>45566</v>
      </c>
      <c r="B66">
        <v>226.21</v>
      </c>
      <c r="C66" s="20">
        <f t="shared" si="0"/>
        <v>223.92999999999998</v>
      </c>
      <c r="D66" s="20">
        <f t="shared" si="3"/>
        <v>4.3029536979051732</v>
      </c>
      <c r="E66" s="20">
        <f t="shared" si="1"/>
        <v>232.53590739581031</v>
      </c>
      <c r="F66" s="20">
        <f t="shared" si="2"/>
        <v>215.32409260418964</v>
      </c>
    </row>
    <row r="67" spans="1:6" x14ac:dyDescent="0.2">
      <c r="A67" s="1">
        <v>45567</v>
      </c>
      <c r="B67">
        <v>226.78</v>
      </c>
      <c r="C67" s="20">
        <f t="shared" si="0"/>
        <v>224.22649999999993</v>
      </c>
      <c r="D67" s="20">
        <f t="shared" si="3"/>
        <v>4.2838168851227953</v>
      </c>
      <c r="E67" s="20">
        <f t="shared" si="1"/>
        <v>232.79413377024551</v>
      </c>
      <c r="F67" s="20">
        <f t="shared" si="2"/>
        <v>215.65886622975435</v>
      </c>
    </row>
    <row r="68" spans="1:6" x14ac:dyDescent="0.2">
      <c r="A68" s="1">
        <v>45568</v>
      </c>
      <c r="B68">
        <v>225.67</v>
      </c>
      <c r="C68" s="20">
        <f t="shared" si="0"/>
        <v>224.39099999999999</v>
      </c>
      <c r="D68" s="20">
        <f t="shared" si="3"/>
        <v>4.2723319159447346</v>
      </c>
      <c r="E68" s="20">
        <f t="shared" si="1"/>
        <v>232.93566383188946</v>
      </c>
      <c r="F68" s="20">
        <f t="shared" si="2"/>
        <v>215.84633616811053</v>
      </c>
    </row>
    <row r="69" spans="1:6" x14ac:dyDescent="0.2">
      <c r="A69" s="1">
        <v>45569</v>
      </c>
      <c r="B69">
        <v>226.8</v>
      </c>
      <c r="C69" s="20">
        <f t="shared" si="0"/>
        <v>224.68999999999997</v>
      </c>
      <c r="D69" s="20">
        <f t="shared" si="3"/>
        <v>4.2181737130758652</v>
      </c>
      <c r="E69" s="20">
        <f t="shared" si="1"/>
        <v>233.12634742615171</v>
      </c>
      <c r="F69" s="20">
        <f t="shared" si="2"/>
        <v>216.25365257384823</v>
      </c>
    </row>
    <row r="70" spans="1:6" x14ac:dyDescent="0.2">
      <c r="A70" s="1">
        <v>45572</v>
      </c>
      <c r="B70">
        <v>221.69</v>
      </c>
      <c r="C70" s="20">
        <f t="shared" si="0"/>
        <v>224.72899999999998</v>
      </c>
      <c r="D70" s="20">
        <f t="shared" si="3"/>
        <v>4.1848598039775933</v>
      </c>
      <c r="E70" s="20">
        <f t="shared" si="1"/>
        <v>233.09871960795516</v>
      </c>
      <c r="F70" s="20">
        <f t="shared" si="2"/>
        <v>216.35928039204481</v>
      </c>
    </row>
    <row r="71" spans="1:6" x14ac:dyDescent="0.2">
      <c r="A71" s="1">
        <v>45573</v>
      </c>
      <c r="B71">
        <v>225.77</v>
      </c>
      <c r="C71" s="20">
        <f t="shared" si="0"/>
        <v>225.01200000000003</v>
      </c>
      <c r="D71" s="20">
        <f t="shared" si="3"/>
        <v>4.0451056846515163</v>
      </c>
      <c r="E71" s="20">
        <f t="shared" si="1"/>
        <v>233.10221136930306</v>
      </c>
      <c r="F71" s="20">
        <f t="shared" si="2"/>
        <v>216.92178863069699</v>
      </c>
    </row>
    <row r="72" spans="1:6" x14ac:dyDescent="0.2">
      <c r="A72" s="1">
        <v>45574</v>
      </c>
      <c r="B72">
        <v>229.54</v>
      </c>
      <c r="C72" s="20">
        <f t="shared" si="0"/>
        <v>225.35600000000005</v>
      </c>
      <c r="D72" s="20">
        <f t="shared" si="3"/>
        <v>4.1262885068915471</v>
      </c>
      <c r="E72" s="20">
        <f t="shared" si="1"/>
        <v>233.60857701378313</v>
      </c>
      <c r="F72" s="20">
        <f t="shared" si="2"/>
        <v>217.10342298621697</v>
      </c>
    </row>
    <row r="73" spans="1:6" x14ac:dyDescent="0.2">
      <c r="A73" s="1">
        <v>45575</v>
      </c>
      <c r="B73">
        <v>229.04</v>
      </c>
      <c r="C73" s="20">
        <f t="shared" si="0"/>
        <v>225.66950000000003</v>
      </c>
      <c r="D73" s="20">
        <f t="shared" si="3"/>
        <v>4.157540359648392</v>
      </c>
      <c r="E73" s="20">
        <f t="shared" si="1"/>
        <v>233.98458071929682</v>
      </c>
      <c r="F73" s="20">
        <f t="shared" si="2"/>
        <v>217.35441928070324</v>
      </c>
    </row>
    <row r="74" spans="1:6" x14ac:dyDescent="0.2">
      <c r="A74" s="1">
        <v>45576</v>
      </c>
      <c r="B74">
        <v>227.55</v>
      </c>
      <c r="C74" s="20">
        <f t="shared" si="0"/>
        <v>225.92200000000003</v>
      </c>
      <c r="D74" s="20">
        <f t="shared" si="3"/>
        <v>4.1079711985870917</v>
      </c>
      <c r="E74" s="20">
        <f t="shared" si="1"/>
        <v>234.13794239717421</v>
      </c>
      <c r="F74" s="20">
        <f t="shared" si="2"/>
        <v>217.70605760282584</v>
      </c>
    </row>
    <row r="75" spans="1:6" x14ac:dyDescent="0.2">
      <c r="A75" s="1">
        <v>45579</v>
      </c>
      <c r="B75">
        <v>231.3</v>
      </c>
      <c r="C75" s="20">
        <f t="shared" si="0"/>
        <v>226.67099999999999</v>
      </c>
      <c r="D75" s="20">
        <f t="shared" si="3"/>
        <v>3.5992512379221626</v>
      </c>
      <c r="E75" s="20">
        <f t="shared" si="1"/>
        <v>233.86950247584431</v>
      </c>
      <c r="F75" s="20">
        <f t="shared" si="2"/>
        <v>219.47249752415567</v>
      </c>
    </row>
    <row r="76" spans="1:6" x14ac:dyDescent="0.2">
      <c r="A76" s="1">
        <v>45580</v>
      </c>
      <c r="B76">
        <v>233.85</v>
      </c>
      <c r="C76" s="20">
        <f t="shared" si="0"/>
        <v>227.52400000000003</v>
      </c>
      <c r="D76" s="20">
        <f t="shared" si="3"/>
        <v>3.124514951830208</v>
      </c>
      <c r="E76" s="20">
        <f t="shared" si="1"/>
        <v>233.77302990366044</v>
      </c>
      <c r="F76" s="20">
        <f t="shared" si="2"/>
        <v>221.27497009633962</v>
      </c>
    </row>
    <row r="77" spans="1:6" x14ac:dyDescent="0.2">
      <c r="A77" s="1">
        <v>45581</v>
      </c>
      <c r="B77">
        <v>231.78</v>
      </c>
      <c r="C77" s="20">
        <f t="shared" si="0"/>
        <v>228.07850000000002</v>
      </c>
      <c r="D77" s="20">
        <f t="shared" si="3"/>
        <v>2.8167717150555238</v>
      </c>
      <c r="E77" s="20">
        <f t="shared" si="1"/>
        <v>233.71204343011107</v>
      </c>
      <c r="F77" s="20">
        <f t="shared" si="2"/>
        <v>222.44495656988897</v>
      </c>
    </row>
    <row r="78" spans="1:6" x14ac:dyDescent="0.2">
      <c r="A78" s="1">
        <v>45582</v>
      </c>
      <c r="B78">
        <v>232.15</v>
      </c>
      <c r="C78" s="20">
        <f t="shared" si="0"/>
        <v>228.24250000000001</v>
      </c>
      <c r="D78" s="20">
        <f t="shared" si="3"/>
        <v>2.957262024949856</v>
      </c>
      <c r="E78" s="20">
        <f t="shared" si="1"/>
        <v>234.15702404989972</v>
      </c>
      <c r="F78" s="20">
        <f t="shared" si="2"/>
        <v>222.3279759501003</v>
      </c>
    </row>
    <row r="79" spans="1:6" x14ac:dyDescent="0.2">
      <c r="A79" s="1">
        <v>45583</v>
      </c>
      <c r="B79">
        <v>235</v>
      </c>
      <c r="C79" s="20">
        <f t="shared" si="0"/>
        <v>228.58249999999998</v>
      </c>
      <c r="D79" s="20">
        <f t="shared" si="3"/>
        <v>3.3206893307834364</v>
      </c>
      <c r="E79" s="20">
        <f t="shared" si="1"/>
        <v>235.22387866156686</v>
      </c>
      <c r="F79" s="20">
        <f t="shared" si="2"/>
        <v>221.94112133843311</v>
      </c>
    </row>
    <row r="80" spans="1:6" x14ac:dyDescent="0.2">
      <c r="A80" s="1">
        <v>45586</v>
      </c>
      <c r="B80">
        <v>236.48</v>
      </c>
      <c r="C80" s="20">
        <f t="shared" si="0"/>
        <v>229.083</v>
      </c>
      <c r="D80" s="20">
        <f t="shared" si="3"/>
        <v>3.7163254347328212</v>
      </c>
      <c r="E80" s="20">
        <f t="shared" si="1"/>
        <v>236.51565086946565</v>
      </c>
      <c r="F80" s="20">
        <f t="shared" si="2"/>
        <v>221.65034913053435</v>
      </c>
    </row>
    <row r="81" spans="1:6" x14ac:dyDescent="0.2">
      <c r="A81" s="1">
        <v>45587</v>
      </c>
      <c r="B81">
        <v>235.86</v>
      </c>
      <c r="C81" s="20">
        <f t="shared" si="0"/>
        <v>229.50749999999999</v>
      </c>
      <c r="D81" s="20">
        <f t="shared" si="3"/>
        <v>3.9854985490162362</v>
      </c>
      <c r="E81" s="20">
        <f t="shared" si="1"/>
        <v>237.47849709803248</v>
      </c>
      <c r="F81" s="20">
        <f t="shared" si="2"/>
        <v>221.53650290196751</v>
      </c>
    </row>
    <row r="82" spans="1:6" x14ac:dyDescent="0.2">
      <c r="A82" s="1">
        <v>45588</v>
      </c>
      <c r="B82">
        <v>230.76</v>
      </c>
      <c r="C82" s="20">
        <f t="shared" si="0"/>
        <v>229.727</v>
      </c>
      <c r="D82" s="20">
        <f t="shared" si="3"/>
        <v>3.9240219700012675</v>
      </c>
      <c r="E82" s="20">
        <f t="shared" si="1"/>
        <v>237.57504394000253</v>
      </c>
      <c r="F82" s="20">
        <f t="shared" si="2"/>
        <v>221.87895605999748</v>
      </c>
    </row>
    <row r="83" spans="1:6" x14ac:dyDescent="0.2">
      <c r="A83" s="1">
        <v>45589</v>
      </c>
      <c r="B83">
        <v>230.57</v>
      </c>
      <c r="C83" s="20">
        <f t="shared" si="0"/>
        <v>229.87950000000001</v>
      </c>
      <c r="D83" s="20">
        <f t="shared" si="3"/>
        <v>3.8928794308529371</v>
      </c>
      <c r="E83" s="20">
        <f t="shared" si="1"/>
        <v>237.66525886170589</v>
      </c>
      <c r="F83" s="20">
        <f t="shared" si="2"/>
        <v>222.09374113829412</v>
      </c>
    </row>
    <row r="84" spans="1:6" x14ac:dyDescent="0.2">
      <c r="A84" s="1">
        <v>45590</v>
      </c>
      <c r="B84">
        <v>231.41</v>
      </c>
      <c r="C84" s="20">
        <f t="shared" si="0"/>
        <v>230.06049999999999</v>
      </c>
      <c r="D84" s="20">
        <f t="shared" si="3"/>
        <v>3.8747284794516479</v>
      </c>
      <c r="E84" s="20">
        <f t="shared" si="1"/>
        <v>237.80995695890329</v>
      </c>
      <c r="F84" s="20">
        <f t="shared" si="2"/>
        <v>222.3110430410967</v>
      </c>
    </row>
    <row r="85" spans="1:6" x14ac:dyDescent="0.2">
      <c r="A85" s="1">
        <v>45593</v>
      </c>
      <c r="B85">
        <v>233.4</v>
      </c>
      <c r="C85" s="20">
        <f t="shared" ref="C85:C148" si="4">AVERAGE(B66:B85)</f>
        <v>230.08049999999997</v>
      </c>
      <c r="D85" s="20">
        <f t="shared" ref="D85:D148" si="5">_xlfn.STDEV.S(B66:B85)</f>
        <v>3.8916949020351419</v>
      </c>
      <c r="E85" s="20">
        <f t="shared" ref="E85:E148" si="6">C85+D85*2</f>
        <v>237.86388980407025</v>
      </c>
      <c r="F85" s="20">
        <f t="shared" ref="F85:F148" si="7">C85+D85*-2</f>
        <v>222.29711019592969</v>
      </c>
    </row>
    <row r="86" spans="1:6" x14ac:dyDescent="0.2">
      <c r="A86" s="1">
        <v>45594</v>
      </c>
      <c r="B86">
        <v>233.67</v>
      </c>
      <c r="C86" s="20">
        <f t="shared" si="4"/>
        <v>230.45350000000002</v>
      </c>
      <c r="D86" s="20">
        <f t="shared" si="5"/>
        <v>3.8585629653920037</v>
      </c>
      <c r="E86" s="20">
        <f t="shared" si="6"/>
        <v>238.17062593078401</v>
      </c>
      <c r="F86" s="20">
        <f t="shared" si="7"/>
        <v>222.73637406921603</v>
      </c>
    </row>
    <row r="87" spans="1:6" x14ac:dyDescent="0.2">
      <c r="A87" s="1">
        <v>45595</v>
      </c>
      <c r="B87">
        <v>230.1</v>
      </c>
      <c r="C87" s="20">
        <f t="shared" si="4"/>
        <v>230.61950000000007</v>
      </c>
      <c r="D87" s="20">
        <f t="shared" si="5"/>
        <v>3.7624242954440112</v>
      </c>
      <c r="E87" s="20">
        <f t="shared" si="6"/>
        <v>238.14434859088809</v>
      </c>
      <c r="F87" s="20">
        <f t="shared" si="7"/>
        <v>223.09465140911206</v>
      </c>
    </row>
    <row r="88" spans="1:6" x14ac:dyDescent="0.2">
      <c r="A88" s="1">
        <v>45596</v>
      </c>
      <c r="B88">
        <v>225.91</v>
      </c>
      <c r="C88" s="20">
        <f t="shared" si="4"/>
        <v>230.63150000000002</v>
      </c>
      <c r="D88" s="20">
        <f t="shared" si="5"/>
        <v>3.7461549058931558</v>
      </c>
      <c r="E88" s="20">
        <f t="shared" si="6"/>
        <v>238.12380981178632</v>
      </c>
      <c r="F88" s="20">
        <f t="shared" si="7"/>
        <v>223.13919018821372</v>
      </c>
    </row>
    <row r="89" spans="1:6" x14ac:dyDescent="0.2">
      <c r="A89" s="1">
        <v>45597</v>
      </c>
      <c r="B89">
        <v>222.91</v>
      </c>
      <c r="C89" s="20">
        <f t="shared" si="4"/>
        <v>230.43699999999998</v>
      </c>
      <c r="D89" s="20">
        <f t="shared" si="5"/>
        <v>4.0446483159849631</v>
      </c>
      <c r="E89" s="20">
        <f t="shared" si="6"/>
        <v>238.5262966319699</v>
      </c>
      <c r="F89" s="20">
        <f t="shared" si="7"/>
        <v>222.34770336803007</v>
      </c>
    </row>
    <row r="90" spans="1:6" x14ac:dyDescent="0.2">
      <c r="A90" s="1">
        <v>45600</v>
      </c>
      <c r="B90">
        <v>222.01</v>
      </c>
      <c r="C90" s="20">
        <f t="shared" si="4"/>
        <v>230.45300000000003</v>
      </c>
      <c r="D90" s="20">
        <f t="shared" si="5"/>
        <v>4.0086985681797422</v>
      </c>
      <c r="E90" s="20">
        <f t="shared" si="6"/>
        <v>238.47039713635951</v>
      </c>
      <c r="F90" s="20">
        <f t="shared" si="7"/>
        <v>222.43560286364055</v>
      </c>
    </row>
    <row r="91" spans="1:6" x14ac:dyDescent="0.2">
      <c r="A91" s="1">
        <v>45601</v>
      </c>
      <c r="B91">
        <v>223.45</v>
      </c>
      <c r="C91" s="20">
        <f t="shared" si="4"/>
        <v>230.33700000000005</v>
      </c>
      <c r="D91" s="20">
        <f t="shared" si="5"/>
        <v>4.1811986445591378</v>
      </c>
      <c r="E91" s="20">
        <f t="shared" si="6"/>
        <v>238.69939728911831</v>
      </c>
      <c r="F91" s="20">
        <f t="shared" si="7"/>
        <v>221.97460271088178</v>
      </c>
    </row>
    <row r="92" spans="1:6" x14ac:dyDescent="0.2">
      <c r="A92" s="1">
        <v>45602</v>
      </c>
      <c r="B92">
        <v>222.72</v>
      </c>
      <c r="C92" s="20">
        <f t="shared" si="4"/>
        <v>229.99600000000001</v>
      </c>
      <c r="D92" s="20">
        <f t="shared" si="5"/>
        <v>4.514443953636631</v>
      </c>
      <c r="E92" s="20">
        <f t="shared" si="6"/>
        <v>239.02488790727327</v>
      </c>
      <c r="F92" s="20">
        <f t="shared" si="7"/>
        <v>220.96711209272675</v>
      </c>
    </row>
    <row r="93" spans="1:6" x14ac:dyDescent="0.2">
      <c r="A93" s="1">
        <v>45603</v>
      </c>
      <c r="B93">
        <v>227.48</v>
      </c>
      <c r="C93" s="20">
        <f t="shared" si="4"/>
        <v>229.91799999999998</v>
      </c>
      <c r="D93" s="20">
        <f t="shared" si="5"/>
        <v>4.5452029078671758</v>
      </c>
      <c r="E93" s="20">
        <f t="shared" si="6"/>
        <v>239.00840581573433</v>
      </c>
      <c r="F93" s="20">
        <f t="shared" si="7"/>
        <v>220.82759418426562</v>
      </c>
    </row>
    <row r="94" spans="1:6" x14ac:dyDescent="0.2">
      <c r="A94" s="1">
        <v>45604</v>
      </c>
      <c r="B94">
        <v>226.96</v>
      </c>
      <c r="C94" s="20">
        <f t="shared" si="4"/>
        <v>229.88849999999996</v>
      </c>
      <c r="D94" s="20">
        <f t="shared" si="5"/>
        <v>4.5632597709140033</v>
      </c>
      <c r="E94" s="20">
        <f t="shared" si="6"/>
        <v>239.01501954182797</v>
      </c>
      <c r="F94" s="20">
        <f t="shared" si="7"/>
        <v>220.76198045817196</v>
      </c>
    </row>
    <row r="95" spans="1:6" x14ac:dyDescent="0.2">
      <c r="A95" s="1">
        <v>45607</v>
      </c>
      <c r="B95">
        <v>224.23</v>
      </c>
      <c r="C95" s="20">
        <f t="shared" si="4"/>
        <v>229.53499999999994</v>
      </c>
      <c r="D95" s="20">
        <f t="shared" si="5"/>
        <v>4.719335925630574</v>
      </c>
      <c r="E95" s="20">
        <f t="shared" si="6"/>
        <v>238.97367185126109</v>
      </c>
      <c r="F95" s="20">
        <f t="shared" si="7"/>
        <v>220.09632814873879</v>
      </c>
    </row>
    <row r="96" spans="1:6" x14ac:dyDescent="0.2">
      <c r="A96" s="1">
        <v>45608</v>
      </c>
      <c r="B96">
        <v>224.23</v>
      </c>
      <c r="C96" s="20">
        <f t="shared" si="4"/>
        <v>229.05399999999992</v>
      </c>
      <c r="D96" s="20">
        <f t="shared" si="5"/>
        <v>4.7465615255455704</v>
      </c>
      <c r="E96" s="20">
        <f t="shared" si="6"/>
        <v>238.54712305109106</v>
      </c>
      <c r="F96" s="20">
        <f t="shared" si="7"/>
        <v>219.56087694890877</v>
      </c>
    </row>
    <row r="97" spans="1:6" x14ac:dyDescent="0.2">
      <c r="A97" s="1">
        <v>45609</v>
      </c>
      <c r="B97">
        <v>225.12</v>
      </c>
      <c r="C97" s="20">
        <f t="shared" si="4"/>
        <v>228.72099999999992</v>
      </c>
      <c r="D97" s="20">
        <f t="shared" si="5"/>
        <v>4.7787610153789108</v>
      </c>
      <c r="E97" s="20">
        <f t="shared" si="6"/>
        <v>238.27852203075773</v>
      </c>
      <c r="F97" s="20">
        <f t="shared" si="7"/>
        <v>219.16347796924211</v>
      </c>
    </row>
    <row r="98" spans="1:6" x14ac:dyDescent="0.2">
      <c r="A98" s="1">
        <v>45610</v>
      </c>
      <c r="B98">
        <v>228.22</v>
      </c>
      <c r="C98" s="20">
        <f t="shared" si="4"/>
        <v>228.52449999999999</v>
      </c>
      <c r="D98" s="20">
        <f t="shared" si="5"/>
        <v>4.7106558656104935</v>
      </c>
      <c r="E98" s="20">
        <f t="shared" si="6"/>
        <v>237.94581173122097</v>
      </c>
      <c r="F98" s="20">
        <f t="shared" si="7"/>
        <v>219.10318826877901</v>
      </c>
    </row>
    <row r="99" spans="1:6" x14ac:dyDescent="0.2">
      <c r="A99" s="1">
        <v>45611</v>
      </c>
      <c r="B99">
        <v>225</v>
      </c>
      <c r="C99" s="20">
        <f t="shared" si="4"/>
        <v>228.02449999999999</v>
      </c>
      <c r="D99" s="20">
        <f t="shared" si="5"/>
        <v>4.5137526399590016</v>
      </c>
      <c r="E99" s="20">
        <f t="shared" si="6"/>
        <v>237.05200527991798</v>
      </c>
      <c r="F99" s="20">
        <f t="shared" si="7"/>
        <v>218.996994720082</v>
      </c>
    </row>
    <row r="100" spans="1:6" x14ac:dyDescent="0.2">
      <c r="A100" s="1">
        <v>45614</v>
      </c>
      <c r="B100">
        <v>228.02</v>
      </c>
      <c r="C100" s="20">
        <f t="shared" si="4"/>
        <v>227.60150000000004</v>
      </c>
      <c r="D100" s="20">
        <f t="shared" si="5"/>
        <v>4.052492767615874</v>
      </c>
      <c r="E100" s="20">
        <f t="shared" si="6"/>
        <v>235.70648553523179</v>
      </c>
      <c r="F100" s="20">
        <f t="shared" si="7"/>
        <v>219.4965144647683</v>
      </c>
    </row>
    <row r="101" spans="1:6" x14ac:dyDescent="0.2">
      <c r="A101" s="1">
        <v>45615</v>
      </c>
      <c r="B101">
        <v>228.28</v>
      </c>
      <c r="C101" s="20">
        <f t="shared" si="4"/>
        <v>227.22249999999994</v>
      </c>
      <c r="D101" s="20">
        <f t="shared" si="5"/>
        <v>3.5645622378306747</v>
      </c>
      <c r="E101" s="20">
        <f t="shared" si="6"/>
        <v>234.35162447566128</v>
      </c>
      <c r="F101" s="20">
        <f t="shared" si="7"/>
        <v>220.0933755243386</v>
      </c>
    </row>
    <row r="102" spans="1:6" x14ac:dyDescent="0.2">
      <c r="A102" s="1">
        <v>45616</v>
      </c>
      <c r="B102">
        <v>229</v>
      </c>
      <c r="C102" s="20">
        <f t="shared" si="4"/>
        <v>227.13449999999997</v>
      </c>
      <c r="D102" s="20">
        <f t="shared" si="5"/>
        <v>3.4936536070875426</v>
      </c>
      <c r="E102" s="20">
        <f t="shared" si="6"/>
        <v>234.12180721417505</v>
      </c>
      <c r="F102" s="20">
        <f t="shared" si="7"/>
        <v>220.1471927858249</v>
      </c>
    </row>
    <row r="103" spans="1:6" x14ac:dyDescent="0.2">
      <c r="A103" s="1">
        <v>45617</v>
      </c>
      <c r="B103">
        <v>228.52</v>
      </c>
      <c r="C103" s="20">
        <f t="shared" si="4"/>
        <v>227.03200000000001</v>
      </c>
      <c r="D103" s="20">
        <f t="shared" si="5"/>
        <v>3.4167814957169411</v>
      </c>
      <c r="E103" s="20">
        <f t="shared" si="6"/>
        <v>233.8655629914339</v>
      </c>
      <c r="F103" s="20">
        <f t="shared" si="7"/>
        <v>220.19843700856612</v>
      </c>
    </row>
    <row r="104" spans="1:6" x14ac:dyDescent="0.2">
      <c r="A104" s="1">
        <v>45618</v>
      </c>
      <c r="B104">
        <v>229.87</v>
      </c>
      <c r="C104" s="20">
        <f t="shared" si="4"/>
        <v>226.95500000000001</v>
      </c>
      <c r="D104" s="20">
        <f t="shared" si="5"/>
        <v>3.3291558911184125</v>
      </c>
      <c r="E104" s="20">
        <f t="shared" si="6"/>
        <v>233.61331178223685</v>
      </c>
      <c r="F104" s="20">
        <f t="shared" si="7"/>
        <v>220.29668821776318</v>
      </c>
    </row>
    <row r="105" spans="1:6" x14ac:dyDescent="0.2">
      <c r="A105" s="1">
        <v>45621</v>
      </c>
      <c r="B105">
        <v>232.87</v>
      </c>
      <c r="C105" s="20">
        <f t="shared" si="4"/>
        <v>226.92849999999999</v>
      </c>
      <c r="D105" s="20">
        <f t="shared" si="5"/>
        <v>3.276852268484757</v>
      </c>
      <c r="E105" s="20">
        <f t="shared" si="6"/>
        <v>233.4822045369695</v>
      </c>
      <c r="F105" s="20">
        <f t="shared" si="7"/>
        <v>220.37479546303047</v>
      </c>
    </row>
    <row r="106" spans="1:6" x14ac:dyDescent="0.2">
      <c r="A106" s="1">
        <v>45622</v>
      </c>
      <c r="B106">
        <v>235.06</v>
      </c>
      <c r="C106" s="20">
        <f t="shared" si="4"/>
        <v>226.99799999999999</v>
      </c>
      <c r="D106" s="20">
        <f t="shared" si="5"/>
        <v>3.4381322959145346</v>
      </c>
      <c r="E106" s="20">
        <f t="shared" si="6"/>
        <v>233.87426459182905</v>
      </c>
      <c r="F106" s="20">
        <f t="shared" si="7"/>
        <v>220.12173540817093</v>
      </c>
    </row>
    <row r="107" spans="1:6" x14ac:dyDescent="0.2">
      <c r="A107" s="1">
        <v>45623</v>
      </c>
      <c r="B107">
        <v>234.93</v>
      </c>
      <c r="C107" s="20">
        <f t="shared" si="4"/>
        <v>227.23949999999999</v>
      </c>
      <c r="D107" s="20">
        <f t="shared" si="5"/>
        <v>3.8163229409306694</v>
      </c>
      <c r="E107" s="20">
        <f t="shared" si="6"/>
        <v>234.87214588186134</v>
      </c>
      <c r="F107" s="20">
        <f t="shared" si="7"/>
        <v>219.60685411813864</v>
      </c>
    </row>
    <row r="108" spans="1:6" x14ac:dyDescent="0.2">
      <c r="A108" s="1">
        <v>45625</v>
      </c>
      <c r="B108">
        <v>237.33</v>
      </c>
      <c r="C108" s="20">
        <f t="shared" si="4"/>
        <v>227.81049999999999</v>
      </c>
      <c r="D108" s="20">
        <f t="shared" si="5"/>
        <v>4.414401640325142</v>
      </c>
      <c r="E108" s="20">
        <f t="shared" si="6"/>
        <v>236.63930328065027</v>
      </c>
      <c r="F108" s="20">
        <f t="shared" si="7"/>
        <v>218.98169671934971</v>
      </c>
    </row>
    <row r="109" spans="1:6" x14ac:dyDescent="0.2">
      <c r="A109" s="1">
        <v>45628</v>
      </c>
      <c r="B109">
        <v>239.59</v>
      </c>
      <c r="C109" s="20">
        <f t="shared" si="4"/>
        <v>228.64450000000002</v>
      </c>
      <c r="D109" s="20">
        <f t="shared" si="5"/>
        <v>4.9793388643790681</v>
      </c>
      <c r="E109" s="20">
        <f t="shared" si="6"/>
        <v>238.60317772875817</v>
      </c>
      <c r="F109" s="20">
        <f t="shared" si="7"/>
        <v>218.68582227124188</v>
      </c>
    </row>
    <row r="110" spans="1:6" x14ac:dyDescent="0.2">
      <c r="A110" s="1">
        <v>45629</v>
      </c>
      <c r="B110">
        <v>242.65</v>
      </c>
      <c r="C110" s="20">
        <f t="shared" si="4"/>
        <v>229.67649999999998</v>
      </c>
      <c r="D110" s="20">
        <f t="shared" si="5"/>
        <v>5.6284963636649454</v>
      </c>
      <c r="E110" s="20">
        <f t="shared" si="6"/>
        <v>240.93349272732988</v>
      </c>
      <c r="F110" s="20">
        <f t="shared" si="7"/>
        <v>218.41950727267007</v>
      </c>
    </row>
    <row r="111" spans="1:6" x14ac:dyDescent="0.2">
      <c r="A111" s="1">
        <v>45630</v>
      </c>
      <c r="B111">
        <v>243.01</v>
      </c>
      <c r="C111" s="20">
        <f t="shared" si="4"/>
        <v>230.65449999999996</v>
      </c>
      <c r="D111" s="20">
        <f t="shared" si="5"/>
        <v>6.1635716533772698</v>
      </c>
      <c r="E111" s="20">
        <f t="shared" si="6"/>
        <v>242.98164330675451</v>
      </c>
      <c r="F111" s="20">
        <f t="shared" si="7"/>
        <v>218.32735669324541</v>
      </c>
    </row>
    <row r="112" spans="1:6" x14ac:dyDescent="0.2">
      <c r="A112" s="1">
        <v>45631</v>
      </c>
      <c r="B112">
        <v>243.04</v>
      </c>
      <c r="C112" s="20">
        <f t="shared" si="4"/>
        <v>231.6705</v>
      </c>
      <c r="D112" s="20">
        <f t="shared" si="5"/>
        <v>6.4547081755551856</v>
      </c>
      <c r="E112" s="20">
        <f t="shared" si="6"/>
        <v>244.57991635111037</v>
      </c>
      <c r="F112" s="20">
        <f t="shared" si="7"/>
        <v>218.76108364888964</v>
      </c>
    </row>
    <row r="113" spans="1:6" x14ac:dyDescent="0.2">
      <c r="A113" s="1">
        <v>45632</v>
      </c>
      <c r="B113">
        <v>242.84</v>
      </c>
      <c r="C113" s="20">
        <f t="shared" si="4"/>
        <v>232.43849999999998</v>
      </c>
      <c r="D113" s="20">
        <f t="shared" si="5"/>
        <v>6.8325954650830658</v>
      </c>
      <c r="E113" s="20">
        <f t="shared" si="6"/>
        <v>246.1036909301661</v>
      </c>
      <c r="F113" s="20">
        <f t="shared" si="7"/>
        <v>218.77330906983386</v>
      </c>
    </row>
    <row r="114" spans="1:6" x14ac:dyDescent="0.2">
      <c r="A114" s="1">
        <v>45635</v>
      </c>
      <c r="B114">
        <v>246.75</v>
      </c>
      <c r="C114" s="20">
        <f t="shared" si="4"/>
        <v>233.42799999999997</v>
      </c>
      <c r="D114" s="20">
        <f t="shared" si="5"/>
        <v>7.4063476331561633</v>
      </c>
      <c r="E114" s="20">
        <f t="shared" si="6"/>
        <v>248.24069526631229</v>
      </c>
      <c r="F114" s="20">
        <f t="shared" si="7"/>
        <v>218.61530473368765</v>
      </c>
    </row>
    <row r="115" spans="1:6" x14ac:dyDescent="0.2">
      <c r="A115" s="1">
        <v>45636</v>
      </c>
      <c r="B115">
        <v>247.77</v>
      </c>
      <c r="C115" s="20">
        <f t="shared" si="4"/>
        <v>234.60500000000002</v>
      </c>
      <c r="D115" s="20">
        <f t="shared" si="5"/>
        <v>7.7310341787942072</v>
      </c>
      <c r="E115" s="20">
        <f t="shared" si="6"/>
        <v>250.06706835758843</v>
      </c>
      <c r="F115" s="20">
        <f t="shared" si="7"/>
        <v>219.14293164241161</v>
      </c>
    </row>
    <row r="116" spans="1:6" x14ac:dyDescent="0.2">
      <c r="A116" s="1">
        <v>45637</v>
      </c>
      <c r="B116">
        <v>246.49</v>
      </c>
      <c r="C116" s="20">
        <f t="shared" si="4"/>
        <v>235.71800000000002</v>
      </c>
      <c r="D116" s="20">
        <f t="shared" si="5"/>
        <v>7.7610570359835309</v>
      </c>
      <c r="E116" s="20">
        <f t="shared" si="6"/>
        <v>251.24011407196707</v>
      </c>
      <c r="F116" s="20">
        <f t="shared" si="7"/>
        <v>220.19588592803296</v>
      </c>
    </row>
    <row r="117" spans="1:6" x14ac:dyDescent="0.2">
      <c r="A117" s="1">
        <v>45638</v>
      </c>
      <c r="B117">
        <v>247.96</v>
      </c>
      <c r="C117" s="20">
        <f t="shared" si="4"/>
        <v>236.85999999999999</v>
      </c>
      <c r="D117" s="20">
        <f t="shared" si="5"/>
        <v>7.7998373802211249</v>
      </c>
      <c r="E117" s="20">
        <f t="shared" si="6"/>
        <v>252.45967476044223</v>
      </c>
      <c r="F117" s="20">
        <f t="shared" si="7"/>
        <v>221.26032523955774</v>
      </c>
    </row>
    <row r="118" spans="1:6" x14ac:dyDescent="0.2">
      <c r="A118" s="1">
        <v>45639</v>
      </c>
      <c r="B118">
        <v>248.13</v>
      </c>
      <c r="C118" s="20">
        <f t="shared" si="4"/>
        <v>237.85550000000003</v>
      </c>
      <c r="D118" s="20">
        <f t="shared" si="5"/>
        <v>7.9088714179245043</v>
      </c>
      <c r="E118" s="20">
        <f t="shared" si="6"/>
        <v>253.67324283584904</v>
      </c>
      <c r="F118" s="20">
        <f t="shared" si="7"/>
        <v>222.03775716415103</v>
      </c>
    </row>
    <row r="119" spans="1:6" x14ac:dyDescent="0.2">
      <c r="A119" s="1">
        <v>45642</v>
      </c>
      <c r="B119">
        <v>251.04</v>
      </c>
      <c r="C119" s="20">
        <f t="shared" si="4"/>
        <v>239.15750000000003</v>
      </c>
      <c r="D119" s="20">
        <f t="shared" si="5"/>
        <v>7.8241117706740333</v>
      </c>
      <c r="E119" s="20">
        <f t="shared" si="6"/>
        <v>254.8057235413481</v>
      </c>
      <c r="F119" s="20">
        <f t="shared" si="7"/>
        <v>223.50927645865195</v>
      </c>
    </row>
    <row r="120" spans="1:6" x14ac:dyDescent="0.2">
      <c r="A120" s="1">
        <v>45643</v>
      </c>
      <c r="B120">
        <v>253.48</v>
      </c>
      <c r="C120" s="20">
        <f t="shared" si="4"/>
        <v>240.43049999999999</v>
      </c>
      <c r="D120" s="20">
        <f t="shared" si="5"/>
        <v>7.9861633466890689</v>
      </c>
      <c r="E120" s="20">
        <f t="shared" si="6"/>
        <v>256.40282669337813</v>
      </c>
      <c r="F120" s="20">
        <f t="shared" si="7"/>
        <v>224.45817330662186</v>
      </c>
    </row>
    <row r="121" spans="1:6" x14ac:dyDescent="0.2">
      <c r="A121" s="1">
        <v>45644</v>
      </c>
      <c r="B121">
        <v>248.05</v>
      </c>
      <c r="C121" s="20">
        <f t="shared" si="4"/>
        <v>241.41900000000001</v>
      </c>
      <c r="D121" s="20">
        <f t="shared" si="5"/>
        <v>7.6181113144925856</v>
      </c>
      <c r="E121" s="20">
        <f t="shared" si="6"/>
        <v>256.6552226289852</v>
      </c>
      <c r="F121" s="20">
        <f t="shared" si="7"/>
        <v>226.18277737101485</v>
      </c>
    </row>
    <row r="122" spans="1:6" x14ac:dyDescent="0.2">
      <c r="A122" s="1">
        <v>45645</v>
      </c>
      <c r="B122">
        <v>249.79</v>
      </c>
      <c r="C122" s="20">
        <f t="shared" si="4"/>
        <v>242.45850000000002</v>
      </c>
      <c r="D122" s="20">
        <f t="shared" si="5"/>
        <v>7.2435367015960077</v>
      </c>
      <c r="E122" s="20">
        <f t="shared" si="6"/>
        <v>256.94557340319204</v>
      </c>
      <c r="F122" s="20">
        <f t="shared" si="7"/>
        <v>227.97142659680799</v>
      </c>
    </row>
    <row r="123" spans="1:6" x14ac:dyDescent="0.2">
      <c r="A123" s="1">
        <v>45646</v>
      </c>
      <c r="B123">
        <v>254.49</v>
      </c>
      <c r="C123" s="20">
        <f t="shared" si="4"/>
        <v>243.75699999999998</v>
      </c>
      <c r="D123" s="20">
        <f t="shared" si="5"/>
        <v>6.9345087482061301</v>
      </c>
      <c r="E123" s="20">
        <f t="shared" si="6"/>
        <v>257.62601749641226</v>
      </c>
      <c r="F123" s="20">
        <f t="shared" si="7"/>
        <v>229.88798250358772</v>
      </c>
    </row>
    <row r="124" spans="1:6" x14ac:dyDescent="0.2">
      <c r="A124" s="1">
        <v>45649</v>
      </c>
      <c r="B124">
        <v>255.27</v>
      </c>
      <c r="C124" s="20">
        <f t="shared" si="4"/>
        <v>245.02699999999999</v>
      </c>
      <c r="D124" s="20">
        <f t="shared" si="5"/>
        <v>6.5738846162195763</v>
      </c>
      <c r="E124" s="20">
        <f t="shared" si="6"/>
        <v>258.17476923243913</v>
      </c>
      <c r="F124" s="20">
        <f t="shared" si="7"/>
        <v>231.87923076756084</v>
      </c>
    </row>
    <row r="125" spans="1:6" x14ac:dyDescent="0.2">
      <c r="A125" s="1">
        <v>45650</v>
      </c>
      <c r="B125">
        <v>258.2</v>
      </c>
      <c r="C125" s="20">
        <f t="shared" si="4"/>
        <v>246.29350000000005</v>
      </c>
      <c r="D125" s="20">
        <f t="shared" si="5"/>
        <v>6.5484351485478438</v>
      </c>
      <c r="E125" s="20">
        <f t="shared" si="6"/>
        <v>259.39037029709573</v>
      </c>
      <c r="F125" s="20">
        <f t="shared" si="7"/>
        <v>233.19662970290437</v>
      </c>
    </row>
    <row r="126" spans="1:6" x14ac:dyDescent="0.2">
      <c r="A126" s="1">
        <v>45652</v>
      </c>
      <c r="B126">
        <v>259.02</v>
      </c>
      <c r="C126" s="20">
        <f t="shared" si="4"/>
        <v>247.4915</v>
      </c>
      <c r="D126" s="20">
        <f t="shared" si="5"/>
        <v>6.5767783466567113</v>
      </c>
      <c r="E126" s="20">
        <f t="shared" si="6"/>
        <v>260.64505669331345</v>
      </c>
      <c r="F126" s="20">
        <f t="shared" si="7"/>
        <v>234.33794330668658</v>
      </c>
    </row>
    <row r="127" spans="1:6" x14ac:dyDescent="0.2">
      <c r="A127" s="1">
        <v>45653</v>
      </c>
      <c r="B127">
        <v>255.59</v>
      </c>
      <c r="C127" s="20">
        <f t="shared" si="4"/>
        <v>248.52450000000007</v>
      </c>
      <c r="D127" s="20">
        <f t="shared" si="5"/>
        <v>6.1055578433872304</v>
      </c>
      <c r="E127" s="20">
        <f t="shared" si="6"/>
        <v>260.73561568677451</v>
      </c>
      <c r="F127" s="20">
        <f t="shared" si="7"/>
        <v>236.31338431322561</v>
      </c>
    </row>
    <row r="128" spans="1:6" x14ac:dyDescent="0.2">
      <c r="A128" s="1">
        <v>45656</v>
      </c>
      <c r="B128">
        <v>252.2</v>
      </c>
      <c r="C128" s="20">
        <f t="shared" si="4"/>
        <v>249.26799999999997</v>
      </c>
      <c r="D128" s="20">
        <f t="shared" si="5"/>
        <v>5.5507966237194015</v>
      </c>
      <c r="E128" s="20">
        <f t="shared" si="6"/>
        <v>260.36959324743879</v>
      </c>
      <c r="F128" s="20">
        <f t="shared" si="7"/>
        <v>238.16640675256116</v>
      </c>
    </row>
    <row r="129" spans="1:6" x14ac:dyDescent="0.2">
      <c r="A129" s="1">
        <v>45657</v>
      </c>
      <c r="B129">
        <v>250.42</v>
      </c>
      <c r="C129" s="20">
        <f t="shared" si="4"/>
        <v>249.80949999999999</v>
      </c>
      <c r="D129" s="20">
        <f t="shared" si="5"/>
        <v>5.0638787661134534</v>
      </c>
      <c r="E129" s="20">
        <f t="shared" si="6"/>
        <v>259.93725753222691</v>
      </c>
      <c r="F129" s="20">
        <f t="shared" si="7"/>
        <v>239.68174246777309</v>
      </c>
    </row>
    <row r="130" spans="1:6" x14ac:dyDescent="0.2">
      <c r="A130" s="1">
        <v>45659</v>
      </c>
      <c r="B130">
        <v>243.85</v>
      </c>
      <c r="C130" s="20">
        <f t="shared" si="4"/>
        <v>249.86950000000002</v>
      </c>
      <c r="D130" s="20">
        <f t="shared" si="5"/>
        <v>4.9810149832296098</v>
      </c>
      <c r="E130" s="20">
        <f t="shared" si="6"/>
        <v>259.83152996645924</v>
      </c>
      <c r="F130" s="20">
        <f t="shared" si="7"/>
        <v>239.90747003354079</v>
      </c>
    </row>
    <row r="131" spans="1:6" x14ac:dyDescent="0.2">
      <c r="A131" s="1">
        <v>45660</v>
      </c>
      <c r="B131">
        <v>243.36</v>
      </c>
      <c r="C131" s="20">
        <f t="shared" si="4"/>
        <v>249.887</v>
      </c>
      <c r="D131" s="20">
        <f t="shared" si="5"/>
        <v>4.956199838798395</v>
      </c>
      <c r="E131" s="20">
        <f t="shared" si="6"/>
        <v>259.7993996775968</v>
      </c>
      <c r="F131" s="20">
        <f t="shared" si="7"/>
        <v>239.97460032240321</v>
      </c>
    </row>
    <row r="132" spans="1:6" x14ac:dyDescent="0.2">
      <c r="A132" s="1">
        <v>45663</v>
      </c>
      <c r="B132">
        <v>245</v>
      </c>
      <c r="C132" s="20">
        <f t="shared" si="4"/>
        <v>249.98499999999999</v>
      </c>
      <c r="D132" s="20">
        <f t="shared" si="5"/>
        <v>4.8314958999857289</v>
      </c>
      <c r="E132" s="20">
        <f t="shared" si="6"/>
        <v>259.64799179997146</v>
      </c>
      <c r="F132" s="20">
        <f t="shared" si="7"/>
        <v>240.32200820002853</v>
      </c>
    </row>
    <row r="133" spans="1:6" x14ac:dyDescent="0.2">
      <c r="A133" s="1">
        <v>45664</v>
      </c>
      <c r="B133">
        <v>242.21</v>
      </c>
      <c r="C133" s="20">
        <f t="shared" si="4"/>
        <v>249.95349999999999</v>
      </c>
      <c r="D133" s="20">
        <f t="shared" si="5"/>
        <v>4.8823174771176419</v>
      </c>
      <c r="E133" s="20">
        <f t="shared" si="6"/>
        <v>259.71813495423527</v>
      </c>
      <c r="F133" s="20">
        <f t="shared" si="7"/>
        <v>240.18886504576471</v>
      </c>
    </row>
    <row r="134" spans="1:6" x14ac:dyDescent="0.2">
      <c r="A134" s="1">
        <v>45665</v>
      </c>
      <c r="B134">
        <v>242.7</v>
      </c>
      <c r="C134" s="20">
        <f t="shared" si="4"/>
        <v>249.75099999999998</v>
      </c>
      <c r="D134" s="20">
        <f t="shared" si="5"/>
        <v>5.1012598031219047</v>
      </c>
      <c r="E134" s="20">
        <f t="shared" si="6"/>
        <v>259.95351960624379</v>
      </c>
      <c r="F134" s="20">
        <f t="shared" si="7"/>
        <v>239.54848039375617</v>
      </c>
    </row>
    <row r="135" spans="1:6" x14ac:dyDescent="0.2">
      <c r="A135" s="1">
        <v>45667</v>
      </c>
      <c r="B135">
        <v>236.85</v>
      </c>
      <c r="C135" s="20">
        <f t="shared" si="4"/>
        <v>249.20500000000001</v>
      </c>
      <c r="D135" s="20">
        <f t="shared" si="5"/>
        <v>5.8533989226233674</v>
      </c>
      <c r="E135" s="20">
        <f t="shared" si="6"/>
        <v>260.91179784524672</v>
      </c>
      <c r="F135" s="20">
        <f t="shared" si="7"/>
        <v>237.49820215475327</v>
      </c>
    </row>
    <row r="136" spans="1:6" x14ac:dyDescent="0.2">
      <c r="A136" s="1">
        <v>45670</v>
      </c>
      <c r="B136">
        <v>234.4</v>
      </c>
      <c r="C136" s="20">
        <f t="shared" si="4"/>
        <v>248.60049999999995</v>
      </c>
      <c r="D136" s="20">
        <f t="shared" si="5"/>
        <v>6.7101325384980655</v>
      </c>
      <c r="E136" s="20">
        <f t="shared" si="6"/>
        <v>262.0207650769961</v>
      </c>
      <c r="F136" s="20">
        <f t="shared" si="7"/>
        <v>235.18023492300381</v>
      </c>
    </row>
    <row r="137" spans="1:6" x14ac:dyDescent="0.2">
      <c r="A137" s="1">
        <v>45671</v>
      </c>
      <c r="B137">
        <v>233.28</v>
      </c>
      <c r="C137" s="20">
        <f t="shared" si="4"/>
        <v>247.8665</v>
      </c>
      <c r="D137" s="20">
        <f t="shared" si="5"/>
        <v>7.5359630928529677</v>
      </c>
      <c r="E137" s="20">
        <f t="shared" si="6"/>
        <v>262.93842618570596</v>
      </c>
      <c r="F137" s="20">
        <f t="shared" si="7"/>
        <v>232.79457381429407</v>
      </c>
    </row>
    <row r="138" spans="1:6" x14ac:dyDescent="0.2">
      <c r="A138" s="1">
        <v>45672</v>
      </c>
      <c r="B138">
        <v>237.87</v>
      </c>
      <c r="C138" s="20">
        <f t="shared" si="4"/>
        <v>247.35349999999994</v>
      </c>
      <c r="D138" s="20">
        <f t="shared" si="5"/>
        <v>7.8593600080949377</v>
      </c>
      <c r="E138" s="20">
        <f t="shared" si="6"/>
        <v>263.07222001618982</v>
      </c>
      <c r="F138" s="20">
        <f t="shared" si="7"/>
        <v>231.63477998381006</v>
      </c>
    </row>
    <row r="139" spans="1:6" x14ac:dyDescent="0.2">
      <c r="A139" s="1">
        <v>45673</v>
      </c>
      <c r="B139">
        <v>228.26</v>
      </c>
      <c r="C139" s="20">
        <f t="shared" si="4"/>
        <v>246.21449999999996</v>
      </c>
      <c r="D139" s="20">
        <f t="shared" si="5"/>
        <v>8.8812229332155397</v>
      </c>
      <c r="E139" s="20">
        <f t="shared" si="6"/>
        <v>263.97694586643104</v>
      </c>
      <c r="F139" s="20">
        <f t="shared" si="7"/>
        <v>228.45205413356888</v>
      </c>
    </row>
    <row r="140" spans="1:6" x14ac:dyDescent="0.2">
      <c r="A140" s="1">
        <v>45674</v>
      </c>
      <c r="B140">
        <v>229.98</v>
      </c>
      <c r="C140" s="20">
        <f t="shared" si="4"/>
        <v>245.03949999999995</v>
      </c>
      <c r="D140" s="20">
        <f t="shared" si="5"/>
        <v>9.4082978353097815</v>
      </c>
      <c r="E140" s="20">
        <f t="shared" si="6"/>
        <v>263.85609567061954</v>
      </c>
      <c r="F140" s="20">
        <f t="shared" si="7"/>
        <v>226.22290432938038</v>
      </c>
    </row>
    <row r="141" spans="1:6" x14ac:dyDescent="0.2">
      <c r="A141" s="1">
        <v>45678</v>
      </c>
      <c r="B141">
        <v>222.64</v>
      </c>
      <c r="C141" s="20">
        <f t="shared" si="4"/>
        <v>243.76900000000001</v>
      </c>
      <c r="D141" s="20">
        <f t="shared" si="5"/>
        <v>10.618247402219296</v>
      </c>
      <c r="E141" s="20">
        <f t="shared" si="6"/>
        <v>265.00549480443863</v>
      </c>
      <c r="F141" s="20">
        <f t="shared" si="7"/>
        <v>222.53250519556141</v>
      </c>
    </row>
    <row r="142" spans="1:6" x14ac:dyDescent="0.2">
      <c r="A142" s="1">
        <v>45679</v>
      </c>
      <c r="B142">
        <v>223.83</v>
      </c>
      <c r="C142" s="20">
        <f t="shared" si="4"/>
        <v>242.471</v>
      </c>
      <c r="D142" s="20">
        <f t="shared" si="5"/>
        <v>11.401319360402756</v>
      </c>
      <c r="E142" s="20">
        <f t="shared" si="6"/>
        <v>265.27363872080554</v>
      </c>
      <c r="F142" s="20">
        <f t="shared" si="7"/>
        <v>219.6683612791945</v>
      </c>
    </row>
    <row r="143" spans="1:6" x14ac:dyDescent="0.2">
      <c r="A143" s="1">
        <v>45680</v>
      </c>
      <c r="B143">
        <v>223.66</v>
      </c>
      <c r="C143" s="20">
        <f t="shared" si="4"/>
        <v>240.92949999999996</v>
      </c>
      <c r="D143" s="20">
        <f t="shared" si="5"/>
        <v>11.769014838258888</v>
      </c>
      <c r="E143" s="20">
        <f t="shared" si="6"/>
        <v>264.46752967651776</v>
      </c>
      <c r="F143" s="20">
        <f t="shared" si="7"/>
        <v>217.3914703234822</v>
      </c>
    </row>
    <row r="144" spans="1:6" x14ac:dyDescent="0.2">
      <c r="A144" s="1">
        <v>45681</v>
      </c>
      <c r="B144">
        <v>222.78</v>
      </c>
      <c r="C144" s="20">
        <f t="shared" si="4"/>
        <v>239.30499999999998</v>
      </c>
      <c r="D144" s="20">
        <f t="shared" si="5"/>
        <v>11.926659434357882</v>
      </c>
      <c r="E144" s="20">
        <f t="shared" si="6"/>
        <v>263.15831886871575</v>
      </c>
      <c r="F144" s="20">
        <f t="shared" si="7"/>
        <v>215.4516811312842</v>
      </c>
    </row>
    <row r="145" spans="1:6" x14ac:dyDescent="0.2">
      <c r="A145" s="1">
        <v>45684</v>
      </c>
      <c r="B145">
        <v>229.86</v>
      </c>
      <c r="C145" s="20">
        <f t="shared" si="4"/>
        <v>237.88799999999998</v>
      </c>
      <c r="D145" s="20">
        <f t="shared" si="5"/>
        <v>11.226585270780479</v>
      </c>
      <c r="E145" s="20">
        <f t="shared" si="6"/>
        <v>260.34117054156093</v>
      </c>
      <c r="F145" s="20">
        <f t="shared" si="7"/>
        <v>215.43482945843903</v>
      </c>
    </row>
    <row r="146" spans="1:6" x14ac:dyDescent="0.2">
      <c r="A146" s="1">
        <v>45685</v>
      </c>
      <c r="B146">
        <v>238.26</v>
      </c>
      <c r="C146" s="20">
        <f t="shared" si="4"/>
        <v>236.85</v>
      </c>
      <c r="D146" s="20">
        <f t="shared" si="5"/>
        <v>10.070060366724404</v>
      </c>
      <c r="E146" s="20">
        <f t="shared" si="6"/>
        <v>256.9901207334488</v>
      </c>
      <c r="F146" s="20">
        <f t="shared" si="7"/>
        <v>216.70987926655118</v>
      </c>
    </row>
    <row r="147" spans="1:6" x14ac:dyDescent="0.2">
      <c r="A147" s="1">
        <v>45686</v>
      </c>
      <c r="B147">
        <v>239.36</v>
      </c>
      <c r="C147" s="20">
        <f t="shared" si="4"/>
        <v>236.03849999999997</v>
      </c>
      <c r="D147" s="20">
        <f t="shared" si="5"/>
        <v>9.0863056443836321</v>
      </c>
      <c r="E147" s="20">
        <f t="shared" si="6"/>
        <v>254.21111128876723</v>
      </c>
      <c r="F147" s="20">
        <f t="shared" si="7"/>
        <v>217.86588871123271</v>
      </c>
    </row>
    <row r="148" spans="1:6" x14ac:dyDescent="0.2">
      <c r="A148" s="1">
        <v>45687</v>
      </c>
      <c r="B148">
        <v>237.59</v>
      </c>
      <c r="C148" s="20">
        <f t="shared" si="4"/>
        <v>235.30799999999999</v>
      </c>
      <c r="D148" s="20">
        <f t="shared" si="5"/>
        <v>8.2691516779948007</v>
      </c>
      <c r="E148" s="20">
        <f t="shared" si="6"/>
        <v>251.84630335598959</v>
      </c>
      <c r="F148" s="20">
        <f t="shared" si="7"/>
        <v>218.76969664401039</v>
      </c>
    </row>
    <row r="149" spans="1:6" x14ac:dyDescent="0.2">
      <c r="A149" s="1">
        <v>45688</v>
      </c>
      <c r="B149">
        <v>236</v>
      </c>
      <c r="C149" s="20">
        <f t="shared" ref="C149:C189" si="8">AVERAGE(B130:B149)</f>
        <v>234.58699999999999</v>
      </c>
      <c r="D149" s="20">
        <f t="shared" ref="D149:D189" si="9">_xlfn.STDEV.S(B130:B149)</f>
        <v>7.4724336203492863</v>
      </c>
      <c r="E149" s="20">
        <f t="shared" ref="E149:E189" si="10">C149+D149*2</f>
        <v>249.53186724069857</v>
      </c>
      <c r="F149" s="20">
        <f t="shared" ref="F149:F189" si="11">C149+D149*-2</f>
        <v>219.6421327593014</v>
      </c>
    </row>
    <row r="150" spans="1:6" x14ac:dyDescent="0.2">
      <c r="A150" s="1">
        <v>45691</v>
      </c>
      <c r="B150">
        <v>228.01</v>
      </c>
      <c r="C150" s="20">
        <f t="shared" si="8"/>
        <v>233.79500000000002</v>
      </c>
      <c r="D150" s="20">
        <f t="shared" si="9"/>
        <v>7.2758305729528781</v>
      </c>
      <c r="E150" s="20">
        <f t="shared" si="10"/>
        <v>248.34666114590578</v>
      </c>
      <c r="F150" s="20">
        <f t="shared" si="11"/>
        <v>219.24333885409425</v>
      </c>
    </row>
    <row r="151" spans="1:6" x14ac:dyDescent="0.2">
      <c r="A151" s="1">
        <v>45692</v>
      </c>
      <c r="B151">
        <v>232.8</v>
      </c>
      <c r="C151" s="20">
        <f t="shared" si="8"/>
        <v>233.26700000000005</v>
      </c>
      <c r="D151" s="20">
        <f t="shared" si="9"/>
        <v>6.9196197796365118</v>
      </c>
      <c r="E151" s="20">
        <f t="shared" si="10"/>
        <v>247.10623955927306</v>
      </c>
      <c r="F151" s="20">
        <f t="shared" si="11"/>
        <v>219.42776044072704</v>
      </c>
    </row>
    <row r="152" spans="1:6" x14ac:dyDescent="0.2">
      <c r="A152" s="1">
        <v>45693</v>
      </c>
      <c r="B152">
        <v>232.47</v>
      </c>
      <c r="C152" s="20">
        <f t="shared" si="8"/>
        <v>232.64050000000003</v>
      </c>
      <c r="D152" s="20">
        <f t="shared" si="9"/>
        <v>6.3447595242887367</v>
      </c>
      <c r="E152" s="20">
        <f t="shared" si="10"/>
        <v>245.3300190485775</v>
      </c>
      <c r="F152" s="20">
        <f t="shared" si="11"/>
        <v>219.95098095142257</v>
      </c>
    </row>
    <row r="153" spans="1:6" x14ac:dyDescent="0.2">
      <c r="A153" s="1">
        <v>45694</v>
      </c>
      <c r="B153">
        <v>233.22</v>
      </c>
      <c r="C153" s="20">
        <f t="shared" si="8"/>
        <v>232.19100000000003</v>
      </c>
      <c r="D153" s="20">
        <f t="shared" si="9"/>
        <v>5.9364307014976783</v>
      </c>
      <c r="E153" s="20">
        <f t="shared" si="10"/>
        <v>244.0638614029954</v>
      </c>
      <c r="F153" s="20">
        <f t="shared" si="11"/>
        <v>220.31813859700466</v>
      </c>
    </row>
    <row r="154" spans="1:6" x14ac:dyDescent="0.2">
      <c r="A154" s="1">
        <v>45695</v>
      </c>
      <c r="B154">
        <v>227.63</v>
      </c>
      <c r="C154" s="20">
        <f t="shared" si="8"/>
        <v>231.43750000000006</v>
      </c>
      <c r="D154" s="20">
        <f t="shared" si="9"/>
        <v>5.4704535316649272</v>
      </c>
      <c r="E154" s="20">
        <f t="shared" si="10"/>
        <v>242.37840706332992</v>
      </c>
      <c r="F154" s="20">
        <f t="shared" si="11"/>
        <v>220.4965929366702</v>
      </c>
    </row>
    <row r="155" spans="1:6" x14ac:dyDescent="0.2">
      <c r="A155" s="1">
        <v>45698</v>
      </c>
      <c r="B155">
        <v>227.65</v>
      </c>
      <c r="C155" s="20">
        <f t="shared" si="8"/>
        <v>230.97749999999996</v>
      </c>
      <c r="D155" s="20">
        <f t="shared" si="9"/>
        <v>5.3773862512132107</v>
      </c>
      <c r="E155" s="20">
        <f t="shared" si="10"/>
        <v>241.73227250242638</v>
      </c>
      <c r="F155" s="20">
        <f t="shared" si="11"/>
        <v>220.22272749757354</v>
      </c>
    </row>
    <row r="156" spans="1:6" x14ac:dyDescent="0.2">
      <c r="A156" s="1">
        <v>45699</v>
      </c>
      <c r="B156">
        <v>232.62</v>
      </c>
      <c r="C156" s="20">
        <f t="shared" si="8"/>
        <v>230.88849999999996</v>
      </c>
      <c r="D156" s="20">
        <f t="shared" si="9"/>
        <v>5.3323010486734743</v>
      </c>
      <c r="E156" s="20">
        <f t="shared" si="10"/>
        <v>241.55310209734691</v>
      </c>
      <c r="F156" s="20">
        <f t="shared" si="11"/>
        <v>220.22389790265302</v>
      </c>
    </row>
    <row r="157" spans="1:6" x14ac:dyDescent="0.2">
      <c r="A157" s="1">
        <v>45700</v>
      </c>
      <c r="B157">
        <v>236.87</v>
      </c>
      <c r="C157" s="20">
        <f t="shared" si="8"/>
        <v>231.06799999999998</v>
      </c>
      <c r="D157" s="20">
        <f t="shared" si="9"/>
        <v>5.4755433280033614</v>
      </c>
      <c r="E157" s="20">
        <f t="shared" si="10"/>
        <v>242.01908665600672</v>
      </c>
      <c r="F157" s="20">
        <f t="shared" si="11"/>
        <v>220.11691334399325</v>
      </c>
    </row>
    <row r="158" spans="1:6" x14ac:dyDescent="0.2">
      <c r="A158" s="1">
        <v>45701</v>
      </c>
      <c r="B158">
        <v>241.53</v>
      </c>
      <c r="C158" s="20">
        <f t="shared" si="8"/>
        <v>231.25100000000003</v>
      </c>
      <c r="D158" s="20">
        <f t="shared" si="9"/>
        <v>5.7681812330094253</v>
      </c>
      <c r="E158" s="20">
        <f t="shared" si="10"/>
        <v>242.78736246601889</v>
      </c>
      <c r="F158" s="20">
        <f t="shared" si="11"/>
        <v>219.71463753398118</v>
      </c>
    </row>
    <row r="159" spans="1:6" x14ac:dyDescent="0.2">
      <c r="A159" s="1">
        <v>45702</v>
      </c>
      <c r="B159">
        <v>244.6</v>
      </c>
      <c r="C159" s="20">
        <f t="shared" si="8"/>
        <v>232.06800000000004</v>
      </c>
      <c r="D159" s="20">
        <f t="shared" si="9"/>
        <v>6.4402775357000044</v>
      </c>
      <c r="E159" s="20">
        <f t="shared" si="10"/>
        <v>244.94855507140005</v>
      </c>
      <c r="F159" s="20">
        <f t="shared" si="11"/>
        <v>219.18744492860003</v>
      </c>
    </row>
    <row r="160" spans="1:6" x14ac:dyDescent="0.2">
      <c r="A160" s="1">
        <v>45706</v>
      </c>
      <c r="B160">
        <v>244.47</v>
      </c>
      <c r="C160" s="20">
        <f t="shared" si="8"/>
        <v>232.79250000000002</v>
      </c>
      <c r="D160" s="20">
        <f t="shared" si="9"/>
        <v>6.98501469312398</v>
      </c>
      <c r="E160" s="20">
        <f t="shared" si="10"/>
        <v>246.76252938624799</v>
      </c>
      <c r="F160" s="20">
        <f t="shared" si="11"/>
        <v>218.82247061375205</v>
      </c>
    </row>
    <row r="161" spans="1:6" x14ac:dyDescent="0.2">
      <c r="A161" s="1">
        <v>45707</v>
      </c>
      <c r="B161">
        <v>244.87</v>
      </c>
      <c r="C161" s="20">
        <f t="shared" si="8"/>
        <v>233.904</v>
      </c>
      <c r="D161" s="20">
        <f t="shared" si="9"/>
        <v>7.0528168318167657</v>
      </c>
      <c r="E161" s="20">
        <f t="shared" si="10"/>
        <v>248.00963366363354</v>
      </c>
      <c r="F161" s="20">
        <f t="shared" si="11"/>
        <v>219.79836633636646</v>
      </c>
    </row>
    <row r="162" spans="1:6" x14ac:dyDescent="0.2">
      <c r="A162" s="1">
        <v>45708</v>
      </c>
      <c r="B162">
        <v>245.83</v>
      </c>
      <c r="C162" s="20">
        <f t="shared" si="8"/>
        <v>235.00399999999999</v>
      </c>
      <c r="D162" s="20">
        <f t="shared" si="9"/>
        <v>7.1142787480715981</v>
      </c>
      <c r="E162" s="20">
        <f t="shared" si="10"/>
        <v>249.23255749614319</v>
      </c>
      <c r="F162" s="20">
        <f t="shared" si="11"/>
        <v>220.77544250385679</v>
      </c>
    </row>
    <row r="163" spans="1:6" x14ac:dyDescent="0.2">
      <c r="A163" s="1">
        <v>45709</v>
      </c>
      <c r="B163">
        <v>245.55</v>
      </c>
      <c r="C163" s="20">
        <f t="shared" si="8"/>
        <v>236.09849999999997</v>
      </c>
      <c r="D163" s="20">
        <f t="shared" si="9"/>
        <v>6.959353626216795</v>
      </c>
      <c r="E163" s="20">
        <f t="shared" si="10"/>
        <v>250.01720725243356</v>
      </c>
      <c r="F163" s="20">
        <f t="shared" si="11"/>
        <v>222.17979274756638</v>
      </c>
    </row>
    <row r="164" spans="1:6" x14ac:dyDescent="0.2">
      <c r="A164" s="1">
        <v>45712</v>
      </c>
      <c r="B164">
        <v>247.1</v>
      </c>
      <c r="C164" s="20">
        <f t="shared" si="8"/>
        <v>237.31450000000004</v>
      </c>
      <c r="D164" s="20">
        <f t="shared" si="9"/>
        <v>6.6264894849940603</v>
      </c>
      <c r="E164" s="20">
        <f t="shared" si="10"/>
        <v>250.56747896998814</v>
      </c>
      <c r="F164" s="20">
        <f t="shared" si="11"/>
        <v>224.06152103001193</v>
      </c>
    </row>
    <row r="165" spans="1:6" x14ac:dyDescent="0.2">
      <c r="A165" s="1">
        <v>45713</v>
      </c>
      <c r="B165">
        <v>247.04</v>
      </c>
      <c r="C165" s="20">
        <f t="shared" si="8"/>
        <v>238.17350000000002</v>
      </c>
      <c r="D165" s="20">
        <f t="shared" si="9"/>
        <v>6.7221356842818007</v>
      </c>
      <c r="E165" s="20">
        <f t="shared" si="10"/>
        <v>251.61777136856361</v>
      </c>
      <c r="F165" s="20">
        <f t="shared" si="11"/>
        <v>224.72922863143643</v>
      </c>
    </row>
    <row r="166" spans="1:6" x14ac:dyDescent="0.2">
      <c r="A166" s="1">
        <v>45714</v>
      </c>
      <c r="B166">
        <v>240.36</v>
      </c>
      <c r="C166" s="20">
        <f t="shared" si="8"/>
        <v>238.27849999999998</v>
      </c>
      <c r="D166" s="20">
        <f t="shared" si="9"/>
        <v>6.7399354010647858</v>
      </c>
      <c r="E166" s="20">
        <f t="shared" si="10"/>
        <v>251.75837080212955</v>
      </c>
      <c r="F166" s="20">
        <f t="shared" si="11"/>
        <v>224.79862919787041</v>
      </c>
    </row>
    <row r="167" spans="1:6" x14ac:dyDescent="0.2">
      <c r="A167" s="1">
        <v>45715</v>
      </c>
      <c r="B167">
        <v>237.3</v>
      </c>
      <c r="C167" s="20">
        <f t="shared" si="8"/>
        <v>238.1755</v>
      </c>
      <c r="D167" s="20">
        <f t="shared" si="9"/>
        <v>6.7382783018872274</v>
      </c>
      <c r="E167" s="20">
        <f t="shared" si="10"/>
        <v>251.65205660377444</v>
      </c>
      <c r="F167" s="20">
        <f t="shared" si="11"/>
        <v>224.69894339622556</v>
      </c>
    </row>
    <row r="168" spans="1:6" x14ac:dyDescent="0.2">
      <c r="A168" s="1">
        <v>45716</v>
      </c>
      <c r="B168">
        <v>241.84</v>
      </c>
      <c r="C168" s="20">
        <f t="shared" si="8"/>
        <v>238.38800000000001</v>
      </c>
      <c r="D168" s="20">
        <f t="shared" si="9"/>
        <v>6.7856897411507031</v>
      </c>
      <c r="E168" s="20">
        <f t="shared" si="10"/>
        <v>251.95937948230142</v>
      </c>
      <c r="F168" s="20">
        <f t="shared" si="11"/>
        <v>224.8166205176986</v>
      </c>
    </row>
    <row r="169" spans="1:6" x14ac:dyDescent="0.2">
      <c r="A169" s="1">
        <v>45719</v>
      </c>
      <c r="B169">
        <v>238.03</v>
      </c>
      <c r="C169" s="20">
        <f t="shared" si="8"/>
        <v>238.48949999999999</v>
      </c>
      <c r="D169" s="20">
        <f t="shared" si="9"/>
        <v>6.7632353477031284</v>
      </c>
      <c r="E169" s="20">
        <f t="shared" si="10"/>
        <v>252.01597069540625</v>
      </c>
      <c r="F169" s="20">
        <f t="shared" si="11"/>
        <v>224.96302930459373</v>
      </c>
    </row>
    <row r="170" spans="1:6" x14ac:dyDescent="0.2">
      <c r="A170" s="1">
        <v>45720</v>
      </c>
      <c r="B170">
        <v>235.93</v>
      </c>
      <c r="C170" s="20">
        <f t="shared" si="8"/>
        <v>238.88550000000001</v>
      </c>
      <c r="D170" s="20">
        <f t="shared" si="9"/>
        <v>6.3356987526405106</v>
      </c>
      <c r="E170" s="20">
        <f t="shared" si="10"/>
        <v>251.55689750528103</v>
      </c>
      <c r="F170" s="20">
        <f t="shared" si="11"/>
        <v>226.21410249471899</v>
      </c>
    </row>
    <row r="171" spans="1:6" x14ac:dyDescent="0.2">
      <c r="A171" s="1">
        <v>45721</v>
      </c>
      <c r="B171">
        <v>235.74</v>
      </c>
      <c r="C171" s="20">
        <f t="shared" si="8"/>
        <v>239.03250000000003</v>
      </c>
      <c r="D171" s="20">
        <f t="shared" si="9"/>
        <v>6.220125125666474</v>
      </c>
      <c r="E171" s="20">
        <f t="shared" si="10"/>
        <v>251.47275025133297</v>
      </c>
      <c r="F171" s="20">
        <f t="shared" si="11"/>
        <v>226.59224974866709</v>
      </c>
    </row>
    <row r="172" spans="1:6" x14ac:dyDescent="0.2">
      <c r="A172" s="1">
        <v>45722</v>
      </c>
      <c r="B172">
        <v>235.33</v>
      </c>
      <c r="C172" s="20">
        <f t="shared" si="8"/>
        <v>239.1755</v>
      </c>
      <c r="D172" s="20">
        <f t="shared" si="9"/>
        <v>6.0928875489549705</v>
      </c>
      <c r="E172" s="20">
        <f t="shared" si="10"/>
        <v>251.36127509790995</v>
      </c>
      <c r="F172" s="20">
        <f t="shared" si="11"/>
        <v>226.98972490209005</v>
      </c>
    </row>
    <row r="173" spans="1:6" x14ac:dyDescent="0.2">
      <c r="A173" s="1">
        <v>45723</v>
      </c>
      <c r="B173">
        <v>239.07</v>
      </c>
      <c r="C173" s="20">
        <f t="shared" si="8"/>
        <v>239.46799999999999</v>
      </c>
      <c r="D173" s="20">
        <f t="shared" si="9"/>
        <v>5.9301829207608927</v>
      </c>
      <c r="E173" s="20">
        <f t="shared" si="10"/>
        <v>251.32836584152179</v>
      </c>
      <c r="F173" s="20">
        <f t="shared" si="11"/>
        <v>227.60763415847819</v>
      </c>
    </row>
    <row r="174" spans="1:6" x14ac:dyDescent="0.2">
      <c r="A174" s="1">
        <v>45726</v>
      </c>
      <c r="B174">
        <v>227.48</v>
      </c>
      <c r="C174" s="20">
        <f t="shared" si="8"/>
        <v>239.4605</v>
      </c>
      <c r="D174" s="20">
        <f t="shared" si="9"/>
        <v>5.9460163355946039</v>
      </c>
      <c r="E174" s="20">
        <f t="shared" si="10"/>
        <v>251.35253267118921</v>
      </c>
      <c r="F174" s="20">
        <f t="shared" si="11"/>
        <v>227.56846732881078</v>
      </c>
    </row>
    <row r="175" spans="1:6" x14ac:dyDescent="0.2">
      <c r="A175" s="1">
        <v>45727</v>
      </c>
      <c r="B175">
        <v>220.84</v>
      </c>
      <c r="C175" s="20">
        <f t="shared" si="8"/>
        <v>239.11999999999998</v>
      </c>
      <c r="D175" s="20">
        <f t="shared" si="9"/>
        <v>6.7926562512295892</v>
      </c>
      <c r="E175" s="20">
        <f t="shared" si="10"/>
        <v>252.70531250245915</v>
      </c>
      <c r="F175" s="20">
        <f t="shared" si="11"/>
        <v>225.5346874975408</v>
      </c>
    </row>
    <row r="176" spans="1:6" x14ac:dyDescent="0.2">
      <c r="A176" s="1">
        <v>45728</v>
      </c>
      <c r="B176">
        <v>216.98</v>
      </c>
      <c r="C176" s="20">
        <f t="shared" si="8"/>
        <v>238.33799999999997</v>
      </c>
      <c r="D176" s="20">
        <f t="shared" si="9"/>
        <v>8.3109392717638961</v>
      </c>
      <c r="E176" s="20">
        <f t="shared" si="10"/>
        <v>254.95987854352776</v>
      </c>
      <c r="F176" s="20">
        <f t="shared" si="11"/>
        <v>221.71612145647217</v>
      </c>
    </row>
    <row r="177" spans="1:6" x14ac:dyDescent="0.2">
      <c r="A177" s="1">
        <v>45729</v>
      </c>
      <c r="B177">
        <v>209.68</v>
      </c>
      <c r="C177" s="20">
        <f t="shared" si="8"/>
        <v>236.97850000000003</v>
      </c>
      <c r="D177" s="20">
        <f t="shared" si="9"/>
        <v>10.499432703973257</v>
      </c>
      <c r="E177" s="20">
        <f t="shared" si="10"/>
        <v>257.97736540794654</v>
      </c>
      <c r="F177" s="20">
        <f t="shared" si="11"/>
        <v>215.97963459205351</v>
      </c>
    </row>
    <row r="178" spans="1:6" x14ac:dyDescent="0.2">
      <c r="A178" s="1">
        <v>45730</v>
      </c>
      <c r="B178">
        <v>213.49</v>
      </c>
      <c r="C178" s="20">
        <f t="shared" si="8"/>
        <v>235.57650000000004</v>
      </c>
      <c r="D178" s="20">
        <f t="shared" si="9"/>
        <v>11.666878568251056</v>
      </c>
      <c r="E178" s="20">
        <f t="shared" si="10"/>
        <v>258.91025713650214</v>
      </c>
      <c r="F178" s="20">
        <f t="shared" si="11"/>
        <v>212.24274286349794</v>
      </c>
    </row>
    <row r="179" spans="1:6" x14ac:dyDescent="0.2">
      <c r="A179" s="1">
        <v>45733</v>
      </c>
      <c r="B179">
        <v>214</v>
      </c>
      <c r="C179" s="20">
        <f t="shared" si="8"/>
        <v>234.04649999999998</v>
      </c>
      <c r="D179" s="20">
        <f t="shared" si="9"/>
        <v>12.404389832041847</v>
      </c>
      <c r="E179" s="20">
        <f t="shared" si="10"/>
        <v>258.8552796640837</v>
      </c>
      <c r="F179" s="20">
        <f t="shared" si="11"/>
        <v>209.23772033591629</v>
      </c>
    </row>
    <row r="180" spans="1:6" x14ac:dyDescent="0.2">
      <c r="A180" s="1">
        <v>45734</v>
      </c>
      <c r="B180">
        <v>212.69</v>
      </c>
      <c r="C180" s="20">
        <f t="shared" si="8"/>
        <v>232.45749999999998</v>
      </c>
      <c r="D180" s="20">
        <f t="shared" si="9"/>
        <v>13.01913808894227</v>
      </c>
      <c r="E180" s="20">
        <f t="shared" si="10"/>
        <v>258.49577617788452</v>
      </c>
      <c r="F180" s="20">
        <f t="shared" si="11"/>
        <v>206.41922382211544</v>
      </c>
    </row>
    <row r="181" spans="1:6" x14ac:dyDescent="0.2">
      <c r="A181" s="1">
        <v>45735</v>
      </c>
      <c r="B181">
        <v>215.24</v>
      </c>
      <c r="C181" s="20">
        <f t="shared" si="8"/>
        <v>230.97599999999997</v>
      </c>
      <c r="D181" s="20">
        <f t="shared" si="9"/>
        <v>13.216688971464112</v>
      </c>
      <c r="E181" s="20">
        <f t="shared" si="10"/>
        <v>257.40937794292819</v>
      </c>
      <c r="F181" s="20">
        <f t="shared" si="11"/>
        <v>204.54262205707175</v>
      </c>
    </row>
    <row r="182" spans="1:6" x14ac:dyDescent="0.2">
      <c r="A182" s="1">
        <v>45736</v>
      </c>
      <c r="B182">
        <v>214.1</v>
      </c>
      <c r="C182" s="20">
        <f t="shared" si="8"/>
        <v>229.3895</v>
      </c>
      <c r="D182" s="20">
        <f t="shared" si="9"/>
        <v>13.244174280355157</v>
      </c>
      <c r="E182" s="20">
        <f t="shared" si="10"/>
        <v>255.87784856071031</v>
      </c>
      <c r="F182" s="20">
        <f t="shared" si="11"/>
        <v>202.90115143928969</v>
      </c>
    </row>
    <row r="183" spans="1:6" x14ac:dyDescent="0.2">
      <c r="A183" s="1">
        <v>45737</v>
      </c>
      <c r="B183">
        <v>218.27</v>
      </c>
      <c r="C183" s="20">
        <f t="shared" si="8"/>
        <v>228.02550000000005</v>
      </c>
      <c r="D183" s="20">
        <f t="shared" si="9"/>
        <v>12.892320225214455</v>
      </c>
      <c r="E183" s="20">
        <f t="shared" si="10"/>
        <v>253.81014045042895</v>
      </c>
      <c r="F183" s="20">
        <f t="shared" si="11"/>
        <v>202.24085954957116</v>
      </c>
    </row>
    <row r="184" spans="1:6" x14ac:dyDescent="0.2">
      <c r="A184" s="1">
        <v>45740</v>
      </c>
      <c r="B184">
        <v>220.73</v>
      </c>
      <c r="C184" s="20">
        <f t="shared" si="8"/>
        <v>226.70700000000002</v>
      </c>
      <c r="D184" s="20">
        <f t="shared" si="9"/>
        <v>12.166921117262339</v>
      </c>
      <c r="E184" s="20">
        <f t="shared" si="10"/>
        <v>251.04084223452469</v>
      </c>
      <c r="F184" s="20">
        <f t="shared" si="11"/>
        <v>202.37315776547536</v>
      </c>
    </row>
    <row r="185" spans="1:6" x14ac:dyDescent="0.2">
      <c r="A185" s="1">
        <v>45741</v>
      </c>
      <c r="B185">
        <v>223.75</v>
      </c>
      <c r="C185" s="20">
        <f t="shared" si="8"/>
        <v>225.54249999999996</v>
      </c>
      <c r="D185" s="20">
        <f t="shared" si="9"/>
        <v>11.194070740210735</v>
      </c>
      <c r="E185" s="20">
        <f t="shared" si="10"/>
        <v>247.93064148042143</v>
      </c>
      <c r="F185" s="20">
        <f t="shared" si="11"/>
        <v>203.15435851957849</v>
      </c>
    </row>
    <row r="186" spans="1:6" x14ac:dyDescent="0.2">
      <c r="A186" s="1">
        <v>45742</v>
      </c>
      <c r="B186">
        <v>221.53</v>
      </c>
      <c r="C186" s="20">
        <f t="shared" si="8"/>
        <v>224.60099999999997</v>
      </c>
      <c r="D186" s="20">
        <f t="shared" si="9"/>
        <v>10.661417354179513</v>
      </c>
      <c r="E186" s="20">
        <f t="shared" si="10"/>
        <v>245.92383470835898</v>
      </c>
      <c r="F186" s="20">
        <f t="shared" si="11"/>
        <v>203.27816529164096</v>
      </c>
    </row>
    <row r="187" spans="1:6" x14ac:dyDescent="0.2">
      <c r="A187" s="1">
        <v>45743</v>
      </c>
      <c r="B187">
        <v>223.85</v>
      </c>
      <c r="C187" s="20">
        <f t="shared" si="8"/>
        <v>223.92850000000004</v>
      </c>
      <c r="D187" s="20">
        <f t="shared" si="9"/>
        <v>10.233857262717914</v>
      </c>
      <c r="E187" s="20">
        <f t="shared" si="10"/>
        <v>244.39621452543588</v>
      </c>
      <c r="F187" s="20">
        <f t="shared" si="11"/>
        <v>203.4607854745642</v>
      </c>
    </row>
    <row r="188" spans="1:6" x14ac:dyDescent="0.2">
      <c r="A188" s="1">
        <v>45744</v>
      </c>
      <c r="B188">
        <v>217.9</v>
      </c>
      <c r="C188" s="20">
        <f t="shared" si="8"/>
        <v>222.73150000000001</v>
      </c>
      <c r="D188" s="20">
        <f t="shared" si="9"/>
        <v>9.3942021733452279</v>
      </c>
      <c r="E188" s="20">
        <f t="shared" si="10"/>
        <v>241.51990434669045</v>
      </c>
      <c r="F188" s="20">
        <f t="shared" si="11"/>
        <v>203.94309565330957</v>
      </c>
    </row>
    <row r="189" spans="1:6" x14ac:dyDescent="0.2">
      <c r="A189" s="1">
        <v>45747</v>
      </c>
      <c r="B189">
        <v>222.13</v>
      </c>
      <c r="C189" s="20">
        <f t="shared" si="8"/>
        <v>221.93650000000002</v>
      </c>
      <c r="D189" s="20">
        <f t="shared" si="9"/>
        <v>8.6767895317880885</v>
      </c>
      <c r="E189" s="20">
        <f t="shared" si="10"/>
        <v>239.2900790635762</v>
      </c>
      <c r="F189" s="20">
        <f t="shared" si="11"/>
        <v>204.58292093642385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8E220-3C9B-4A47-BE0E-B244AD46AC4E}">
  <dimension ref="A1:D189"/>
  <sheetViews>
    <sheetView zoomScale="110" zoomScaleNormal="70" workbookViewId="0">
      <selection activeCell="D17" sqref="D17"/>
    </sheetView>
  </sheetViews>
  <sheetFormatPr baseColWidth="10" defaultColWidth="8.83203125" defaultRowHeight="15" x14ac:dyDescent="0.2"/>
  <cols>
    <col min="1" max="1" width="11.1640625" style="20" bestFit="1" customWidth="1"/>
    <col min="2" max="2" width="7.5" style="20" bestFit="1" customWidth="1"/>
    <col min="3" max="16384" width="8.83203125" style="20"/>
  </cols>
  <sheetData>
    <row r="1" spans="1:4" x14ac:dyDescent="0.2">
      <c r="A1" s="20" t="s">
        <v>0</v>
      </c>
      <c r="B1" s="8" t="s">
        <v>29</v>
      </c>
      <c r="C1" s="20" t="s">
        <v>63</v>
      </c>
      <c r="D1" s="20" t="s">
        <v>64</v>
      </c>
    </row>
    <row r="2" spans="1:4" x14ac:dyDescent="0.2">
      <c r="A2" s="1">
        <v>45474</v>
      </c>
      <c r="B2">
        <v>216.75</v>
      </c>
    </row>
    <row r="3" spans="1:4" x14ac:dyDescent="0.2">
      <c r="A3" s="1">
        <v>45475</v>
      </c>
      <c r="B3">
        <v>220.27</v>
      </c>
    </row>
    <row r="4" spans="1:4" x14ac:dyDescent="0.2">
      <c r="A4" s="1">
        <v>45476</v>
      </c>
      <c r="B4">
        <v>221.55</v>
      </c>
    </row>
    <row r="5" spans="1:4" x14ac:dyDescent="0.2">
      <c r="A5" s="1">
        <v>45478</v>
      </c>
      <c r="B5">
        <v>226.34</v>
      </c>
    </row>
    <row r="6" spans="1:4" x14ac:dyDescent="0.2">
      <c r="A6" s="1">
        <v>45481</v>
      </c>
      <c r="B6">
        <v>227.82</v>
      </c>
    </row>
    <row r="7" spans="1:4" x14ac:dyDescent="0.2">
      <c r="A7" s="1">
        <v>45482</v>
      </c>
      <c r="B7">
        <v>228.68</v>
      </c>
    </row>
    <row r="8" spans="1:4" x14ac:dyDescent="0.2">
      <c r="A8" s="1">
        <v>45483</v>
      </c>
      <c r="B8">
        <v>232.98</v>
      </c>
    </row>
    <row r="9" spans="1:4" x14ac:dyDescent="0.2">
      <c r="A9" s="1">
        <v>45484</v>
      </c>
      <c r="B9">
        <v>227.57</v>
      </c>
    </row>
    <row r="10" spans="1:4" x14ac:dyDescent="0.2">
      <c r="A10" s="1">
        <v>45485</v>
      </c>
      <c r="B10">
        <v>230.54</v>
      </c>
    </row>
    <row r="11" spans="1:4" x14ac:dyDescent="0.2">
      <c r="A11" s="1">
        <v>45488</v>
      </c>
      <c r="B11">
        <v>234.4</v>
      </c>
    </row>
    <row r="12" spans="1:4" x14ac:dyDescent="0.2">
      <c r="A12" s="1">
        <v>45489</v>
      </c>
      <c r="B12">
        <v>234.82</v>
      </c>
    </row>
    <row r="13" spans="1:4" x14ac:dyDescent="0.2">
      <c r="A13" s="1">
        <v>45490</v>
      </c>
      <c r="B13">
        <v>228.88</v>
      </c>
    </row>
    <row r="14" spans="1:4" x14ac:dyDescent="0.2">
      <c r="A14" s="1">
        <v>45491</v>
      </c>
      <c r="B14">
        <v>224.18</v>
      </c>
    </row>
    <row r="15" spans="1:4" x14ac:dyDescent="0.2">
      <c r="A15" s="1">
        <v>45492</v>
      </c>
      <c r="B15">
        <v>224.31</v>
      </c>
      <c r="C15" s="20">
        <f t="shared" ref="C15:C78" si="0">(B15 - MIN(B2:B15)) / (MAX(B2:B15) - MIN(B2:B15)) * 100</f>
        <v>41.837299391256252</v>
      </c>
    </row>
    <row r="16" spans="1:4" x14ac:dyDescent="0.2">
      <c r="A16" s="1">
        <v>45495</v>
      </c>
      <c r="B16">
        <v>223.96</v>
      </c>
      <c r="C16" s="20">
        <f t="shared" si="0"/>
        <v>25.360824742268058</v>
      </c>
    </row>
    <row r="17" spans="1:4" x14ac:dyDescent="0.2">
      <c r="A17" s="1">
        <v>45496</v>
      </c>
      <c r="B17">
        <v>225.01</v>
      </c>
      <c r="C17" s="20">
        <f t="shared" si="0"/>
        <v>26.073850791258359</v>
      </c>
      <c r="D17" s="20">
        <f>AVERAGE(C15:C17)</f>
        <v>31.090658308260895</v>
      </c>
    </row>
    <row r="18" spans="1:4" x14ac:dyDescent="0.2">
      <c r="A18" s="1">
        <v>45497</v>
      </c>
      <c r="B18">
        <v>218.54</v>
      </c>
      <c r="C18" s="20">
        <f t="shared" si="0"/>
        <v>0</v>
      </c>
      <c r="D18" s="20">
        <f t="shared" ref="D18:D80" si="1">AVERAGE(C16:C18)</f>
        <v>17.144891844508805</v>
      </c>
    </row>
    <row r="19" spans="1:4" x14ac:dyDescent="0.2">
      <c r="A19" s="1">
        <v>45498</v>
      </c>
      <c r="B19">
        <v>217.49</v>
      </c>
      <c r="C19" s="20">
        <f t="shared" si="0"/>
        <v>0</v>
      </c>
      <c r="D19" s="20">
        <f t="shared" si="1"/>
        <v>8.6912835970861195</v>
      </c>
    </row>
    <row r="20" spans="1:4" x14ac:dyDescent="0.2">
      <c r="A20" s="1">
        <v>45499</v>
      </c>
      <c r="B20">
        <v>217.96</v>
      </c>
      <c r="C20" s="20">
        <f t="shared" si="0"/>
        <v>2.712060011540677</v>
      </c>
      <c r="D20" s="20">
        <f t="shared" si="1"/>
        <v>0.90402000384689229</v>
      </c>
    </row>
    <row r="21" spans="1:4" x14ac:dyDescent="0.2">
      <c r="A21" s="1">
        <v>45502</v>
      </c>
      <c r="B21">
        <v>218.24</v>
      </c>
      <c r="C21" s="20">
        <f t="shared" si="0"/>
        <v>4.3277553375649198</v>
      </c>
      <c r="D21" s="20">
        <f t="shared" si="1"/>
        <v>2.3466051163685324</v>
      </c>
    </row>
    <row r="22" spans="1:4" x14ac:dyDescent="0.2">
      <c r="A22" s="1">
        <v>45503</v>
      </c>
      <c r="B22">
        <v>218.8</v>
      </c>
      <c r="C22" s="20">
        <f t="shared" si="0"/>
        <v>7.5591459896134072</v>
      </c>
      <c r="D22" s="20">
        <f t="shared" si="1"/>
        <v>4.8663204462396683</v>
      </c>
    </row>
    <row r="23" spans="1:4" x14ac:dyDescent="0.2">
      <c r="A23" s="1">
        <v>45504</v>
      </c>
      <c r="B23">
        <v>222.08</v>
      </c>
      <c r="C23" s="20">
        <f t="shared" si="0"/>
        <v>26.485862665897329</v>
      </c>
      <c r="D23" s="20">
        <f t="shared" si="1"/>
        <v>12.790921331025219</v>
      </c>
    </row>
    <row r="24" spans="1:4" x14ac:dyDescent="0.2">
      <c r="A24" s="1">
        <v>45505</v>
      </c>
      <c r="B24">
        <v>218.36</v>
      </c>
      <c r="C24" s="20">
        <f t="shared" si="0"/>
        <v>5.0201961915753337</v>
      </c>
      <c r="D24" s="20">
        <f t="shared" si="1"/>
        <v>13.021734949028689</v>
      </c>
    </row>
    <row r="25" spans="1:4" x14ac:dyDescent="0.2">
      <c r="A25" s="1">
        <v>45506</v>
      </c>
      <c r="B25">
        <v>219.86</v>
      </c>
      <c r="C25" s="20">
        <f t="shared" si="0"/>
        <v>13.675706866705175</v>
      </c>
      <c r="D25" s="20">
        <f t="shared" si="1"/>
        <v>15.060588574725946</v>
      </c>
    </row>
    <row r="26" spans="1:4" x14ac:dyDescent="0.2">
      <c r="A26" s="1">
        <v>45509</v>
      </c>
      <c r="B26">
        <v>209.27</v>
      </c>
      <c r="C26" s="20">
        <f t="shared" si="0"/>
        <v>0</v>
      </c>
      <c r="D26" s="20">
        <f t="shared" si="1"/>
        <v>6.231967686093502</v>
      </c>
    </row>
    <row r="27" spans="1:4" x14ac:dyDescent="0.2">
      <c r="A27" s="1">
        <v>45510</v>
      </c>
      <c r="B27">
        <v>207.23</v>
      </c>
      <c r="C27" s="20">
        <f t="shared" si="0"/>
        <v>0</v>
      </c>
      <c r="D27" s="20">
        <f t="shared" si="1"/>
        <v>4.5585689555683917</v>
      </c>
    </row>
    <row r="28" spans="1:4" x14ac:dyDescent="0.2">
      <c r="A28" s="1">
        <v>45511</v>
      </c>
      <c r="B28">
        <v>209.82</v>
      </c>
      <c r="C28" s="20">
        <f t="shared" si="0"/>
        <v>14.566929133858286</v>
      </c>
      <c r="D28" s="20">
        <f t="shared" si="1"/>
        <v>4.8556430446194287</v>
      </c>
    </row>
    <row r="29" spans="1:4" x14ac:dyDescent="0.2">
      <c r="A29" s="1">
        <v>45512</v>
      </c>
      <c r="B29">
        <v>213.31</v>
      </c>
      <c r="C29" s="20">
        <f t="shared" si="0"/>
        <v>34.195725534308281</v>
      </c>
      <c r="D29" s="20">
        <f t="shared" si="1"/>
        <v>16.254218222722191</v>
      </c>
    </row>
    <row r="30" spans="1:4" x14ac:dyDescent="0.2">
      <c r="A30" s="1">
        <v>45513</v>
      </c>
      <c r="B30">
        <v>216.24</v>
      </c>
      <c r="C30" s="20">
        <f t="shared" si="0"/>
        <v>50.674915635545659</v>
      </c>
      <c r="D30" s="20">
        <f t="shared" si="1"/>
        <v>33.145856767904071</v>
      </c>
    </row>
    <row r="31" spans="1:4" x14ac:dyDescent="0.2">
      <c r="A31" s="1">
        <v>45516</v>
      </c>
      <c r="B31">
        <v>217.53</v>
      </c>
      <c r="C31" s="20">
        <f t="shared" si="0"/>
        <v>69.360269360269328</v>
      </c>
      <c r="D31" s="20">
        <f t="shared" si="1"/>
        <v>51.410303510041082</v>
      </c>
    </row>
    <row r="32" spans="1:4" x14ac:dyDescent="0.2">
      <c r="A32" s="1">
        <v>45517</v>
      </c>
      <c r="B32">
        <v>221.27</v>
      </c>
      <c r="C32" s="20">
        <f t="shared" si="0"/>
        <v>94.545454545454547</v>
      </c>
      <c r="D32" s="20">
        <f t="shared" si="1"/>
        <v>71.526879847089845</v>
      </c>
    </row>
    <row r="33" spans="1:4" x14ac:dyDescent="0.2">
      <c r="A33" s="1">
        <v>45518</v>
      </c>
      <c r="B33">
        <v>221.72</v>
      </c>
      <c r="C33" s="20">
        <f t="shared" si="0"/>
        <v>97.575757575757478</v>
      </c>
      <c r="D33" s="20">
        <f t="shared" si="1"/>
        <v>87.160493827160451</v>
      </c>
    </row>
    <row r="34" spans="1:4" x14ac:dyDescent="0.2">
      <c r="A34" s="1">
        <v>45519</v>
      </c>
      <c r="B34">
        <v>224.72</v>
      </c>
      <c r="C34" s="20">
        <f t="shared" si="0"/>
        <v>100</v>
      </c>
      <c r="D34" s="20">
        <f t="shared" si="1"/>
        <v>97.373737373737342</v>
      </c>
    </row>
    <row r="35" spans="1:4" x14ac:dyDescent="0.2">
      <c r="A35" s="1">
        <v>45520</v>
      </c>
      <c r="B35">
        <v>226.05</v>
      </c>
      <c r="C35" s="20">
        <f t="shared" si="0"/>
        <v>100</v>
      </c>
      <c r="D35" s="20">
        <f t="shared" si="1"/>
        <v>99.191919191919169</v>
      </c>
    </row>
    <row r="36" spans="1:4" x14ac:dyDescent="0.2">
      <c r="A36" s="1">
        <v>45523</v>
      </c>
      <c r="B36">
        <v>225.89</v>
      </c>
      <c r="C36" s="20">
        <f t="shared" si="0"/>
        <v>99.149840595111442</v>
      </c>
      <c r="D36" s="20">
        <f t="shared" si="1"/>
        <v>99.7166135317038</v>
      </c>
    </row>
    <row r="37" spans="1:4" x14ac:dyDescent="0.2">
      <c r="A37" s="1">
        <v>45524</v>
      </c>
      <c r="B37">
        <v>226.51</v>
      </c>
      <c r="C37" s="20">
        <f t="shared" si="0"/>
        <v>100</v>
      </c>
      <c r="D37" s="20">
        <f t="shared" si="1"/>
        <v>99.7166135317038</v>
      </c>
    </row>
    <row r="38" spans="1:4" x14ac:dyDescent="0.2">
      <c r="A38" s="1">
        <v>45525</v>
      </c>
      <c r="B38">
        <v>226.4</v>
      </c>
      <c r="C38" s="20">
        <f t="shared" si="0"/>
        <v>99.429460580912945</v>
      </c>
      <c r="D38" s="20">
        <f t="shared" si="1"/>
        <v>99.526433725341462</v>
      </c>
    </row>
    <row r="39" spans="1:4" x14ac:dyDescent="0.2">
      <c r="A39" s="1">
        <v>45526</v>
      </c>
      <c r="B39">
        <v>224.53</v>
      </c>
      <c r="C39" s="20">
        <f t="shared" si="0"/>
        <v>89.73029045643159</v>
      </c>
      <c r="D39" s="20">
        <f t="shared" si="1"/>
        <v>96.38658367911485</v>
      </c>
    </row>
    <row r="40" spans="1:4" x14ac:dyDescent="0.2">
      <c r="A40" s="1">
        <v>45527</v>
      </c>
      <c r="B40">
        <v>226.84</v>
      </c>
      <c r="C40" s="20">
        <f t="shared" si="0"/>
        <v>100</v>
      </c>
      <c r="D40" s="20">
        <f t="shared" si="1"/>
        <v>96.38658367911485</v>
      </c>
    </row>
    <row r="41" spans="1:4" x14ac:dyDescent="0.2">
      <c r="A41" s="1">
        <v>45530</v>
      </c>
      <c r="B41">
        <v>227.18</v>
      </c>
      <c r="C41" s="20">
        <f t="shared" si="0"/>
        <v>100</v>
      </c>
      <c r="D41" s="20">
        <f t="shared" si="1"/>
        <v>96.576763485477201</v>
      </c>
    </row>
    <row r="42" spans="1:4" x14ac:dyDescent="0.2">
      <c r="A42" s="1">
        <v>45531</v>
      </c>
      <c r="B42">
        <v>228.03</v>
      </c>
      <c r="C42" s="20">
        <f t="shared" si="0"/>
        <v>100</v>
      </c>
      <c r="D42" s="20">
        <f t="shared" si="1"/>
        <v>100</v>
      </c>
    </row>
    <row r="43" spans="1:4" x14ac:dyDescent="0.2">
      <c r="A43" s="1">
        <v>45532</v>
      </c>
      <c r="B43">
        <v>226.49</v>
      </c>
      <c r="C43" s="20">
        <f t="shared" si="0"/>
        <v>86.938083121289296</v>
      </c>
      <c r="D43" s="20">
        <f t="shared" si="1"/>
        <v>95.646027707096437</v>
      </c>
    </row>
    <row r="44" spans="1:4" x14ac:dyDescent="0.2">
      <c r="A44" s="1">
        <v>45533</v>
      </c>
      <c r="B44">
        <v>229.79</v>
      </c>
      <c r="C44" s="20">
        <f t="shared" si="0"/>
        <v>100</v>
      </c>
      <c r="D44" s="20">
        <f t="shared" si="1"/>
        <v>95.646027707096437</v>
      </c>
    </row>
    <row r="45" spans="1:4" x14ac:dyDescent="0.2">
      <c r="A45" s="1">
        <v>45534</v>
      </c>
      <c r="B45">
        <v>229</v>
      </c>
      <c r="C45" s="20">
        <f t="shared" si="0"/>
        <v>90.727699530516503</v>
      </c>
      <c r="D45" s="20">
        <f t="shared" si="1"/>
        <v>92.555260883935262</v>
      </c>
    </row>
    <row r="46" spans="1:4" x14ac:dyDescent="0.2">
      <c r="A46" s="1">
        <v>45538</v>
      </c>
      <c r="B46">
        <v>222.77</v>
      </c>
      <c r="C46" s="20">
        <f t="shared" si="0"/>
        <v>13.01115241635703</v>
      </c>
      <c r="D46" s="20">
        <f t="shared" si="1"/>
        <v>67.912950648957846</v>
      </c>
    </row>
    <row r="47" spans="1:4" x14ac:dyDescent="0.2">
      <c r="A47" s="1">
        <v>45539</v>
      </c>
      <c r="B47">
        <v>220.85</v>
      </c>
      <c r="C47" s="20">
        <f t="shared" si="0"/>
        <v>0</v>
      </c>
      <c r="D47" s="20">
        <f t="shared" si="1"/>
        <v>34.57961731562451</v>
      </c>
    </row>
    <row r="48" spans="1:4" x14ac:dyDescent="0.2">
      <c r="A48" s="1">
        <v>45540</v>
      </c>
      <c r="B48">
        <v>222.38</v>
      </c>
      <c r="C48" s="20">
        <f t="shared" si="0"/>
        <v>17.114093959731562</v>
      </c>
      <c r="D48" s="20">
        <f t="shared" si="1"/>
        <v>10.04174879202953</v>
      </c>
    </row>
    <row r="49" spans="1:4" x14ac:dyDescent="0.2">
      <c r="A49" s="1">
        <v>45541</v>
      </c>
      <c r="B49">
        <v>220.82</v>
      </c>
      <c r="C49" s="20">
        <f t="shared" si="0"/>
        <v>0</v>
      </c>
      <c r="D49" s="20">
        <f t="shared" si="1"/>
        <v>5.7046979865771874</v>
      </c>
    </row>
    <row r="50" spans="1:4" x14ac:dyDescent="0.2">
      <c r="A50" s="1">
        <v>45544</v>
      </c>
      <c r="B50">
        <v>220.91</v>
      </c>
      <c r="C50" s="20">
        <f t="shared" si="0"/>
        <v>1.0033444816053894</v>
      </c>
      <c r="D50" s="20">
        <f t="shared" si="1"/>
        <v>6.0391461471123167</v>
      </c>
    </row>
    <row r="51" spans="1:4" x14ac:dyDescent="0.2">
      <c r="A51" s="1">
        <v>45545</v>
      </c>
      <c r="B51">
        <v>220.11</v>
      </c>
      <c r="C51" s="20">
        <f t="shared" si="0"/>
        <v>0</v>
      </c>
      <c r="D51" s="20">
        <f t="shared" si="1"/>
        <v>0.33444816053512977</v>
      </c>
    </row>
    <row r="52" spans="1:4" x14ac:dyDescent="0.2">
      <c r="A52" s="1">
        <v>45546</v>
      </c>
      <c r="B52">
        <v>222.66</v>
      </c>
      <c r="C52" s="20">
        <f t="shared" si="0"/>
        <v>26.342975206611452</v>
      </c>
      <c r="D52" s="20">
        <f t="shared" si="1"/>
        <v>9.1154398960722798</v>
      </c>
    </row>
    <row r="53" spans="1:4" x14ac:dyDescent="0.2">
      <c r="A53" s="1">
        <v>45547</v>
      </c>
      <c r="B53">
        <v>222.77</v>
      </c>
      <c r="C53" s="20">
        <f t="shared" si="0"/>
        <v>27.479338842975231</v>
      </c>
      <c r="D53" s="20">
        <f t="shared" si="1"/>
        <v>17.940771349862228</v>
      </c>
    </row>
    <row r="54" spans="1:4" x14ac:dyDescent="0.2">
      <c r="A54" s="1">
        <v>45548</v>
      </c>
      <c r="B54">
        <v>222.5</v>
      </c>
      <c r="C54" s="20">
        <f t="shared" si="0"/>
        <v>24.690082644628013</v>
      </c>
      <c r="D54" s="20">
        <f t="shared" si="1"/>
        <v>26.170798898071563</v>
      </c>
    </row>
    <row r="55" spans="1:4" x14ac:dyDescent="0.2">
      <c r="A55" s="1">
        <v>45551</v>
      </c>
      <c r="B55">
        <v>216.32</v>
      </c>
      <c r="C55" s="20">
        <f t="shared" si="0"/>
        <v>0</v>
      </c>
      <c r="D55" s="20">
        <f t="shared" si="1"/>
        <v>17.389807162534414</v>
      </c>
    </row>
    <row r="56" spans="1:4" x14ac:dyDescent="0.2">
      <c r="A56" s="1">
        <v>45552</v>
      </c>
      <c r="B56">
        <v>216.79</v>
      </c>
      <c r="C56" s="20">
        <f t="shared" si="0"/>
        <v>3.4892353377876684</v>
      </c>
      <c r="D56" s="20">
        <f t="shared" si="1"/>
        <v>9.3931059941385602</v>
      </c>
    </row>
    <row r="57" spans="1:4" x14ac:dyDescent="0.2">
      <c r="A57" s="1">
        <v>45553</v>
      </c>
      <c r="B57">
        <v>220.69</v>
      </c>
      <c r="C57" s="20">
        <f t="shared" si="0"/>
        <v>32.442464736451413</v>
      </c>
      <c r="D57" s="20">
        <f t="shared" si="1"/>
        <v>11.977233358079694</v>
      </c>
    </row>
    <row r="58" spans="1:4" x14ac:dyDescent="0.2">
      <c r="A58" s="1">
        <v>45554</v>
      </c>
      <c r="B58">
        <v>228.87</v>
      </c>
      <c r="C58" s="20">
        <f t="shared" si="0"/>
        <v>98.974763406940099</v>
      </c>
      <c r="D58" s="20">
        <f t="shared" si="1"/>
        <v>44.968821160393055</v>
      </c>
    </row>
    <row r="59" spans="1:4" x14ac:dyDescent="0.2">
      <c r="A59" s="1">
        <v>45555</v>
      </c>
      <c r="B59">
        <v>228.2</v>
      </c>
      <c r="C59" s="20">
        <f t="shared" si="0"/>
        <v>94.66135458167318</v>
      </c>
      <c r="D59" s="20">
        <f t="shared" si="1"/>
        <v>75.359527575021573</v>
      </c>
    </row>
    <row r="60" spans="1:4" x14ac:dyDescent="0.2">
      <c r="A60" s="1">
        <v>45558</v>
      </c>
      <c r="B60">
        <v>226.47</v>
      </c>
      <c r="C60" s="20">
        <f t="shared" si="0"/>
        <v>80.876494023904357</v>
      </c>
      <c r="D60" s="20">
        <f t="shared" si="1"/>
        <v>91.50420400417255</v>
      </c>
    </row>
    <row r="61" spans="1:4" x14ac:dyDescent="0.2">
      <c r="A61" s="1">
        <v>45559</v>
      </c>
      <c r="B61">
        <v>227.37</v>
      </c>
      <c r="C61" s="20">
        <f t="shared" si="0"/>
        <v>88.047808764940243</v>
      </c>
      <c r="D61" s="20">
        <f t="shared" si="1"/>
        <v>87.861885790172593</v>
      </c>
    </row>
    <row r="62" spans="1:4" x14ac:dyDescent="0.2">
      <c r="A62" s="1">
        <v>45560</v>
      </c>
      <c r="B62">
        <v>226.37</v>
      </c>
      <c r="C62" s="20">
        <f t="shared" si="0"/>
        <v>80.079681274900423</v>
      </c>
      <c r="D62" s="20">
        <f t="shared" si="1"/>
        <v>83.001328021248341</v>
      </c>
    </row>
    <row r="63" spans="1:4" x14ac:dyDescent="0.2">
      <c r="A63" s="1">
        <v>45561</v>
      </c>
      <c r="B63">
        <v>227.52</v>
      </c>
      <c r="C63" s="20">
        <f t="shared" si="0"/>
        <v>89.243027888446264</v>
      </c>
      <c r="D63" s="20">
        <f t="shared" si="1"/>
        <v>85.7901726427623</v>
      </c>
    </row>
    <row r="64" spans="1:4" x14ac:dyDescent="0.2">
      <c r="A64" s="1">
        <v>45562</v>
      </c>
      <c r="B64">
        <v>227.79</v>
      </c>
      <c r="C64" s="20">
        <f t="shared" si="0"/>
        <v>91.39442231075688</v>
      </c>
      <c r="D64" s="20">
        <f t="shared" si="1"/>
        <v>86.905710491367856</v>
      </c>
    </row>
    <row r="65" spans="1:4" x14ac:dyDescent="0.2">
      <c r="A65" s="1">
        <v>45565</v>
      </c>
      <c r="B65">
        <v>233</v>
      </c>
      <c r="C65" s="20">
        <f t="shared" si="0"/>
        <v>100</v>
      </c>
      <c r="D65" s="20">
        <f t="shared" si="1"/>
        <v>93.545816733067724</v>
      </c>
    </row>
    <row r="66" spans="1:4" x14ac:dyDescent="0.2">
      <c r="A66" s="1">
        <v>45566</v>
      </c>
      <c r="B66">
        <v>226.21</v>
      </c>
      <c r="C66" s="20">
        <f t="shared" si="0"/>
        <v>59.292565947242274</v>
      </c>
      <c r="D66" s="20">
        <f t="shared" si="1"/>
        <v>83.562329419333054</v>
      </c>
    </row>
    <row r="67" spans="1:4" x14ac:dyDescent="0.2">
      <c r="A67" s="1">
        <v>45567</v>
      </c>
      <c r="B67">
        <v>226.78</v>
      </c>
      <c r="C67" s="20">
        <f t="shared" si="0"/>
        <v>62.70983213429259</v>
      </c>
      <c r="D67" s="20">
        <f t="shared" si="1"/>
        <v>74.000799360511621</v>
      </c>
    </row>
    <row r="68" spans="1:4" x14ac:dyDescent="0.2">
      <c r="A68" s="1">
        <v>45568</v>
      </c>
      <c r="B68">
        <v>225.67</v>
      </c>
      <c r="C68" s="20">
        <f t="shared" si="0"/>
        <v>56.055155875299704</v>
      </c>
      <c r="D68" s="20">
        <f t="shared" si="1"/>
        <v>59.35251798561152</v>
      </c>
    </row>
    <row r="69" spans="1:4" x14ac:dyDescent="0.2">
      <c r="A69" s="1">
        <v>45569</v>
      </c>
      <c r="B69">
        <v>226.8</v>
      </c>
      <c r="C69" s="20">
        <f t="shared" si="0"/>
        <v>61.752004935225258</v>
      </c>
      <c r="D69" s="20">
        <f t="shared" si="1"/>
        <v>60.172330981605853</v>
      </c>
    </row>
    <row r="70" spans="1:4" x14ac:dyDescent="0.2">
      <c r="A70" s="1">
        <v>45572</v>
      </c>
      <c r="B70">
        <v>221.69</v>
      </c>
      <c r="C70" s="20">
        <f t="shared" si="0"/>
        <v>8.1234768480909807</v>
      </c>
      <c r="D70" s="20">
        <f t="shared" si="1"/>
        <v>41.976879219538652</v>
      </c>
    </row>
    <row r="71" spans="1:4" x14ac:dyDescent="0.2">
      <c r="A71" s="1">
        <v>45573</v>
      </c>
      <c r="B71">
        <v>225.77</v>
      </c>
      <c r="C71" s="20">
        <f t="shared" si="0"/>
        <v>36.07427055702928</v>
      </c>
      <c r="D71" s="20">
        <f t="shared" si="1"/>
        <v>35.316584113448506</v>
      </c>
    </row>
    <row r="72" spans="1:4" x14ac:dyDescent="0.2">
      <c r="A72" s="1">
        <v>45574</v>
      </c>
      <c r="B72">
        <v>229.54</v>
      </c>
      <c r="C72" s="20">
        <f t="shared" si="0"/>
        <v>69.407603890362452</v>
      </c>
      <c r="D72" s="20">
        <f t="shared" si="1"/>
        <v>37.868450431827569</v>
      </c>
    </row>
    <row r="73" spans="1:4" x14ac:dyDescent="0.2">
      <c r="A73" s="1">
        <v>45575</v>
      </c>
      <c r="B73">
        <v>229.04</v>
      </c>
      <c r="C73" s="20">
        <f t="shared" si="0"/>
        <v>64.98673740053043</v>
      </c>
      <c r="D73" s="20">
        <f t="shared" si="1"/>
        <v>56.822870615974047</v>
      </c>
    </row>
    <row r="74" spans="1:4" x14ac:dyDescent="0.2">
      <c r="A74" s="1">
        <v>45576</v>
      </c>
      <c r="B74">
        <v>227.55</v>
      </c>
      <c r="C74" s="20">
        <f t="shared" si="0"/>
        <v>51.812555260831225</v>
      </c>
      <c r="D74" s="20">
        <f t="shared" si="1"/>
        <v>62.068965517241374</v>
      </c>
    </row>
    <row r="75" spans="1:4" x14ac:dyDescent="0.2">
      <c r="A75" s="1">
        <v>45579</v>
      </c>
      <c r="B75">
        <v>231.3</v>
      </c>
      <c r="C75" s="20">
        <f t="shared" si="0"/>
        <v>84.969053934571278</v>
      </c>
      <c r="D75" s="20">
        <f t="shared" si="1"/>
        <v>67.256115531977642</v>
      </c>
    </row>
    <row r="76" spans="1:4" x14ac:dyDescent="0.2">
      <c r="A76" s="1">
        <v>45580</v>
      </c>
      <c r="B76">
        <v>233.85</v>
      </c>
      <c r="C76" s="20">
        <f t="shared" si="0"/>
        <v>100</v>
      </c>
      <c r="D76" s="20">
        <f t="shared" si="1"/>
        <v>78.927203065134165</v>
      </c>
    </row>
    <row r="77" spans="1:4" x14ac:dyDescent="0.2">
      <c r="A77" s="1">
        <v>45581</v>
      </c>
      <c r="B77">
        <v>231.78</v>
      </c>
      <c r="C77" s="20">
        <f t="shared" si="0"/>
        <v>82.976973684210577</v>
      </c>
      <c r="D77" s="20">
        <f t="shared" si="1"/>
        <v>89.315342539593942</v>
      </c>
    </row>
    <row r="78" spans="1:4" x14ac:dyDescent="0.2">
      <c r="A78" s="1">
        <v>45582</v>
      </c>
      <c r="B78">
        <v>232.15</v>
      </c>
      <c r="C78" s="20">
        <f t="shared" si="0"/>
        <v>86.01973684210536</v>
      </c>
      <c r="D78" s="20">
        <f t="shared" si="1"/>
        <v>89.665570175438646</v>
      </c>
    </row>
    <row r="79" spans="1:4" x14ac:dyDescent="0.2">
      <c r="A79" s="1">
        <v>45583</v>
      </c>
      <c r="B79">
        <v>235</v>
      </c>
      <c r="C79" s="20">
        <f t="shared" ref="C79:C142" si="2">(B79 - MIN(B66:B79)) / (MAX(B66:B79) - MIN(B66:B79)) * 100</f>
        <v>100</v>
      </c>
      <c r="D79" s="20">
        <f t="shared" si="1"/>
        <v>89.665570175438646</v>
      </c>
    </row>
    <row r="80" spans="1:4" x14ac:dyDescent="0.2">
      <c r="A80" s="1">
        <v>45586</v>
      </c>
      <c r="B80">
        <v>236.48</v>
      </c>
      <c r="C80" s="20">
        <f t="shared" si="2"/>
        <v>100</v>
      </c>
      <c r="D80" s="20">
        <f t="shared" si="1"/>
        <v>95.339912280701796</v>
      </c>
    </row>
    <row r="81" spans="1:4" x14ac:dyDescent="0.2">
      <c r="A81" s="1">
        <v>45587</v>
      </c>
      <c r="B81">
        <v>235.86</v>
      </c>
      <c r="C81" s="20">
        <f t="shared" si="2"/>
        <v>95.80797836375946</v>
      </c>
      <c r="D81" s="20">
        <f t="shared" ref="D81:D144" si="3">AVERAGE(C79:C81)</f>
        <v>98.602659454586487</v>
      </c>
    </row>
    <row r="82" spans="1:4" x14ac:dyDescent="0.2">
      <c r="A82" s="1">
        <v>45588</v>
      </c>
      <c r="B82">
        <v>230.76</v>
      </c>
      <c r="C82" s="20">
        <f t="shared" si="2"/>
        <v>61.325219743069624</v>
      </c>
      <c r="D82" s="20">
        <f t="shared" si="3"/>
        <v>85.71106603560969</v>
      </c>
    </row>
    <row r="83" spans="1:4" x14ac:dyDescent="0.2">
      <c r="A83" s="1">
        <v>45589</v>
      </c>
      <c r="B83">
        <v>230.57</v>
      </c>
      <c r="C83" s="20">
        <f t="shared" si="2"/>
        <v>60.040567951318458</v>
      </c>
      <c r="D83" s="20">
        <f t="shared" si="3"/>
        <v>72.391255352715845</v>
      </c>
    </row>
    <row r="84" spans="1:4" x14ac:dyDescent="0.2">
      <c r="A84" s="1">
        <v>45590</v>
      </c>
      <c r="B84">
        <v>231.41</v>
      </c>
      <c r="C84" s="20">
        <f t="shared" si="2"/>
        <v>52.661064425770277</v>
      </c>
      <c r="D84" s="20">
        <f t="shared" si="3"/>
        <v>58.008950706719453</v>
      </c>
    </row>
    <row r="85" spans="1:4" x14ac:dyDescent="0.2">
      <c r="A85" s="1">
        <v>45593</v>
      </c>
      <c r="B85">
        <v>233.4</v>
      </c>
      <c r="C85" s="20">
        <f t="shared" si="2"/>
        <v>65.50951847704377</v>
      </c>
      <c r="D85" s="20">
        <f t="shared" si="3"/>
        <v>59.403716951377504</v>
      </c>
    </row>
    <row r="86" spans="1:4" x14ac:dyDescent="0.2">
      <c r="A86" s="1">
        <v>45594</v>
      </c>
      <c r="B86">
        <v>233.67</v>
      </c>
      <c r="C86" s="20">
        <f t="shared" si="2"/>
        <v>68.533034714445591</v>
      </c>
      <c r="D86" s="20">
        <f t="shared" si="3"/>
        <v>62.234539205753208</v>
      </c>
    </row>
    <row r="87" spans="1:4" x14ac:dyDescent="0.2">
      <c r="A87" s="1">
        <v>45595</v>
      </c>
      <c r="B87">
        <v>230.1</v>
      </c>
      <c r="C87" s="20">
        <f t="shared" si="2"/>
        <v>28.555431131018917</v>
      </c>
      <c r="D87" s="20">
        <f t="shared" si="3"/>
        <v>54.199328107502758</v>
      </c>
    </row>
    <row r="88" spans="1:4" x14ac:dyDescent="0.2">
      <c r="A88" s="1">
        <v>45596</v>
      </c>
      <c r="B88">
        <v>225.91</v>
      </c>
      <c r="C88" s="20">
        <f t="shared" si="2"/>
        <v>0</v>
      </c>
      <c r="D88" s="20">
        <f t="shared" si="3"/>
        <v>32.362821948488168</v>
      </c>
    </row>
    <row r="89" spans="1:4" x14ac:dyDescent="0.2">
      <c r="A89" s="1">
        <v>45597</v>
      </c>
      <c r="B89">
        <v>222.91</v>
      </c>
      <c r="C89" s="20">
        <f t="shared" si="2"/>
        <v>0</v>
      </c>
      <c r="D89" s="20">
        <f t="shared" si="3"/>
        <v>9.5184770436729718</v>
      </c>
    </row>
    <row r="90" spans="1:4" x14ac:dyDescent="0.2">
      <c r="A90" s="1">
        <v>45600</v>
      </c>
      <c r="B90">
        <v>222.01</v>
      </c>
      <c r="C90" s="20">
        <f t="shared" si="2"/>
        <v>0</v>
      </c>
      <c r="D90" s="20">
        <f t="shared" si="3"/>
        <v>0</v>
      </c>
    </row>
    <row r="91" spans="1:4" x14ac:dyDescent="0.2">
      <c r="A91" s="1">
        <v>45601</v>
      </c>
      <c r="B91">
        <v>223.45</v>
      </c>
      <c r="C91" s="20">
        <f t="shared" si="2"/>
        <v>9.9516240497581059</v>
      </c>
      <c r="D91" s="20">
        <f t="shared" si="3"/>
        <v>3.3172080165860351</v>
      </c>
    </row>
    <row r="92" spans="1:4" x14ac:dyDescent="0.2">
      <c r="A92" s="1">
        <v>45602</v>
      </c>
      <c r="B92">
        <v>222.72</v>
      </c>
      <c r="C92" s="20">
        <f t="shared" si="2"/>
        <v>4.9067035245335733</v>
      </c>
      <c r="D92" s="20">
        <f t="shared" si="3"/>
        <v>4.9527758580972261</v>
      </c>
    </row>
    <row r="93" spans="1:4" x14ac:dyDescent="0.2">
      <c r="A93" s="1">
        <v>45603</v>
      </c>
      <c r="B93">
        <v>227.48</v>
      </c>
      <c r="C93" s="20">
        <f t="shared" si="2"/>
        <v>37.802349689011741</v>
      </c>
      <c r="D93" s="20">
        <f t="shared" si="3"/>
        <v>17.553559087767805</v>
      </c>
    </row>
    <row r="94" spans="1:4" x14ac:dyDescent="0.2">
      <c r="A94" s="1">
        <v>45604</v>
      </c>
      <c r="B94">
        <v>226.96</v>
      </c>
      <c r="C94" s="20">
        <f t="shared" si="2"/>
        <v>35.740072202166132</v>
      </c>
      <c r="D94" s="20">
        <f t="shared" si="3"/>
        <v>26.149708471903818</v>
      </c>
    </row>
    <row r="95" spans="1:4" x14ac:dyDescent="0.2">
      <c r="A95" s="1">
        <v>45607</v>
      </c>
      <c r="B95">
        <v>224.23</v>
      </c>
      <c r="C95" s="20">
        <f t="shared" si="2"/>
        <v>19.039451114922809</v>
      </c>
      <c r="D95" s="20">
        <f t="shared" si="3"/>
        <v>30.860624335366893</v>
      </c>
    </row>
    <row r="96" spans="1:4" x14ac:dyDescent="0.2">
      <c r="A96" s="1">
        <v>45608</v>
      </c>
      <c r="B96">
        <v>224.23</v>
      </c>
      <c r="C96" s="20">
        <f t="shared" si="2"/>
        <v>19.039451114922809</v>
      </c>
      <c r="D96" s="20">
        <f t="shared" si="3"/>
        <v>24.606324810670586</v>
      </c>
    </row>
    <row r="97" spans="1:4" x14ac:dyDescent="0.2">
      <c r="A97" s="1">
        <v>45609</v>
      </c>
      <c r="B97">
        <v>225.12</v>
      </c>
      <c r="C97" s="20">
        <f t="shared" si="2"/>
        <v>26.672384219554157</v>
      </c>
      <c r="D97" s="20">
        <f t="shared" si="3"/>
        <v>21.583762149799924</v>
      </c>
    </row>
    <row r="98" spans="1:4" x14ac:dyDescent="0.2">
      <c r="A98" s="1">
        <v>45610</v>
      </c>
      <c r="B98">
        <v>228.22</v>
      </c>
      <c r="C98" s="20">
        <f t="shared" si="2"/>
        <v>53.25900514579768</v>
      </c>
      <c r="D98" s="20">
        <f t="shared" si="3"/>
        <v>32.990280160091551</v>
      </c>
    </row>
    <row r="99" spans="1:4" x14ac:dyDescent="0.2">
      <c r="A99" s="1">
        <v>45611</v>
      </c>
      <c r="B99">
        <v>225</v>
      </c>
      <c r="C99" s="20">
        <f t="shared" si="2"/>
        <v>25.643224699828558</v>
      </c>
      <c r="D99" s="20">
        <f t="shared" si="3"/>
        <v>35.191538021726792</v>
      </c>
    </row>
    <row r="100" spans="1:4" x14ac:dyDescent="0.2">
      <c r="A100" s="1">
        <v>45614</v>
      </c>
      <c r="B100">
        <v>228.02</v>
      </c>
      <c r="C100" s="20">
        <f t="shared" si="2"/>
        <v>74.289245982694894</v>
      </c>
      <c r="D100" s="20">
        <f t="shared" si="3"/>
        <v>51.063825276107046</v>
      </c>
    </row>
    <row r="101" spans="1:4" x14ac:dyDescent="0.2">
      <c r="A101" s="1">
        <v>45615</v>
      </c>
      <c r="B101">
        <v>228.28</v>
      </c>
      <c r="C101" s="20">
        <f t="shared" si="2"/>
        <v>100</v>
      </c>
      <c r="D101" s="20">
        <f t="shared" si="3"/>
        <v>66.644156894174486</v>
      </c>
    </row>
    <row r="102" spans="1:4" x14ac:dyDescent="0.2">
      <c r="A102" s="1">
        <v>45616</v>
      </c>
      <c r="B102">
        <v>229</v>
      </c>
      <c r="C102" s="20">
        <f t="shared" si="2"/>
        <v>100</v>
      </c>
      <c r="D102" s="20">
        <f t="shared" si="3"/>
        <v>91.429748660898284</v>
      </c>
    </row>
    <row r="103" spans="1:4" x14ac:dyDescent="0.2">
      <c r="A103" s="1">
        <v>45617</v>
      </c>
      <c r="B103">
        <v>228.52</v>
      </c>
      <c r="C103" s="20">
        <f t="shared" si="2"/>
        <v>93.133047210300575</v>
      </c>
      <c r="D103" s="20">
        <f t="shared" si="3"/>
        <v>97.711015736766853</v>
      </c>
    </row>
    <row r="104" spans="1:4" x14ac:dyDescent="0.2">
      <c r="A104" s="1">
        <v>45618</v>
      </c>
      <c r="B104">
        <v>229.87</v>
      </c>
      <c r="C104" s="20">
        <f t="shared" si="2"/>
        <v>100</v>
      </c>
      <c r="D104" s="20">
        <f t="shared" si="3"/>
        <v>97.711015736766853</v>
      </c>
    </row>
    <row r="105" spans="1:4" x14ac:dyDescent="0.2">
      <c r="A105" s="1">
        <v>45621</v>
      </c>
      <c r="B105">
        <v>232.87</v>
      </c>
      <c r="C105" s="20">
        <f t="shared" si="2"/>
        <v>100</v>
      </c>
      <c r="D105" s="20">
        <f t="shared" si="3"/>
        <v>97.711015736766853</v>
      </c>
    </row>
    <row r="106" spans="1:4" x14ac:dyDescent="0.2">
      <c r="A106" s="1">
        <v>45622</v>
      </c>
      <c r="B106">
        <v>235.06</v>
      </c>
      <c r="C106" s="20">
        <f t="shared" si="2"/>
        <v>100</v>
      </c>
      <c r="D106" s="20">
        <f t="shared" si="3"/>
        <v>100</v>
      </c>
    </row>
    <row r="107" spans="1:4" x14ac:dyDescent="0.2">
      <c r="A107" s="1">
        <v>45623</v>
      </c>
      <c r="B107">
        <v>234.93</v>
      </c>
      <c r="C107" s="20">
        <f t="shared" si="2"/>
        <v>98.799630655586384</v>
      </c>
      <c r="D107" s="20">
        <f t="shared" si="3"/>
        <v>99.599876885195457</v>
      </c>
    </row>
    <row r="108" spans="1:4" x14ac:dyDescent="0.2">
      <c r="A108" s="1">
        <v>45625</v>
      </c>
      <c r="B108">
        <v>237.33</v>
      </c>
      <c r="C108" s="20">
        <f t="shared" si="2"/>
        <v>100</v>
      </c>
      <c r="D108" s="20">
        <f t="shared" si="3"/>
        <v>99.599876885195457</v>
      </c>
    </row>
    <row r="109" spans="1:4" x14ac:dyDescent="0.2">
      <c r="A109" s="1">
        <v>45628</v>
      </c>
      <c r="B109">
        <v>239.59</v>
      </c>
      <c r="C109" s="20">
        <f t="shared" si="2"/>
        <v>100</v>
      </c>
      <c r="D109" s="20">
        <f t="shared" si="3"/>
        <v>99.599876885195457</v>
      </c>
    </row>
    <row r="110" spans="1:4" x14ac:dyDescent="0.2">
      <c r="A110" s="1">
        <v>45629</v>
      </c>
      <c r="B110">
        <v>242.65</v>
      </c>
      <c r="C110" s="20">
        <f t="shared" si="2"/>
        <v>100</v>
      </c>
      <c r="D110" s="20">
        <f t="shared" si="3"/>
        <v>100</v>
      </c>
    </row>
    <row r="111" spans="1:4" x14ac:dyDescent="0.2">
      <c r="A111" s="1">
        <v>45630</v>
      </c>
      <c r="B111">
        <v>243.01</v>
      </c>
      <c r="C111" s="20">
        <f t="shared" si="2"/>
        <v>100</v>
      </c>
      <c r="D111" s="20">
        <f t="shared" si="3"/>
        <v>100</v>
      </c>
    </row>
    <row r="112" spans="1:4" x14ac:dyDescent="0.2">
      <c r="A112" s="1">
        <v>45631</v>
      </c>
      <c r="B112">
        <v>243.04</v>
      </c>
      <c r="C112" s="20">
        <f t="shared" si="2"/>
        <v>100</v>
      </c>
      <c r="D112" s="20">
        <f t="shared" si="3"/>
        <v>100</v>
      </c>
    </row>
    <row r="113" spans="1:4" x14ac:dyDescent="0.2">
      <c r="A113" s="1">
        <v>45632</v>
      </c>
      <c r="B113">
        <v>242.84</v>
      </c>
      <c r="C113" s="20">
        <f t="shared" si="2"/>
        <v>98.668442077230438</v>
      </c>
      <c r="D113" s="20">
        <f t="shared" si="3"/>
        <v>99.556147359076817</v>
      </c>
    </row>
    <row r="114" spans="1:4" x14ac:dyDescent="0.2">
      <c r="A114" s="1">
        <v>45635</v>
      </c>
      <c r="B114">
        <v>246.75</v>
      </c>
      <c r="C114" s="20">
        <f t="shared" si="2"/>
        <v>100</v>
      </c>
      <c r="D114" s="20">
        <f t="shared" si="3"/>
        <v>99.556147359076817</v>
      </c>
    </row>
    <row r="115" spans="1:4" x14ac:dyDescent="0.2">
      <c r="A115" s="1">
        <v>45636</v>
      </c>
      <c r="B115">
        <v>247.77</v>
      </c>
      <c r="C115" s="20">
        <f t="shared" si="2"/>
        <v>100</v>
      </c>
      <c r="D115" s="20">
        <f t="shared" si="3"/>
        <v>99.556147359076817</v>
      </c>
    </row>
    <row r="116" spans="1:4" x14ac:dyDescent="0.2">
      <c r="A116" s="1">
        <v>45637</v>
      </c>
      <c r="B116">
        <v>246.49</v>
      </c>
      <c r="C116" s="20">
        <f t="shared" si="2"/>
        <v>93.350649350649334</v>
      </c>
      <c r="D116" s="20">
        <f t="shared" si="3"/>
        <v>97.783549783549788</v>
      </c>
    </row>
    <row r="117" spans="1:4" x14ac:dyDescent="0.2">
      <c r="A117" s="1">
        <v>45638</v>
      </c>
      <c r="B117">
        <v>247.96</v>
      </c>
      <c r="C117" s="20">
        <f t="shared" si="2"/>
        <v>100</v>
      </c>
      <c r="D117" s="20">
        <f t="shared" si="3"/>
        <v>97.783549783549788</v>
      </c>
    </row>
    <row r="118" spans="1:4" x14ac:dyDescent="0.2">
      <c r="A118" s="1">
        <v>45639</v>
      </c>
      <c r="B118">
        <v>248.13</v>
      </c>
      <c r="C118" s="20">
        <f t="shared" si="2"/>
        <v>100</v>
      </c>
      <c r="D118" s="20">
        <f t="shared" si="3"/>
        <v>97.783549783549788</v>
      </c>
    </row>
    <row r="119" spans="1:4" x14ac:dyDescent="0.2">
      <c r="A119" s="1">
        <v>45642</v>
      </c>
      <c r="B119">
        <v>251.04</v>
      </c>
      <c r="C119" s="20">
        <f t="shared" si="2"/>
        <v>100</v>
      </c>
      <c r="D119" s="20">
        <f t="shared" si="3"/>
        <v>100</v>
      </c>
    </row>
    <row r="120" spans="1:4" x14ac:dyDescent="0.2">
      <c r="A120" s="1">
        <v>45643</v>
      </c>
      <c r="B120">
        <v>253.48</v>
      </c>
      <c r="C120" s="20">
        <f t="shared" si="2"/>
        <v>100</v>
      </c>
      <c r="D120" s="20">
        <f t="shared" si="3"/>
        <v>100</v>
      </c>
    </row>
    <row r="121" spans="1:4" x14ac:dyDescent="0.2">
      <c r="A121" s="1">
        <v>45644</v>
      </c>
      <c r="B121">
        <v>248.05</v>
      </c>
      <c r="C121" s="20">
        <f t="shared" si="2"/>
        <v>66.377708978328258</v>
      </c>
      <c r="D121" s="20">
        <f t="shared" si="3"/>
        <v>88.792569659442748</v>
      </c>
    </row>
    <row r="122" spans="1:4" x14ac:dyDescent="0.2">
      <c r="A122" s="1">
        <v>45645</v>
      </c>
      <c r="B122">
        <v>249.79</v>
      </c>
      <c r="C122" s="20">
        <f t="shared" si="2"/>
        <v>73.434125269978395</v>
      </c>
      <c r="D122" s="20">
        <f t="shared" si="3"/>
        <v>79.937278082768884</v>
      </c>
    </row>
    <row r="123" spans="1:4" x14ac:dyDescent="0.2">
      <c r="A123" s="1">
        <v>45646</v>
      </c>
      <c r="B123">
        <v>254.49</v>
      </c>
      <c r="C123" s="20">
        <f t="shared" si="2"/>
        <v>100</v>
      </c>
      <c r="D123" s="20">
        <f t="shared" si="3"/>
        <v>79.937278082768884</v>
      </c>
    </row>
    <row r="124" spans="1:4" x14ac:dyDescent="0.2">
      <c r="A124" s="1">
        <v>45649</v>
      </c>
      <c r="B124">
        <v>255.27</v>
      </c>
      <c r="C124" s="20">
        <f t="shared" si="2"/>
        <v>100</v>
      </c>
      <c r="D124" s="20">
        <f t="shared" si="3"/>
        <v>91.144708423326122</v>
      </c>
    </row>
    <row r="125" spans="1:4" x14ac:dyDescent="0.2">
      <c r="A125" s="1">
        <v>45650</v>
      </c>
      <c r="B125">
        <v>258.2</v>
      </c>
      <c r="C125" s="20">
        <f t="shared" si="2"/>
        <v>100</v>
      </c>
      <c r="D125" s="20">
        <f t="shared" si="3"/>
        <v>100</v>
      </c>
    </row>
    <row r="126" spans="1:4" x14ac:dyDescent="0.2">
      <c r="A126" s="1">
        <v>45652</v>
      </c>
      <c r="B126">
        <v>259.02</v>
      </c>
      <c r="C126" s="20">
        <f t="shared" si="2"/>
        <v>100</v>
      </c>
      <c r="D126" s="20">
        <f t="shared" si="3"/>
        <v>100</v>
      </c>
    </row>
    <row r="127" spans="1:4" x14ac:dyDescent="0.2">
      <c r="A127" s="1">
        <v>45653</v>
      </c>
      <c r="B127">
        <v>255.59</v>
      </c>
      <c r="C127" s="20">
        <f t="shared" si="2"/>
        <v>72.625698324022466</v>
      </c>
      <c r="D127" s="20">
        <f t="shared" si="3"/>
        <v>90.875232774674146</v>
      </c>
    </row>
    <row r="128" spans="1:4" x14ac:dyDescent="0.2">
      <c r="A128" s="1">
        <v>45656</v>
      </c>
      <c r="B128">
        <v>252.2</v>
      </c>
      <c r="C128" s="20">
        <f t="shared" si="2"/>
        <v>45.57063048683154</v>
      </c>
      <c r="D128" s="20">
        <f t="shared" si="3"/>
        <v>72.732109603617999</v>
      </c>
    </row>
    <row r="129" spans="1:4" x14ac:dyDescent="0.2">
      <c r="A129" s="1">
        <v>45657</v>
      </c>
      <c r="B129">
        <v>250.42</v>
      </c>
      <c r="C129" s="20">
        <f t="shared" si="2"/>
        <v>31.364724660813941</v>
      </c>
      <c r="D129" s="20">
        <f t="shared" si="3"/>
        <v>49.853684490555985</v>
      </c>
    </row>
    <row r="130" spans="1:4" x14ac:dyDescent="0.2">
      <c r="A130" s="1">
        <v>45659</v>
      </c>
      <c r="B130">
        <v>243.85</v>
      </c>
      <c r="C130" s="20">
        <f t="shared" si="2"/>
        <v>0</v>
      </c>
      <c r="D130" s="20">
        <f t="shared" si="3"/>
        <v>25.645118382548493</v>
      </c>
    </row>
    <row r="131" spans="1:4" x14ac:dyDescent="0.2">
      <c r="A131" s="1">
        <v>45660</v>
      </c>
      <c r="B131">
        <v>243.36</v>
      </c>
      <c r="C131" s="20">
        <f t="shared" si="2"/>
        <v>0</v>
      </c>
      <c r="D131" s="20">
        <f t="shared" si="3"/>
        <v>10.454908220271314</v>
      </c>
    </row>
    <row r="132" spans="1:4" x14ac:dyDescent="0.2">
      <c r="A132" s="1">
        <v>45663</v>
      </c>
      <c r="B132">
        <v>245</v>
      </c>
      <c r="C132" s="20">
        <f t="shared" si="2"/>
        <v>10.4725415070242</v>
      </c>
      <c r="D132" s="20">
        <f t="shared" si="3"/>
        <v>3.4908471690080667</v>
      </c>
    </row>
    <row r="133" spans="1:4" x14ac:dyDescent="0.2">
      <c r="A133" s="1">
        <v>45664</v>
      </c>
      <c r="B133">
        <v>242.21</v>
      </c>
      <c r="C133" s="20">
        <f t="shared" si="2"/>
        <v>0</v>
      </c>
      <c r="D133" s="20">
        <f t="shared" si="3"/>
        <v>3.4908471690080667</v>
      </c>
    </row>
    <row r="134" spans="1:4" x14ac:dyDescent="0.2">
      <c r="A134" s="1">
        <v>45665</v>
      </c>
      <c r="B134">
        <v>242.7</v>
      </c>
      <c r="C134" s="20">
        <f t="shared" si="2"/>
        <v>2.914931588340163</v>
      </c>
      <c r="D134" s="20">
        <f t="shared" si="3"/>
        <v>4.4624910317881215</v>
      </c>
    </row>
    <row r="135" spans="1:4" x14ac:dyDescent="0.2">
      <c r="A135" s="1">
        <v>45667</v>
      </c>
      <c r="B135">
        <v>236.85</v>
      </c>
      <c r="C135" s="20">
        <f t="shared" si="2"/>
        <v>0</v>
      </c>
      <c r="D135" s="20">
        <f t="shared" si="3"/>
        <v>0.97164386278005432</v>
      </c>
    </row>
    <row r="136" spans="1:4" x14ac:dyDescent="0.2">
      <c r="A136" s="1">
        <v>45670</v>
      </c>
      <c r="B136">
        <v>234.4</v>
      </c>
      <c r="C136" s="20">
        <f t="shared" si="2"/>
        <v>0</v>
      </c>
      <c r="D136" s="20">
        <f t="shared" si="3"/>
        <v>0.97164386278005432</v>
      </c>
    </row>
    <row r="137" spans="1:4" x14ac:dyDescent="0.2">
      <c r="A137" s="1">
        <v>45671</v>
      </c>
      <c r="B137">
        <v>233.28</v>
      </c>
      <c r="C137" s="20">
        <f t="shared" si="2"/>
        <v>0</v>
      </c>
      <c r="D137" s="20">
        <f t="shared" si="3"/>
        <v>0</v>
      </c>
    </row>
    <row r="138" spans="1:4" x14ac:dyDescent="0.2">
      <c r="A138" s="1">
        <v>45672</v>
      </c>
      <c r="B138">
        <v>237.87</v>
      </c>
      <c r="C138" s="20">
        <f t="shared" si="2"/>
        <v>17.832167832167858</v>
      </c>
      <c r="D138" s="20">
        <f t="shared" si="3"/>
        <v>5.9440559440559531</v>
      </c>
    </row>
    <row r="139" spans="1:4" x14ac:dyDescent="0.2">
      <c r="A139" s="1">
        <v>45673</v>
      </c>
      <c r="B139">
        <v>228.26</v>
      </c>
      <c r="C139" s="20">
        <f t="shared" si="2"/>
        <v>0</v>
      </c>
      <c r="D139" s="20">
        <f t="shared" si="3"/>
        <v>5.9440559440559531</v>
      </c>
    </row>
    <row r="140" spans="1:4" x14ac:dyDescent="0.2">
      <c r="A140" s="1">
        <v>45674</v>
      </c>
      <c r="B140">
        <v>229.98</v>
      </c>
      <c r="C140" s="20">
        <f t="shared" si="2"/>
        <v>6.2934504207830155</v>
      </c>
      <c r="D140" s="20">
        <f t="shared" si="3"/>
        <v>8.0418727509836234</v>
      </c>
    </row>
    <row r="141" spans="1:4" x14ac:dyDescent="0.2">
      <c r="A141" s="1">
        <v>45678</v>
      </c>
      <c r="B141">
        <v>222.64</v>
      </c>
      <c r="C141" s="20">
        <f t="shared" si="2"/>
        <v>0</v>
      </c>
      <c r="D141" s="20">
        <f t="shared" si="3"/>
        <v>2.0978168069276717</v>
      </c>
    </row>
    <row r="142" spans="1:4" x14ac:dyDescent="0.2">
      <c r="A142" s="1">
        <v>45679</v>
      </c>
      <c r="B142">
        <v>223.83</v>
      </c>
      <c r="C142" s="20">
        <f t="shared" si="2"/>
        <v>4.2836573074155009</v>
      </c>
      <c r="D142" s="20">
        <f t="shared" si="3"/>
        <v>3.525702576066172</v>
      </c>
    </row>
    <row r="143" spans="1:4" x14ac:dyDescent="0.2">
      <c r="A143" s="1">
        <v>45680</v>
      </c>
      <c r="B143">
        <v>223.66</v>
      </c>
      <c r="C143" s="20">
        <f t="shared" ref="C143:C189" si="4">(B143 - MIN(B130:B143)) / (MAX(B130:B143) - MIN(B130:B143)) * 100</f>
        <v>4.5617173524150703</v>
      </c>
      <c r="D143" s="20">
        <f t="shared" si="3"/>
        <v>2.9484582199435239</v>
      </c>
    </row>
    <row r="144" spans="1:4" x14ac:dyDescent="0.2">
      <c r="A144" s="1">
        <v>45681</v>
      </c>
      <c r="B144">
        <v>222.78</v>
      </c>
      <c r="C144" s="20">
        <f t="shared" si="4"/>
        <v>0.62611806797859881</v>
      </c>
      <c r="D144" s="20">
        <f t="shared" si="3"/>
        <v>3.1571642426030571</v>
      </c>
    </row>
    <row r="145" spans="1:4" x14ac:dyDescent="0.2">
      <c r="A145" s="1">
        <v>45684</v>
      </c>
      <c r="B145">
        <v>229.86</v>
      </c>
      <c r="C145" s="20">
        <f t="shared" si="4"/>
        <v>32.289803220035878</v>
      </c>
      <c r="D145" s="20">
        <f t="shared" ref="D145:D189" si="5">AVERAGE(C143:C145)</f>
        <v>12.492546213476516</v>
      </c>
    </row>
    <row r="146" spans="1:4" x14ac:dyDescent="0.2">
      <c r="A146" s="1">
        <v>45685</v>
      </c>
      <c r="B146">
        <v>238.26</v>
      </c>
      <c r="C146" s="20">
        <f t="shared" si="4"/>
        <v>77.866400797607199</v>
      </c>
      <c r="D146" s="20">
        <f t="shared" si="5"/>
        <v>36.927440695207224</v>
      </c>
    </row>
    <row r="147" spans="1:4" x14ac:dyDescent="0.2">
      <c r="A147" s="1">
        <v>45686</v>
      </c>
      <c r="B147">
        <v>239.36</v>
      </c>
      <c r="C147" s="20">
        <f t="shared" si="4"/>
        <v>83.349950149551475</v>
      </c>
      <c r="D147" s="20">
        <f t="shared" si="5"/>
        <v>64.502051389064846</v>
      </c>
    </row>
    <row r="148" spans="1:4" x14ac:dyDescent="0.2">
      <c r="A148" s="1">
        <v>45687</v>
      </c>
      <c r="B148">
        <v>237.59</v>
      </c>
      <c r="C148" s="20">
        <f t="shared" si="4"/>
        <v>89.413875598086079</v>
      </c>
      <c r="D148" s="20">
        <f t="shared" si="5"/>
        <v>83.543408848414913</v>
      </c>
    </row>
    <row r="149" spans="1:4" x14ac:dyDescent="0.2">
      <c r="A149" s="1">
        <v>45688</v>
      </c>
      <c r="B149">
        <v>236</v>
      </c>
      <c r="C149" s="20">
        <f t="shared" si="4"/>
        <v>79.904306220095648</v>
      </c>
      <c r="D149" s="20">
        <f t="shared" si="5"/>
        <v>84.222710655911058</v>
      </c>
    </row>
    <row r="150" spans="1:4" x14ac:dyDescent="0.2">
      <c r="A150" s="1">
        <v>45691</v>
      </c>
      <c r="B150">
        <v>228.01</v>
      </c>
      <c r="C150" s="20">
        <f t="shared" si="4"/>
        <v>32.11722488038275</v>
      </c>
      <c r="D150" s="20">
        <f t="shared" si="5"/>
        <v>67.145135566188159</v>
      </c>
    </row>
    <row r="151" spans="1:4" x14ac:dyDescent="0.2">
      <c r="A151" s="1">
        <v>45692</v>
      </c>
      <c r="B151">
        <v>232.8</v>
      </c>
      <c r="C151" s="20">
        <f t="shared" si="4"/>
        <v>60.7655502392345</v>
      </c>
      <c r="D151" s="20">
        <f t="shared" si="5"/>
        <v>57.595693779904302</v>
      </c>
    </row>
    <row r="152" spans="1:4" x14ac:dyDescent="0.2">
      <c r="A152" s="1">
        <v>45693</v>
      </c>
      <c r="B152">
        <v>232.47</v>
      </c>
      <c r="C152" s="20">
        <f t="shared" si="4"/>
        <v>58.791866028708114</v>
      </c>
      <c r="D152" s="20">
        <f t="shared" si="5"/>
        <v>50.558213716108447</v>
      </c>
    </row>
    <row r="153" spans="1:4" x14ac:dyDescent="0.2">
      <c r="A153" s="1">
        <v>45694</v>
      </c>
      <c r="B153">
        <v>233.22</v>
      </c>
      <c r="C153" s="20">
        <f t="shared" si="4"/>
        <v>63.277511961722453</v>
      </c>
      <c r="D153" s="20">
        <f t="shared" si="5"/>
        <v>60.944976076555029</v>
      </c>
    </row>
    <row r="154" spans="1:4" x14ac:dyDescent="0.2">
      <c r="A154" s="1">
        <v>45695</v>
      </c>
      <c r="B154">
        <v>227.63</v>
      </c>
      <c r="C154" s="20">
        <f t="shared" si="4"/>
        <v>29.844497607655505</v>
      </c>
      <c r="D154" s="20">
        <f t="shared" si="5"/>
        <v>50.637958532695357</v>
      </c>
    </row>
    <row r="155" spans="1:4" x14ac:dyDescent="0.2">
      <c r="A155" s="1">
        <v>45698</v>
      </c>
      <c r="B155">
        <v>227.65</v>
      </c>
      <c r="C155" s="20">
        <f t="shared" si="4"/>
        <v>29.372738238841983</v>
      </c>
      <c r="D155" s="20">
        <f t="shared" si="5"/>
        <v>40.831582602739978</v>
      </c>
    </row>
    <row r="156" spans="1:4" x14ac:dyDescent="0.2">
      <c r="A156" s="1">
        <v>45699</v>
      </c>
      <c r="B156">
        <v>232.62</v>
      </c>
      <c r="C156" s="20">
        <f t="shared" si="4"/>
        <v>59.348612786489717</v>
      </c>
      <c r="D156" s="20">
        <f t="shared" si="5"/>
        <v>39.521949544329068</v>
      </c>
    </row>
    <row r="157" spans="1:4" x14ac:dyDescent="0.2">
      <c r="A157" s="1">
        <v>45700</v>
      </c>
      <c r="B157">
        <v>236.87</v>
      </c>
      <c r="C157" s="20">
        <f t="shared" si="4"/>
        <v>84.981905910735776</v>
      </c>
      <c r="D157" s="20">
        <f t="shared" si="5"/>
        <v>57.901085645355828</v>
      </c>
    </row>
    <row r="158" spans="1:4" x14ac:dyDescent="0.2">
      <c r="A158" s="1">
        <v>45701</v>
      </c>
      <c r="B158">
        <v>241.53</v>
      </c>
      <c r="C158" s="20">
        <f t="shared" si="4"/>
        <v>100</v>
      </c>
      <c r="D158" s="20">
        <f t="shared" si="5"/>
        <v>81.443506232408495</v>
      </c>
    </row>
    <row r="159" spans="1:4" x14ac:dyDescent="0.2">
      <c r="A159" s="1">
        <v>45702</v>
      </c>
      <c r="B159">
        <v>244.6</v>
      </c>
      <c r="C159" s="20">
        <f t="shared" si="4"/>
        <v>100</v>
      </c>
      <c r="D159" s="20">
        <f t="shared" si="5"/>
        <v>94.99396863691193</v>
      </c>
    </row>
    <row r="160" spans="1:4" x14ac:dyDescent="0.2">
      <c r="A160" s="1">
        <v>45706</v>
      </c>
      <c r="B160">
        <v>244.47</v>
      </c>
      <c r="C160" s="20">
        <f t="shared" si="4"/>
        <v>99.233942251031266</v>
      </c>
      <c r="D160" s="20">
        <f t="shared" si="5"/>
        <v>99.744647417010427</v>
      </c>
    </row>
    <row r="161" spans="1:4" x14ac:dyDescent="0.2">
      <c r="A161" s="1">
        <v>45707</v>
      </c>
      <c r="B161">
        <v>244.87</v>
      </c>
      <c r="C161" s="20">
        <f t="shared" si="4"/>
        <v>100</v>
      </c>
      <c r="D161" s="20">
        <f t="shared" si="5"/>
        <v>99.744647417010427</v>
      </c>
    </row>
    <row r="162" spans="1:4" x14ac:dyDescent="0.2">
      <c r="A162" s="1">
        <v>45708</v>
      </c>
      <c r="B162">
        <v>245.83</v>
      </c>
      <c r="C162" s="20">
        <f t="shared" si="4"/>
        <v>100</v>
      </c>
      <c r="D162" s="20">
        <f t="shared" si="5"/>
        <v>99.744647417010427</v>
      </c>
    </row>
    <row r="163" spans="1:4" x14ac:dyDescent="0.2">
      <c r="A163" s="1">
        <v>45709</v>
      </c>
      <c r="B163">
        <v>245.55</v>
      </c>
      <c r="C163" s="20">
        <f t="shared" si="4"/>
        <v>98.461538461538453</v>
      </c>
      <c r="D163" s="20">
        <f t="shared" si="5"/>
        <v>99.487179487179489</v>
      </c>
    </row>
    <row r="164" spans="1:4" x14ac:dyDescent="0.2">
      <c r="A164" s="1">
        <v>45712</v>
      </c>
      <c r="B164">
        <v>247.1</v>
      </c>
      <c r="C164" s="20">
        <f t="shared" si="4"/>
        <v>100</v>
      </c>
      <c r="D164" s="20">
        <f t="shared" si="5"/>
        <v>99.487179487179489</v>
      </c>
    </row>
    <row r="165" spans="1:4" x14ac:dyDescent="0.2">
      <c r="A165" s="1">
        <v>45713</v>
      </c>
      <c r="B165">
        <v>247.04</v>
      </c>
      <c r="C165" s="20">
        <f t="shared" si="4"/>
        <v>99.691833590138671</v>
      </c>
      <c r="D165" s="20">
        <f t="shared" si="5"/>
        <v>99.384457350559046</v>
      </c>
    </row>
    <row r="166" spans="1:4" x14ac:dyDescent="0.2">
      <c r="A166" s="1">
        <v>45714</v>
      </c>
      <c r="B166">
        <v>240.36</v>
      </c>
      <c r="C166" s="20">
        <f t="shared" si="4"/>
        <v>65.382639958911241</v>
      </c>
      <c r="D166" s="20">
        <f t="shared" si="5"/>
        <v>88.358157849683309</v>
      </c>
    </row>
    <row r="167" spans="1:4" x14ac:dyDescent="0.2">
      <c r="A167" s="1">
        <v>45715</v>
      </c>
      <c r="B167">
        <v>237.3</v>
      </c>
      <c r="C167" s="20">
        <f t="shared" si="4"/>
        <v>49.666153055983649</v>
      </c>
      <c r="D167" s="20">
        <f t="shared" si="5"/>
        <v>71.580208868344513</v>
      </c>
    </row>
    <row r="168" spans="1:4" x14ac:dyDescent="0.2">
      <c r="A168" s="1">
        <v>45716</v>
      </c>
      <c r="B168">
        <v>241.84</v>
      </c>
      <c r="C168" s="20">
        <f t="shared" si="4"/>
        <v>72.956298200514169</v>
      </c>
      <c r="D168" s="20">
        <f t="shared" si="5"/>
        <v>62.668363738469687</v>
      </c>
    </row>
    <row r="169" spans="1:4" x14ac:dyDescent="0.2">
      <c r="A169" s="1">
        <v>45719</v>
      </c>
      <c r="B169">
        <v>238.03</v>
      </c>
      <c r="C169" s="20">
        <f t="shared" si="4"/>
        <v>37.361878453038678</v>
      </c>
      <c r="D169" s="20">
        <f t="shared" si="5"/>
        <v>53.328109903178834</v>
      </c>
    </row>
    <row r="170" spans="1:4" x14ac:dyDescent="0.2">
      <c r="A170" s="1">
        <v>45720</v>
      </c>
      <c r="B170">
        <v>235.93</v>
      </c>
      <c r="C170" s="20">
        <f t="shared" si="4"/>
        <v>0</v>
      </c>
      <c r="D170" s="20">
        <f t="shared" si="5"/>
        <v>36.772725551184287</v>
      </c>
    </row>
    <row r="171" spans="1:4" x14ac:dyDescent="0.2">
      <c r="A171" s="1">
        <v>45721</v>
      </c>
      <c r="B171">
        <v>235.74</v>
      </c>
      <c r="C171" s="20">
        <f t="shared" si="4"/>
        <v>0</v>
      </c>
      <c r="D171" s="20">
        <f t="shared" si="5"/>
        <v>12.453959484346226</v>
      </c>
    </row>
    <row r="172" spans="1:4" x14ac:dyDescent="0.2">
      <c r="A172" s="1">
        <v>45722</v>
      </c>
      <c r="B172">
        <v>235.33</v>
      </c>
      <c r="C172" s="20">
        <f t="shared" si="4"/>
        <v>0</v>
      </c>
      <c r="D172" s="20">
        <f t="shared" si="5"/>
        <v>0</v>
      </c>
    </row>
    <row r="173" spans="1:4" x14ac:dyDescent="0.2">
      <c r="A173" s="1">
        <v>45723</v>
      </c>
      <c r="B173">
        <v>239.07</v>
      </c>
      <c r="C173" s="20">
        <f t="shared" si="4"/>
        <v>31.775700934579326</v>
      </c>
      <c r="D173" s="20">
        <f t="shared" si="5"/>
        <v>10.591900311526443</v>
      </c>
    </row>
    <row r="174" spans="1:4" x14ac:dyDescent="0.2">
      <c r="A174" s="1">
        <v>45726</v>
      </c>
      <c r="B174">
        <v>227.48</v>
      </c>
      <c r="C174" s="20">
        <f t="shared" si="4"/>
        <v>0</v>
      </c>
      <c r="D174" s="20">
        <f t="shared" si="5"/>
        <v>10.591900311526443</v>
      </c>
    </row>
    <row r="175" spans="1:4" x14ac:dyDescent="0.2">
      <c r="A175" s="1">
        <v>45727</v>
      </c>
      <c r="B175">
        <v>220.84</v>
      </c>
      <c r="C175" s="20">
        <f t="shared" si="4"/>
        <v>0</v>
      </c>
      <c r="D175" s="20">
        <f t="shared" si="5"/>
        <v>10.591900311526443</v>
      </c>
    </row>
    <row r="176" spans="1:4" x14ac:dyDescent="0.2">
      <c r="A176" s="1">
        <v>45728</v>
      </c>
      <c r="B176">
        <v>216.98</v>
      </c>
      <c r="C176" s="20">
        <f t="shared" si="4"/>
        <v>0</v>
      </c>
      <c r="D176" s="20">
        <f t="shared" si="5"/>
        <v>0</v>
      </c>
    </row>
    <row r="177" spans="1:4" x14ac:dyDescent="0.2">
      <c r="A177" s="1">
        <v>45729</v>
      </c>
      <c r="B177">
        <v>209.68</v>
      </c>
      <c r="C177" s="20">
        <f t="shared" si="4"/>
        <v>0</v>
      </c>
      <c r="D177" s="20">
        <f t="shared" si="5"/>
        <v>0</v>
      </c>
    </row>
    <row r="178" spans="1:4" x14ac:dyDescent="0.2">
      <c r="A178" s="1">
        <v>45730</v>
      </c>
      <c r="B178">
        <v>213.49</v>
      </c>
      <c r="C178" s="20">
        <f t="shared" si="4"/>
        <v>10.198072805139196</v>
      </c>
      <c r="D178" s="20">
        <f t="shared" si="5"/>
        <v>3.3993576017130653</v>
      </c>
    </row>
    <row r="179" spans="1:4" x14ac:dyDescent="0.2">
      <c r="A179" s="1">
        <v>45733</v>
      </c>
      <c r="B179">
        <v>214</v>
      </c>
      <c r="C179" s="20">
        <f t="shared" si="4"/>
        <v>13.432835820895503</v>
      </c>
      <c r="D179" s="20">
        <f t="shared" si="5"/>
        <v>7.8769695420115662</v>
      </c>
    </row>
    <row r="180" spans="1:4" x14ac:dyDescent="0.2">
      <c r="A180" s="1">
        <v>45734</v>
      </c>
      <c r="B180">
        <v>212.69</v>
      </c>
      <c r="C180" s="20">
        <f t="shared" si="4"/>
        <v>9.3594527363183815</v>
      </c>
      <c r="D180" s="20">
        <f t="shared" si="5"/>
        <v>10.996787120784361</v>
      </c>
    </row>
    <row r="181" spans="1:4" x14ac:dyDescent="0.2">
      <c r="A181" s="1">
        <v>45735</v>
      </c>
      <c r="B181">
        <v>215.24</v>
      </c>
      <c r="C181" s="20">
        <f t="shared" si="4"/>
        <v>17.288557213930357</v>
      </c>
      <c r="D181" s="20">
        <f t="shared" si="5"/>
        <v>13.360281923714746</v>
      </c>
    </row>
    <row r="182" spans="1:4" x14ac:dyDescent="0.2">
      <c r="A182" s="1">
        <v>45736</v>
      </c>
      <c r="B182">
        <v>214.1</v>
      </c>
      <c r="C182" s="20">
        <f t="shared" si="4"/>
        <v>15.03912895542698</v>
      </c>
      <c r="D182" s="20">
        <f t="shared" si="5"/>
        <v>13.895712968558572</v>
      </c>
    </row>
    <row r="183" spans="1:4" x14ac:dyDescent="0.2">
      <c r="A183" s="1">
        <v>45737</v>
      </c>
      <c r="B183">
        <v>218.27</v>
      </c>
      <c r="C183" s="20">
        <f t="shared" si="4"/>
        <v>29.227628445049366</v>
      </c>
      <c r="D183" s="20">
        <f t="shared" si="5"/>
        <v>20.518438204802234</v>
      </c>
    </row>
    <row r="184" spans="1:4" x14ac:dyDescent="0.2">
      <c r="A184" s="1">
        <v>45740</v>
      </c>
      <c r="B184">
        <v>220.73</v>
      </c>
      <c r="C184" s="20">
        <f t="shared" si="4"/>
        <v>37.597822388567501</v>
      </c>
      <c r="D184" s="20">
        <f t="shared" si="5"/>
        <v>27.288193263014616</v>
      </c>
    </row>
    <row r="185" spans="1:4" x14ac:dyDescent="0.2">
      <c r="A185" s="1">
        <v>45741</v>
      </c>
      <c r="B185">
        <v>223.75</v>
      </c>
      <c r="C185" s="20">
        <f t="shared" si="4"/>
        <v>47.873426335488261</v>
      </c>
      <c r="D185" s="20">
        <f t="shared" si="5"/>
        <v>38.232959056368379</v>
      </c>
    </row>
    <row r="186" spans="1:4" x14ac:dyDescent="0.2">
      <c r="A186" s="1">
        <v>45742</v>
      </c>
      <c r="B186">
        <v>221.53</v>
      </c>
      <c r="C186" s="20">
        <f t="shared" si="4"/>
        <v>40.319836679142561</v>
      </c>
      <c r="D186" s="20">
        <f t="shared" si="5"/>
        <v>41.930361801066105</v>
      </c>
    </row>
    <row r="187" spans="1:4" x14ac:dyDescent="0.2">
      <c r="A187" s="1">
        <v>45743</v>
      </c>
      <c r="B187">
        <v>223.85</v>
      </c>
      <c r="C187" s="20">
        <f t="shared" si="4"/>
        <v>79.606741573033716</v>
      </c>
      <c r="D187" s="20">
        <f t="shared" si="5"/>
        <v>55.933334862554851</v>
      </c>
    </row>
    <row r="188" spans="1:4" x14ac:dyDescent="0.2">
      <c r="A188" s="1">
        <v>45744</v>
      </c>
      <c r="B188">
        <v>217.9</v>
      </c>
      <c r="C188" s="20">
        <f t="shared" si="4"/>
        <v>58.0098800282287</v>
      </c>
      <c r="D188" s="20">
        <f t="shared" si="5"/>
        <v>59.312152760135</v>
      </c>
    </row>
    <row r="189" spans="1:4" x14ac:dyDescent="0.2">
      <c r="A189" s="1">
        <v>45747</v>
      </c>
      <c r="B189">
        <v>222.13</v>
      </c>
      <c r="C189" s="20">
        <f t="shared" si="4"/>
        <v>87.861679604798866</v>
      </c>
      <c r="D189" s="20">
        <f t="shared" si="5"/>
        <v>75.159433735353758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DD3ED-9F7F-4069-8362-D36E2C2A9918}">
  <dimension ref="A1:I9"/>
  <sheetViews>
    <sheetView workbookViewId="0">
      <selection activeCell="B9" sqref="B9"/>
    </sheetView>
  </sheetViews>
  <sheetFormatPr baseColWidth="10" defaultColWidth="8.83203125" defaultRowHeight="15" x14ac:dyDescent="0.2"/>
  <cols>
    <col min="1" max="1" width="20.5" bestFit="1" customWidth="1"/>
    <col min="2" max="2" width="15.1640625" bestFit="1" customWidth="1"/>
  </cols>
  <sheetData>
    <row r="1" spans="1:9" x14ac:dyDescent="0.2">
      <c r="A1" t="s">
        <v>32</v>
      </c>
      <c r="B1" s="13">
        <v>222.13</v>
      </c>
      <c r="I1" t="s">
        <v>67</v>
      </c>
    </row>
    <row r="2" spans="1:9" x14ac:dyDescent="0.2">
      <c r="A2" t="s">
        <v>33</v>
      </c>
      <c r="B2" s="13">
        <v>220</v>
      </c>
      <c r="F2" s="17" t="s">
        <v>39</v>
      </c>
      <c r="G2">
        <f>(LN(B1/B2)+(B3+0.5*B4^2)*B5)/(B4*SQRT(B5))</f>
        <v>0.32225930780538209</v>
      </c>
      <c r="I2">
        <f>_xlfn.NORM.S.DIST(G2,1)</f>
        <v>0.62637187113588721</v>
      </c>
    </row>
    <row r="3" spans="1:9" x14ac:dyDescent="0.2">
      <c r="A3" t="s">
        <v>34</v>
      </c>
      <c r="B3" s="4">
        <f>0.0417</f>
        <v>4.1700000000000001E-2</v>
      </c>
      <c r="F3" s="17" t="s">
        <v>40</v>
      </c>
      <c r="G3">
        <f>(LN(B1/B2)-(B3+0.5*B4^2)*B5)/(B4*SQRT(B5))</f>
        <v>-0.25532461022171066</v>
      </c>
      <c r="I3">
        <f>_xlfn.NORM.S.DIST(G3,1)</f>
        <v>0.39923619674734212</v>
      </c>
    </row>
    <row r="4" spans="1:9" x14ac:dyDescent="0.2">
      <c r="A4" t="s">
        <v>35</v>
      </c>
      <c r="B4">
        <v>0.28789999999999999</v>
      </c>
    </row>
    <row r="5" spans="1:9" x14ac:dyDescent="0.2">
      <c r="A5" t="s">
        <v>36</v>
      </c>
      <c r="B5">
        <v>1</v>
      </c>
      <c r="C5" s="14">
        <v>46083</v>
      </c>
    </row>
    <row r="7" spans="1:9" x14ac:dyDescent="0.2">
      <c r="A7" t="s">
        <v>37</v>
      </c>
      <c r="B7">
        <v>1</v>
      </c>
      <c r="C7">
        <v>0</v>
      </c>
    </row>
    <row r="9" spans="1:9" x14ac:dyDescent="0.2">
      <c r="A9" s="17" t="s">
        <v>38</v>
      </c>
      <c r="B9" s="16">
        <f>B1*_xlfn.NORM.S.DIST(G2,1)-B2*EXP(-B3*B5)*_xlfn.NORM.S.DIST(G3,1)</f>
        <v>54.891298758775577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E25F9-EB94-D540-A184-A5414C78427E}">
  <dimension ref="A1:CW103"/>
  <sheetViews>
    <sheetView topLeftCell="CF1" zoomScale="42" zoomScaleNormal="90" workbookViewId="0">
      <selection activeCell="DI19" sqref="DI19"/>
    </sheetView>
  </sheetViews>
  <sheetFormatPr baseColWidth="10" defaultRowHeight="15" x14ac:dyDescent="0.2"/>
  <sheetData>
    <row r="1" spans="1:101" x14ac:dyDescent="0.2">
      <c r="A1" t="s">
        <v>44</v>
      </c>
      <c r="B1" s="16">
        <v>222.13</v>
      </c>
      <c r="D1" t="s">
        <v>42</v>
      </c>
      <c r="E1">
        <v>0</v>
      </c>
      <c r="F1">
        <v>0.01</v>
      </c>
      <c r="G1">
        <f>F1+$B$4</f>
        <v>0.02</v>
      </c>
      <c r="H1">
        <f t="shared" ref="H1:BS1" si="0">G1+$B$4</f>
        <v>0.03</v>
      </c>
      <c r="I1">
        <f t="shared" si="0"/>
        <v>0.04</v>
      </c>
      <c r="J1">
        <f t="shared" si="0"/>
        <v>0.05</v>
      </c>
      <c r="K1">
        <f t="shared" si="0"/>
        <v>6.0000000000000005E-2</v>
      </c>
      <c r="L1">
        <f t="shared" si="0"/>
        <v>7.0000000000000007E-2</v>
      </c>
      <c r="M1">
        <f t="shared" si="0"/>
        <v>0.08</v>
      </c>
      <c r="N1">
        <f t="shared" si="0"/>
        <v>0.09</v>
      </c>
      <c r="O1">
        <f t="shared" si="0"/>
        <v>9.9999999999999992E-2</v>
      </c>
      <c r="P1">
        <f t="shared" si="0"/>
        <v>0.10999999999999999</v>
      </c>
      <c r="Q1">
        <f t="shared" si="0"/>
        <v>0.11999999999999998</v>
      </c>
      <c r="R1">
        <f t="shared" si="0"/>
        <v>0.12999999999999998</v>
      </c>
      <c r="S1">
        <f t="shared" si="0"/>
        <v>0.13999999999999999</v>
      </c>
      <c r="T1">
        <f t="shared" si="0"/>
        <v>0.15</v>
      </c>
      <c r="U1">
        <f t="shared" si="0"/>
        <v>0.16</v>
      </c>
      <c r="V1">
        <f t="shared" si="0"/>
        <v>0.17</v>
      </c>
      <c r="W1">
        <f t="shared" si="0"/>
        <v>0.18000000000000002</v>
      </c>
      <c r="X1">
        <f t="shared" si="0"/>
        <v>0.19000000000000003</v>
      </c>
      <c r="Y1">
        <f t="shared" si="0"/>
        <v>0.20000000000000004</v>
      </c>
      <c r="Z1">
        <f t="shared" si="0"/>
        <v>0.21000000000000005</v>
      </c>
      <c r="AA1">
        <f t="shared" si="0"/>
        <v>0.22000000000000006</v>
      </c>
      <c r="AB1">
        <f t="shared" si="0"/>
        <v>0.23000000000000007</v>
      </c>
      <c r="AC1">
        <f t="shared" si="0"/>
        <v>0.24000000000000007</v>
      </c>
      <c r="AD1">
        <f t="shared" si="0"/>
        <v>0.25000000000000006</v>
      </c>
      <c r="AE1">
        <f t="shared" si="0"/>
        <v>0.26000000000000006</v>
      </c>
      <c r="AF1">
        <f t="shared" si="0"/>
        <v>0.27000000000000007</v>
      </c>
      <c r="AG1">
        <f t="shared" si="0"/>
        <v>0.28000000000000008</v>
      </c>
      <c r="AH1">
        <f t="shared" si="0"/>
        <v>0.29000000000000009</v>
      </c>
      <c r="AI1">
        <f t="shared" si="0"/>
        <v>0.3000000000000001</v>
      </c>
      <c r="AJ1">
        <f t="shared" si="0"/>
        <v>0.31000000000000011</v>
      </c>
      <c r="AK1">
        <f t="shared" si="0"/>
        <v>0.32000000000000012</v>
      </c>
      <c r="AL1">
        <f t="shared" si="0"/>
        <v>0.33000000000000013</v>
      </c>
      <c r="AM1">
        <f t="shared" si="0"/>
        <v>0.34000000000000014</v>
      </c>
      <c r="AN1">
        <f t="shared" si="0"/>
        <v>0.35000000000000014</v>
      </c>
      <c r="AO1">
        <f t="shared" si="0"/>
        <v>0.36000000000000015</v>
      </c>
      <c r="AP1">
        <f t="shared" si="0"/>
        <v>0.37000000000000016</v>
      </c>
      <c r="AQ1">
        <f t="shared" si="0"/>
        <v>0.38000000000000017</v>
      </c>
      <c r="AR1">
        <f t="shared" si="0"/>
        <v>0.39000000000000018</v>
      </c>
      <c r="AS1">
        <f t="shared" si="0"/>
        <v>0.40000000000000019</v>
      </c>
      <c r="AT1">
        <f t="shared" si="0"/>
        <v>0.4100000000000002</v>
      </c>
      <c r="AU1">
        <f t="shared" si="0"/>
        <v>0.42000000000000021</v>
      </c>
      <c r="AV1">
        <f t="shared" si="0"/>
        <v>0.43000000000000022</v>
      </c>
      <c r="AW1">
        <f t="shared" si="0"/>
        <v>0.44000000000000022</v>
      </c>
      <c r="AX1">
        <f t="shared" si="0"/>
        <v>0.45000000000000023</v>
      </c>
      <c r="AY1">
        <f t="shared" si="0"/>
        <v>0.46000000000000024</v>
      </c>
      <c r="AZ1">
        <f t="shared" si="0"/>
        <v>0.47000000000000025</v>
      </c>
      <c r="BA1">
        <f t="shared" si="0"/>
        <v>0.48000000000000026</v>
      </c>
      <c r="BB1">
        <f t="shared" si="0"/>
        <v>0.49000000000000027</v>
      </c>
      <c r="BC1">
        <f t="shared" si="0"/>
        <v>0.50000000000000022</v>
      </c>
      <c r="BD1">
        <f t="shared" si="0"/>
        <v>0.51000000000000023</v>
      </c>
      <c r="BE1">
        <f t="shared" si="0"/>
        <v>0.52000000000000024</v>
      </c>
      <c r="BF1">
        <f t="shared" si="0"/>
        <v>0.53000000000000025</v>
      </c>
      <c r="BG1">
        <f t="shared" si="0"/>
        <v>0.54000000000000026</v>
      </c>
      <c r="BH1">
        <f t="shared" si="0"/>
        <v>0.55000000000000027</v>
      </c>
      <c r="BI1">
        <f t="shared" si="0"/>
        <v>0.56000000000000028</v>
      </c>
      <c r="BJ1">
        <f t="shared" si="0"/>
        <v>0.57000000000000028</v>
      </c>
      <c r="BK1">
        <f t="shared" si="0"/>
        <v>0.58000000000000029</v>
      </c>
      <c r="BL1">
        <f t="shared" si="0"/>
        <v>0.5900000000000003</v>
      </c>
      <c r="BM1">
        <f t="shared" si="0"/>
        <v>0.60000000000000031</v>
      </c>
      <c r="BN1">
        <f t="shared" si="0"/>
        <v>0.61000000000000032</v>
      </c>
      <c r="BO1">
        <f t="shared" si="0"/>
        <v>0.62000000000000033</v>
      </c>
      <c r="BP1">
        <f t="shared" si="0"/>
        <v>0.63000000000000034</v>
      </c>
      <c r="BQ1">
        <f t="shared" si="0"/>
        <v>0.64000000000000035</v>
      </c>
      <c r="BR1">
        <f t="shared" si="0"/>
        <v>0.65000000000000036</v>
      </c>
      <c r="BS1">
        <f t="shared" si="0"/>
        <v>0.66000000000000036</v>
      </c>
      <c r="BT1">
        <f t="shared" ref="BT1:CU1" si="1">BS1+$B$4</f>
        <v>0.67000000000000037</v>
      </c>
      <c r="BU1">
        <f t="shared" si="1"/>
        <v>0.68000000000000038</v>
      </c>
      <c r="BV1">
        <f t="shared" si="1"/>
        <v>0.69000000000000039</v>
      </c>
      <c r="BW1">
        <f t="shared" si="1"/>
        <v>0.7000000000000004</v>
      </c>
      <c r="BX1">
        <f t="shared" si="1"/>
        <v>0.71000000000000041</v>
      </c>
      <c r="BY1">
        <f t="shared" si="1"/>
        <v>0.72000000000000042</v>
      </c>
      <c r="BZ1">
        <f t="shared" si="1"/>
        <v>0.73000000000000043</v>
      </c>
      <c r="CA1">
        <f t="shared" si="1"/>
        <v>0.74000000000000044</v>
      </c>
      <c r="CB1">
        <f t="shared" si="1"/>
        <v>0.75000000000000044</v>
      </c>
      <c r="CC1">
        <f t="shared" si="1"/>
        <v>0.76000000000000045</v>
      </c>
      <c r="CD1">
        <f t="shared" si="1"/>
        <v>0.77000000000000046</v>
      </c>
      <c r="CE1">
        <f t="shared" si="1"/>
        <v>0.78000000000000047</v>
      </c>
      <c r="CF1">
        <f t="shared" si="1"/>
        <v>0.79000000000000048</v>
      </c>
      <c r="CG1">
        <f t="shared" si="1"/>
        <v>0.80000000000000049</v>
      </c>
      <c r="CH1">
        <f t="shared" si="1"/>
        <v>0.8100000000000005</v>
      </c>
      <c r="CI1">
        <f t="shared" si="1"/>
        <v>0.82000000000000051</v>
      </c>
      <c r="CJ1">
        <f t="shared" si="1"/>
        <v>0.83000000000000052</v>
      </c>
      <c r="CK1">
        <f t="shared" si="1"/>
        <v>0.84000000000000052</v>
      </c>
      <c r="CL1">
        <f t="shared" si="1"/>
        <v>0.85000000000000053</v>
      </c>
      <c r="CM1">
        <f t="shared" si="1"/>
        <v>0.86000000000000054</v>
      </c>
      <c r="CN1">
        <f t="shared" si="1"/>
        <v>0.87000000000000055</v>
      </c>
      <c r="CO1">
        <f t="shared" si="1"/>
        <v>0.88000000000000056</v>
      </c>
      <c r="CP1">
        <f t="shared" si="1"/>
        <v>0.89000000000000057</v>
      </c>
      <c r="CQ1">
        <f t="shared" si="1"/>
        <v>0.90000000000000058</v>
      </c>
      <c r="CR1">
        <f t="shared" si="1"/>
        <v>0.91000000000000059</v>
      </c>
      <c r="CS1">
        <f t="shared" si="1"/>
        <v>0.9200000000000006</v>
      </c>
      <c r="CT1">
        <f t="shared" si="1"/>
        <v>0.9300000000000006</v>
      </c>
      <c r="CU1">
        <f t="shared" si="1"/>
        <v>0.94000000000000061</v>
      </c>
      <c r="CV1" t="s">
        <v>45</v>
      </c>
      <c r="CW1" t="s">
        <v>49</v>
      </c>
    </row>
    <row r="2" spans="1:101" x14ac:dyDescent="0.2">
      <c r="A2" t="s">
        <v>41</v>
      </c>
      <c r="B2">
        <v>3.3040542583089368E-2</v>
      </c>
      <c r="D2" t="s">
        <v>51</v>
      </c>
      <c r="E2">
        <v>222.13</v>
      </c>
      <c r="F2">
        <f ca="1">E2*(1+$B$2*$B$4+$B$3*SQRT($B$4)*_xlfn.NORM.S.INV(RAND()))</f>
        <v>217.5867839293511</v>
      </c>
      <c r="G2">
        <f t="shared" ref="G2:BR2" ca="1" si="2">F2*(1+$B$2*$B$4+$B$3*SQRT($B$4)*_xlfn.NORM.S.INV(RAND()))</f>
        <v>213.55295855629228</v>
      </c>
      <c r="H2">
        <f t="shared" ca="1" si="2"/>
        <v>212.02465794480176</v>
      </c>
      <c r="I2">
        <f t="shared" ca="1" si="2"/>
        <v>212.40832236474031</v>
      </c>
      <c r="J2">
        <f t="shared" ca="1" si="2"/>
        <v>222.03448815155241</v>
      </c>
      <c r="K2">
        <f t="shared" ca="1" si="2"/>
        <v>218.48631494667941</v>
      </c>
      <c r="L2">
        <f t="shared" ca="1" si="2"/>
        <v>219.46785245663037</v>
      </c>
      <c r="M2">
        <f t="shared" ca="1" si="2"/>
        <v>219.47202374728084</v>
      </c>
      <c r="N2">
        <f t="shared" ca="1" si="2"/>
        <v>220.49667908280574</v>
      </c>
      <c r="O2">
        <f t="shared" ca="1" si="2"/>
        <v>223.88536428417714</v>
      </c>
      <c r="P2">
        <f t="shared" ca="1" si="2"/>
        <v>224.41026008620389</v>
      </c>
      <c r="Q2">
        <f t="shared" ca="1" si="2"/>
        <v>217.16437784856021</v>
      </c>
      <c r="R2">
        <f t="shared" ca="1" si="2"/>
        <v>214.18535351627918</v>
      </c>
      <c r="S2">
        <f t="shared" ca="1" si="2"/>
        <v>207.46289568781583</v>
      </c>
      <c r="T2">
        <f t="shared" ca="1" si="2"/>
        <v>200.62836822643996</v>
      </c>
      <c r="U2">
        <f t="shared" ca="1" si="2"/>
        <v>199.97727816434946</v>
      </c>
      <c r="V2">
        <f t="shared" ca="1" si="2"/>
        <v>203.26053919244185</v>
      </c>
      <c r="W2">
        <f t="shared" ca="1" si="2"/>
        <v>214.55811567108506</v>
      </c>
      <c r="X2">
        <f t="shared" ca="1" si="2"/>
        <v>221.59029217326662</v>
      </c>
      <c r="Y2">
        <f t="shared" ca="1" si="2"/>
        <v>213.94194674099907</v>
      </c>
      <c r="Z2">
        <f t="shared" ca="1" si="2"/>
        <v>208.95993896711488</v>
      </c>
      <c r="AA2">
        <f t="shared" ca="1" si="2"/>
        <v>210.52965029359308</v>
      </c>
      <c r="AB2">
        <f t="shared" ca="1" si="2"/>
        <v>215.47426890774463</v>
      </c>
      <c r="AC2">
        <f t="shared" ca="1" si="2"/>
        <v>216.30513955819359</v>
      </c>
      <c r="AD2">
        <f t="shared" ca="1" si="2"/>
        <v>215.85629717399689</v>
      </c>
      <c r="AE2">
        <f t="shared" ca="1" si="2"/>
        <v>217.49297908921861</v>
      </c>
      <c r="AF2">
        <f t="shared" ca="1" si="2"/>
        <v>214.75890537892988</v>
      </c>
      <c r="AG2">
        <f t="shared" ca="1" si="2"/>
        <v>218.62088655609057</v>
      </c>
      <c r="AH2">
        <f t="shared" ca="1" si="2"/>
        <v>216.11780237782909</v>
      </c>
      <c r="AI2">
        <f t="shared" ca="1" si="2"/>
        <v>218.86417946172705</v>
      </c>
      <c r="AJ2">
        <f t="shared" ca="1" si="2"/>
        <v>218.70450326121889</v>
      </c>
      <c r="AK2">
        <f t="shared" ca="1" si="2"/>
        <v>223.21556092756532</v>
      </c>
      <c r="AL2">
        <f t="shared" ca="1" si="2"/>
        <v>224.16053956042819</v>
      </c>
      <c r="AM2">
        <f t="shared" ca="1" si="2"/>
        <v>220.60385629805597</v>
      </c>
      <c r="AN2">
        <f t="shared" ca="1" si="2"/>
        <v>219.71865398391625</v>
      </c>
      <c r="AO2">
        <f t="shared" ca="1" si="2"/>
        <v>221.87890005891126</v>
      </c>
      <c r="AP2">
        <f t="shared" ca="1" si="2"/>
        <v>214.8248027448812</v>
      </c>
      <c r="AQ2">
        <f t="shared" ca="1" si="2"/>
        <v>214.42588588558291</v>
      </c>
      <c r="AR2">
        <f t="shared" ca="1" si="2"/>
        <v>208.41917687420758</v>
      </c>
      <c r="AS2">
        <f t="shared" ca="1" si="2"/>
        <v>206.7992359501844</v>
      </c>
      <c r="AT2">
        <f t="shared" ca="1" si="2"/>
        <v>202.52781946121237</v>
      </c>
      <c r="AU2">
        <f t="shared" ca="1" si="2"/>
        <v>204.87663760364481</v>
      </c>
      <c r="AV2">
        <f t="shared" ca="1" si="2"/>
        <v>208.65343631008824</v>
      </c>
      <c r="AW2">
        <f t="shared" ca="1" si="2"/>
        <v>196.59673519152378</v>
      </c>
      <c r="AX2">
        <f t="shared" ca="1" si="2"/>
        <v>207.55308018398665</v>
      </c>
      <c r="AY2">
        <f t="shared" ca="1" si="2"/>
        <v>211.50521107386214</v>
      </c>
      <c r="AZ2">
        <f t="shared" ca="1" si="2"/>
        <v>211.29928140621985</v>
      </c>
      <c r="BA2">
        <f t="shared" ca="1" si="2"/>
        <v>209.09467374882146</v>
      </c>
      <c r="BB2">
        <f t="shared" ca="1" si="2"/>
        <v>207.76775386295387</v>
      </c>
      <c r="BC2">
        <f t="shared" ca="1" si="2"/>
        <v>204.25576814570138</v>
      </c>
      <c r="BD2">
        <f t="shared" ca="1" si="2"/>
        <v>203.02560862592125</v>
      </c>
      <c r="BE2">
        <f t="shared" ca="1" si="2"/>
        <v>205.1206306555811</v>
      </c>
      <c r="BF2">
        <f t="shared" ca="1" si="2"/>
        <v>211.91978695104089</v>
      </c>
      <c r="BG2">
        <f t="shared" ca="1" si="2"/>
        <v>214.36832242363354</v>
      </c>
      <c r="BH2">
        <f t="shared" ca="1" si="2"/>
        <v>217.18549371556728</v>
      </c>
      <c r="BI2">
        <f t="shared" ca="1" si="2"/>
        <v>221.4736864741829</v>
      </c>
      <c r="BJ2">
        <f t="shared" ca="1" si="2"/>
        <v>225.99992860671449</v>
      </c>
      <c r="BK2">
        <f t="shared" ca="1" si="2"/>
        <v>234.59549638346402</v>
      </c>
      <c r="BL2">
        <f t="shared" ca="1" si="2"/>
        <v>233.68350576598198</v>
      </c>
      <c r="BM2">
        <f t="shared" ca="1" si="2"/>
        <v>236.68999071757924</v>
      </c>
      <c r="BN2">
        <f t="shared" ca="1" si="2"/>
        <v>248.752320264362</v>
      </c>
      <c r="BO2">
        <f t="shared" ca="1" si="2"/>
        <v>249.60275756338265</v>
      </c>
      <c r="BP2">
        <f t="shared" ca="1" si="2"/>
        <v>252.25197237474302</v>
      </c>
      <c r="BQ2">
        <f t="shared" ca="1" si="2"/>
        <v>248.17583265614238</v>
      </c>
      <c r="BR2">
        <f t="shared" ca="1" si="2"/>
        <v>250.12416687466191</v>
      </c>
      <c r="BS2">
        <f t="shared" ref="BS2:CT2" ca="1" si="3">BR2*(1+$B$2*$B$4+$B$3*SQRT($B$4)*_xlfn.NORM.S.INV(RAND()))</f>
        <v>233.51101437247942</v>
      </c>
      <c r="BT2">
        <f t="shared" ca="1" si="3"/>
        <v>243.67080495404474</v>
      </c>
      <c r="BU2">
        <f t="shared" ca="1" si="3"/>
        <v>241.88105368740887</v>
      </c>
      <c r="BV2">
        <f t="shared" ca="1" si="3"/>
        <v>243.26829576121412</v>
      </c>
      <c r="BW2">
        <f t="shared" ca="1" si="3"/>
        <v>240.68924488632322</v>
      </c>
      <c r="BX2">
        <f t="shared" ca="1" si="3"/>
        <v>240.61906735371954</v>
      </c>
      <c r="BY2">
        <f t="shared" ca="1" si="3"/>
        <v>240.20752313691438</v>
      </c>
      <c r="BZ2">
        <f t="shared" ca="1" si="3"/>
        <v>244.01857124065216</v>
      </c>
      <c r="CA2">
        <f t="shared" ca="1" si="3"/>
        <v>240.78501974093066</v>
      </c>
      <c r="CB2">
        <f t="shared" ca="1" si="3"/>
        <v>248.75178364728006</v>
      </c>
      <c r="CC2">
        <f t="shared" ca="1" si="3"/>
        <v>249.04887943291138</v>
      </c>
      <c r="CD2">
        <f t="shared" ca="1" si="3"/>
        <v>256.04242932816499</v>
      </c>
      <c r="CE2">
        <f t="shared" ca="1" si="3"/>
        <v>257.72920249898931</v>
      </c>
      <c r="CF2">
        <f t="shared" ca="1" si="3"/>
        <v>252.97770496225382</v>
      </c>
      <c r="CG2">
        <f t="shared" ca="1" si="3"/>
        <v>263.18984903984489</v>
      </c>
      <c r="CH2">
        <f t="shared" ca="1" si="3"/>
        <v>261.28690069370526</v>
      </c>
      <c r="CI2">
        <f t="shared" ca="1" si="3"/>
        <v>267.35661596768381</v>
      </c>
      <c r="CJ2">
        <f t="shared" ca="1" si="3"/>
        <v>265.98254696808294</v>
      </c>
      <c r="CK2">
        <f t="shared" ca="1" si="3"/>
        <v>263.03552737894063</v>
      </c>
      <c r="CL2">
        <f t="shared" ca="1" si="3"/>
        <v>261.0991090398536</v>
      </c>
      <c r="CM2">
        <f t="shared" ca="1" si="3"/>
        <v>262.23407778566661</v>
      </c>
      <c r="CN2">
        <f t="shared" ca="1" si="3"/>
        <v>274.41353182608026</v>
      </c>
      <c r="CO2">
        <f t="shared" ca="1" si="3"/>
        <v>275.04941394835072</v>
      </c>
      <c r="CP2">
        <f t="shared" ca="1" si="3"/>
        <v>279.85519936816848</v>
      </c>
      <c r="CQ2">
        <f t="shared" ca="1" si="3"/>
        <v>265.66416612959182</v>
      </c>
      <c r="CR2">
        <f t="shared" ca="1" si="3"/>
        <v>255.44522126857581</v>
      </c>
      <c r="CS2">
        <f t="shared" ca="1" si="3"/>
        <v>260.20524370914194</v>
      </c>
      <c r="CT2">
        <f t="shared" ca="1" si="3"/>
        <v>259.96071831287998</v>
      </c>
      <c r="CU2">
        <f ca="1">CT2*(1+$B$2*$B$4+$B$3*SQRT($B$4)*_xlfn.NORM.S.INV(RAND()))</f>
        <v>250.679912771614</v>
      </c>
      <c r="CV2">
        <f t="shared" ref="CV2:CV33" ca="1" si="4">MAX(CU2-$CU$102,0)</f>
        <v>30.679912771613999</v>
      </c>
      <c r="CW2">
        <f ca="1">CV2*EXP(-$B$11*$CU$103)</f>
        <v>29.497553019371438</v>
      </c>
    </row>
    <row r="3" spans="1:101" x14ac:dyDescent="0.2">
      <c r="A3" t="s">
        <v>35</v>
      </c>
      <c r="B3">
        <v>0.235253146</v>
      </c>
      <c r="E3">
        <v>222.13</v>
      </c>
      <c r="F3">
        <f t="shared" ref="F3:BQ3" ca="1" si="5">E3*(1+$B$2*$B$4+$B$3*SQRT($B$4)*_xlfn.NORM.S.INV(RAND()))</f>
        <v>221.89272845682325</v>
      </c>
      <c r="G3">
        <f t="shared" ca="1" si="5"/>
        <v>223.57784358669528</v>
      </c>
      <c r="H3">
        <f t="shared" ca="1" si="5"/>
        <v>228.72931906360472</v>
      </c>
      <c r="I3">
        <f t="shared" ca="1" si="5"/>
        <v>228.42389523599067</v>
      </c>
      <c r="J3">
        <f t="shared" ca="1" si="5"/>
        <v>229.26919758033068</v>
      </c>
      <c r="K3">
        <f t="shared" ca="1" si="5"/>
        <v>233.03695982486417</v>
      </c>
      <c r="L3">
        <f t="shared" ca="1" si="5"/>
        <v>230.53107865004236</v>
      </c>
      <c r="M3">
        <f t="shared" ca="1" si="5"/>
        <v>230.8038534231932</v>
      </c>
      <c r="N3">
        <f t="shared" ca="1" si="5"/>
        <v>235.41663204243642</v>
      </c>
      <c r="O3">
        <f t="shared" ca="1" si="5"/>
        <v>233.95908886482226</v>
      </c>
      <c r="P3">
        <f t="shared" ca="1" si="5"/>
        <v>232.14358487753205</v>
      </c>
      <c r="Q3">
        <f t="shared" ca="1" si="5"/>
        <v>241.79796353665873</v>
      </c>
      <c r="R3">
        <f t="shared" ca="1" si="5"/>
        <v>249.73437030273075</v>
      </c>
      <c r="S3">
        <f t="shared" ca="1" si="5"/>
        <v>253.70358195746527</v>
      </c>
      <c r="T3">
        <f t="shared" ca="1" si="5"/>
        <v>245.27730966823236</v>
      </c>
      <c r="U3">
        <f t="shared" ca="1" si="5"/>
        <v>250.23602785311974</v>
      </c>
      <c r="V3">
        <f t="shared" ca="1" si="5"/>
        <v>240.33471063355316</v>
      </c>
      <c r="W3">
        <f t="shared" ca="1" si="5"/>
        <v>239.95885287900927</v>
      </c>
      <c r="X3">
        <f t="shared" ca="1" si="5"/>
        <v>246.24502476720542</v>
      </c>
      <c r="Y3">
        <f t="shared" ca="1" si="5"/>
        <v>242.60253366938389</v>
      </c>
      <c r="Z3">
        <f t="shared" ca="1" si="5"/>
        <v>243.57933362573451</v>
      </c>
      <c r="AA3">
        <f t="shared" ca="1" si="5"/>
        <v>242.6167039953381</v>
      </c>
      <c r="AB3">
        <f t="shared" ca="1" si="5"/>
        <v>243.85500678314452</v>
      </c>
      <c r="AC3">
        <f t="shared" ca="1" si="5"/>
        <v>246.44489211241282</v>
      </c>
      <c r="AD3">
        <f t="shared" ca="1" si="5"/>
        <v>248.97827295251773</v>
      </c>
      <c r="AE3">
        <f t="shared" ca="1" si="5"/>
        <v>246.21171795533863</v>
      </c>
      <c r="AF3">
        <f t="shared" ca="1" si="5"/>
        <v>244.35628152600589</v>
      </c>
      <c r="AG3">
        <f t="shared" ca="1" si="5"/>
        <v>238.36339639827145</v>
      </c>
      <c r="AH3">
        <f t="shared" ca="1" si="5"/>
        <v>231.78060385672083</v>
      </c>
      <c r="AI3">
        <f t="shared" ca="1" si="5"/>
        <v>223.68518827439215</v>
      </c>
      <c r="AJ3">
        <f t="shared" ca="1" si="5"/>
        <v>227.29619644090855</v>
      </c>
      <c r="AK3">
        <f t="shared" ca="1" si="5"/>
        <v>225.76101950591112</v>
      </c>
      <c r="AL3">
        <f t="shared" ca="1" si="5"/>
        <v>227.76809026156798</v>
      </c>
      <c r="AM3">
        <f t="shared" ca="1" si="5"/>
        <v>233.86646800772428</v>
      </c>
      <c r="AN3">
        <f t="shared" ca="1" si="5"/>
        <v>230.70140682381893</v>
      </c>
      <c r="AO3">
        <f t="shared" ca="1" si="5"/>
        <v>244.02115430599133</v>
      </c>
      <c r="AP3">
        <f t="shared" ca="1" si="5"/>
        <v>253.20904222290426</v>
      </c>
      <c r="AQ3">
        <f t="shared" ca="1" si="5"/>
        <v>249.22291872038633</v>
      </c>
      <c r="AR3">
        <f t="shared" ca="1" si="5"/>
        <v>251.79836735348266</v>
      </c>
      <c r="AS3">
        <f t="shared" ca="1" si="5"/>
        <v>246.14237290303407</v>
      </c>
      <c r="AT3">
        <f t="shared" ca="1" si="5"/>
        <v>243.38090702432757</v>
      </c>
      <c r="AU3">
        <f t="shared" ca="1" si="5"/>
        <v>253.13506826699199</v>
      </c>
      <c r="AV3">
        <f t="shared" ca="1" si="5"/>
        <v>255.8407652201879</v>
      </c>
      <c r="AW3">
        <f t="shared" ca="1" si="5"/>
        <v>249.79781928009569</v>
      </c>
      <c r="AX3">
        <f t="shared" ca="1" si="5"/>
        <v>252.55831722959113</v>
      </c>
      <c r="AY3">
        <f t="shared" ca="1" si="5"/>
        <v>257.77418173663648</v>
      </c>
      <c r="AZ3">
        <f t="shared" ca="1" si="5"/>
        <v>249.44953383289871</v>
      </c>
      <c r="BA3">
        <f t="shared" ca="1" si="5"/>
        <v>250.86892528560776</v>
      </c>
      <c r="BB3">
        <f t="shared" ca="1" si="5"/>
        <v>243.75572107480414</v>
      </c>
      <c r="BC3">
        <f t="shared" ca="1" si="5"/>
        <v>247.35254239329103</v>
      </c>
      <c r="BD3">
        <f t="shared" ca="1" si="5"/>
        <v>251.55430751517312</v>
      </c>
      <c r="BE3">
        <f t="shared" ca="1" si="5"/>
        <v>265.92115606221921</v>
      </c>
      <c r="BF3">
        <f t="shared" ca="1" si="5"/>
        <v>260.57424755287457</v>
      </c>
      <c r="BG3">
        <f t="shared" ca="1" si="5"/>
        <v>264.22399590318759</v>
      </c>
      <c r="BH3">
        <f t="shared" ca="1" si="5"/>
        <v>269.19139731816398</v>
      </c>
      <c r="BI3">
        <f t="shared" ca="1" si="5"/>
        <v>275.84841095772475</v>
      </c>
      <c r="BJ3">
        <f t="shared" ca="1" si="5"/>
        <v>262.66848665478932</v>
      </c>
      <c r="BK3">
        <f t="shared" ca="1" si="5"/>
        <v>268.33151437383412</v>
      </c>
      <c r="BL3">
        <f t="shared" ca="1" si="5"/>
        <v>274.29280098954774</v>
      </c>
      <c r="BM3">
        <f t="shared" ca="1" si="5"/>
        <v>277.80895657612325</v>
      </c>
      <c r="BN3">
        <f t="shared" ca="1" si="5"/>
        <v>272.37231863051409</v>
      </c>
      <c r="BO3">
        <f t="shared" ca="1" si="5"/>
        <v>275.24279859477957</v>
      </c>
      <c r="BP3">
        <f t="shared" ca="1" si="5"/>
        <v>280.15889510527887</v>
      </c>
      <c r="BQ3">
        <f t="shared" ca="1" si="5"/>
        <v>275.13091837721043</v>
      </c>
      <c r="BR3">
        <f t="shared" ref="BR3:CU3" ca="1" si="6">BQ3*(1+$B$2*$B$4+$B$3*SQRT($B$4)*_xlfn.NORM.S.INV(RAND()))</f>
        <v>283.42828638992495</v>
      </c>
      <c r="BS3">
        <f t="shared" ca="1" si="6"/>
        <v>275.01846315386655</v>
      </c>
      <c r="BT3">
        <f t="shared" ca="1" si="6"/>
        <v>278.74624849310868</v>
      </c>
      <c r="BU3">
        <f t="shared" ca="1" si="6"/>
        <v>274.59828528197733</v>
      </c>
      <c r="BV3">
        <f t="shared" ca="1" si="6"/>
        <v>287.63562650506395</v>
      </c>
      <c r="BW3">
        <f t="shared" ca="1" si="6"/>
        <v>277.19729274694174</v>
      </c>
      <c r="BX3">
        <f t="shared" ca="1" si="6"/>
        <v>284.07716217027001</v>
      </c>
      <c r="BY3">
        <f t="shared" ca="1" si="6"/>
        <v>272.48992998689636</v>
      </c>
      <c r="BZ3">
        <f t="shared" ca="1" si="6"/>
        <v>269.0355387417107</v>
      </c>
      <c r="CA3">
        <f t="shared" ca="1" si="6"/>
        <v>268.19915832727804</v>
      </c>
      <c r="CB3">
        <f t="shared" ca="1" si="6"/>
        <v>272.09518881266564</v>
      </c>
      <c r="CC3">
        <f t="shared" ca="1" si="6"/>
        <v>267.26883609475124</v>
      </c>
      <c r="CD3">
        <f t="shared" ca="1" si="6"/>
        <v>277.44290482734687</v>
      </c>
      <c r="CE3">
        <f t="shared" ca="1" si="6"/>
        <v>279.3180447806061</v>
      </c>
      <c r="CF3">
        <f t="shared" ca="1" si="6"/>
        <v>286.39277715559365</v>
      </c>
      <c r="CG3">
        <f t="shared" ca="1" si="6"/>
        <v>293.04458331549847</v>
      </c>
      <c r="CH3">
        <f t="shared" ca="1" si="6"/>
        <v>288.46156971207779</v>
      </c>
      <c r="CI3">
        <f t="shared" ca="1" si="6"/>
        <v>283.90986128267241</v>
      </c>
      <c r="CJ3">
        <f t="shared" ca="1" si="6"/>
        <v>282.60182172469484</v>
      </c>
      <c r="CK3">
        <f t="shared" ca="1" si="6"/>
        <v>284.27534777061317</v>
      </c>
      <c r="CL3">
        <f t="shared" ca="1" si="6"/>
        <v>287.81193449945658</v>
      </c>
      <c r="CM3">
        <f t="shared" ca="1" si="6"/>
        <v>292.42853503710859</v>
      </c>
      <c r="CN3">
        <f t="shared" ca="1" si="6"/>
        <v>302.37842860783957</v>
      </c>
      <c r="CO3">
        <f t="shared" ca="1" si="6"/>
        <v>311.86621846851585</v>
      </c>
      <c r="CP3">
        <f t="shared" ca="1" si="6"/>
        <v>312.58628904658957</v>
      </c>
      <c r="CQ3">
        <f t="shared" ca="1" si="6"/>
        <v>305.16736470184361</v>
      </c>
      <c r="CR3">
        <f t="shared" ca="1" si="6"/>
        <v>316.74526524868247</v>
      </c>
      <c r="CS3">
        <f t="shared" ca="1" si="6"/>
        <v>320.66191543050803</v>
      </c>
      <c r="CT3">
        <f t="shared" ca="1" si="6"/>
        <v>328.92034027016706</v>
      </c>
      <c r="CU3">
        <f t="shared" ca="1" si="6"/>
        <v>328.52868586672543</v>
      </c>
      <c r="CV3">
        <f t="shared" ca="1" si="4"/>
        <v>108.52868586672543</v>
      </c>
      <c r="CW3">
        <f t="shared" ref="CW3:CW66" ca="1" si="7">CV3*EXP(-$B$11*$CU$103)</f>
        <v>104.34614626539651</v>
      </c>
    </row>
    <row r="4" spans="1:101" x14ac:dyDescent="0.2">
      <c r="A4" t="s">
        <v>43</v>
      </c>
      <c r="B4">
        <v>0.01</v>
      </c>
      <c r="E4">
        <v>222.13</v>
      </c>
      <c r="F4">
        <f t="shared" ref="F4:BQ4" ca="1" si="8">E4*(1+$B$2*$B$4+$B$3*SQRT($B$4)*_xlfn.NORM.S.INV(RAND()))</f>
        <v>224.57431653003405</v>
      </c>
      <c r="G4">
        <f t="shared" ca="1" si="8"/>
        <v>212.65358783142955</v>
      </c>
      <c r="H4">
        <f t="shared" ca="1" si="8"/>
        <v>210.76505078037815</v>
      </c>
      <c r="I4">
        <f t="shared" ca="1" si="8"/>
        <v>217.77259109212193</v>
      </c>
      <c r="J4">
        <f t="shared" ca="1" si="8"/>
        <v>207.87210197517365</v>
      </c>
      <c r="K4">
        <f t="shared" ca="1" si="8"/>
        <v>210.92816098602256</v>
      </c>
      <c r="L4">
        <f t="shared" ca="1" si="8"/>
        <v>215.07842808457232</v>
      </c>
      <c r="M4">
        <f t="shared" ca="1" si="8"/>
        <v>207.45742997424887</v>
      </c>
      <c r="N4">
        <f t="shared" ca="1" si="8"/>
        <v>209.37602471006028</v>
      </c>
      <c r="O4">
        <f t="shared" ca="1" si="8"/>
        <v>208.262936659015</v>
      </c>
      <c r="P4">
        <f t="shared" ca="1" si="8"/>
        <v>215.83102619259543</v>
      </c>
      <c r="Q4">
        <f t="shared" ca="1" si="8"/>
        <v>210.6154104169751</v>
      </c>
      <c r="R4">
        <f t="shared" ca="1" si="8"/>
        <v>220.56494536527913</v>
      </c>
      <c r="S4">
        <f t="shared" ca="1" si="8"/>
        <v>221.4501153367888</v>
      </c>
      <c r="T4">
        <f t="shared" ca="1" si="8"/>
        <v>224.92089941409785</v>
      </c>
      <c r="U4">
        <f t="shared" ca="1" si="8"/>
        <v>226.7122755547243</v>
      </c>
      <c r="V4">
        <f t="shared" ca="1" si="8"/>
        <v>225.15747055467168</v>
      </c>
      <c r="W4">
        <f t="shared" ca="1" si="8"/>
        <v>225.39292506695426</v>
      </c>
      <c r="X4">
        <f t="shared" ca="1" si="8"/>
        <v>217.77982135099953</v>
      </c>
      <c r="Y4">
        <f t="shared" ca="1" si="8"/>
        <v>223.39817619298685</v>
      </c>
      <c r="Z4">
        <f t="shared" ca="1" si="8"/>
        <v>220.25356442028476</v>
      </c>
      <c r="AA4">
        <f t="shared" ca="1" si="8"/>
        <v>221.42189275760973</v>
      </c>
      <c r="AB4">
        <f t="shared" ca="1" si="8"/>
        <v>220.0498159532136</v>
      </c>
      <c r="AC4">
        <f t="shared" ca="1" si="8"/>
        <v>216.52342212307079</v>
      </c>
      <c r="AD4">
        <f t="shared" ca="1" si="8"/>
        <v>214.04608659041844</v>
      </c>
      <c r="AE4">
        <f t="shared" ca="1" si="8"/>
        <v>214.02338039870753</v>
      </c>
      <c r="AF4">
        <f t="shared" ca="1" si="8"/>
        <v>208.34386152648818</v>
      </c>
      <c r="AG4">
        <f t="shared" ca="1" si="8"/>
        <v>214.68816113747079</v>
      </c>
      <c r="AH4">
        <f t="shared" ca="1" si="8"/>
        <v>214.11989060480948</v>
      </c>
      <c r="AI4">
        <f t="shared" ca="1" si="8"/>
        <v>208.55486300607532</v>
      </c>
      <c r="AJ4">
        <f t="shared" ca="1" si="8"/>
        <v>203.7989442532959</v>
      </c>
      <c r="AK4">
        <f t="shared" ca="1" si="8"/>
        <v>216.11083172198812</v>
      </c>
      <c r="AL4">
        <f t="shared" ca="1" si="8"/>
        <v>217.25096234591126</v>
      </c>
      <c r="AM4">
        <f t="shared" ca="1" si="8"/>
        <v>220.62590309629346</v>
      </c>
      <c r="AN4">
        <f t="shared" ca="1" si="8"/>
        <v>221.70894545549362</v>
      </c>
      <c r="AO4">
        <f t="shared" ca="1" si="8"/>
        <v>222.59876235064877</v>
      </c>
      <c r="AP4">
        <f t="shared" ca="1" si="8"/>
        <v>230.27905375942416</v>
      </c>
      <c r="AQ4">
        <f t="shared" ca="1" si="8"/>
        <v>238.30479799690212</v>
      </c>
      <c r="AR4">
        <f t="shared" ca="1" si="8"/>
        <v>237.45670187416445</v>
      </c>
      <c r="AS4">
        <f t="shared" ca="1" si="8"/>
        <v>239.20776689963697</v>
      </c>
      <c r="AT4">
        <f t="shared" ca="1" si="8"/>
        <v>238.8805150581444</v>
      </c>
      <c r="AU4">
        <f t="shared" ca="1" si="8"/>
        <v>224.84262965339516</v>
      </c>
      <c r="AV4">
        <f t="shared" ca="1" si="8"/>
        <v>230.56280331650117</v>
      </c>
      <c r="AW4">
        <f t="shared" ca="1" si="8"/>
        <v>235.87069928407448</v>
      </c>
      <c r="AX4">
        <f t="shared" ca="1" si="8"/>
        <v>238.66039271103767</v>
      </c>
      <c r="AY4">
        <f t="shared" ca="1" si="8"/>
        <v>242.00762967385461</v>
      </c>
      <c r="AZ4">
        <f t="shared" ca="1" si="8"/>
        <v>242.31050936986614</v>
      </c>
      <c r="BA4">
        <f t="shared" ca="1" si="8"/>
        <v>242.72043849829291</v>
      </c>
      <c r="BB4">
        <f t="shared" ca="1" si="8"/>
        <v>238.7619403271535</v>
      </c>
      <c r="BC4">
        <f t="shared" ca="1" si="8"/>
        <v>234.30315980161319</v>
      </c>
      <c r="BD4">
        <f t="shared" ca="1" si="8"/>
        <v>231.99627322232749</v>
      </c>
      <c r="BE4">
        <f t="shared" ca="1" si="8"/>
        <v>231.6304477755603</v>
      </c>
      <c r="BF4">
        <f t="shared" ca="1" si="8"/>
        <v>232.80353668456132</v>
      </c>
      <c r="BG4">
        <f t="shared" ca="1" si="8"/>
        <v>226.65233928641683</v>
      </c>
      <c r="BH4">
        <f t="shared" ca="1" si="8"/>
        <v>225.69896732372317</v>
      </c>
      <c r="BI4">
        <f t="shared" ca="1" si="8"/>
        <v>225.68650934226704</v>
      </c>
      <c r="BJ4">
        <f t="shared" ca="1" si="8"/>
        <v>230.89079452555438</v>
      </c>
      <c r="BK4">
        <f t="shared" ca="1" si="8"/>
        <v>230.55225619813365</v>
      </c>
      <c r="BL4">
        <f t="shared" ca="1" si="8"/>
        <v>230.23933103128769</v>
      </c>
      <c r="BM4">
        <f t="shared" ca="1" si="8"/>
        <v>237.32507780769865</v>
      </c>
      <c r="BN4">
        <f t="shared" ca="1" si="8"/>
        <v>237.63691925241849</v>
      </c>
      <c r="BO4">
        <f t="shared" ca="1" si="8"/>
        <v>245.9057308304462</v>
      </c>
      <c r="BP4">
        <f t="shared" ca="1" si="8"/>
        <v>246.66232116813603</v>
      </c>
      <c r="BQ4">
        <f t="shared" ca="1" si="8"/>
        <v>237.0431948340127</v>
      </c>
      <c r="BR4">
        <f t="shared" ref="BR4:CU4" ca="1" si="9">BQ4*(1+$B$2*$B$4+$B$3*SQRT($B$4)*_xlfn.NORM.S.INV(RAND()))</f>
        <v>243.09363946351345</v>
      </c>
      <c r="BS4">
        <f t="shared" ca="1" si="9"/>
        <v>235.29036218793127</v>
      </c>
      <c r="BT4">
        <f t="shared" ca="1" si="9"/>
        <v>246.22406719822101</v>
      </c>
      <c r="BU4">
        <f t="shared" ca="1" si="9"/>
        <v>247.24938468106808</v>
      </c>
      <c r="BV4">
        <f t="shared" ca="1" si="9"/>
        <v>241.0665633181525</v>
      </c>
      <c r="BW4">
        <f t="shared" ca="1" si="9"/>
        <v>244.16687110640666</v>
      </c>
      <c r="BX4">
        <f t="shared" ca="1" si="9"/>
        <v>240.87917465592906</v>
      </c>
      <c r="BY4">
        <f t="shared" ca="1" si="9"/>
        <v>239.81433697841732</v>
      </c>
      <c r="BZ4">
        <f t="shared" ca="1" si="9"/>
        <v>242.44342132953341</v>
      </c>
      <c r="CA4">
        <f t="shared" ca="1" si="9"/>
        <v>245.83788559528469</v>
      </c>
      <c r="CB4">
        <f t="shared" ca="1" si="9"/>
        <v>244.07444530670006</v>
      </c>
      <c r="CC4">
        <f t="shared" ca="1" si="9"/>
        <v>235.99068524541772</v>
      </c>
      <c r="CD4">
        <f t="shared" ca="1" si="9"/>
        <v>241.41094277022131</v>
      </c>
      <c r="CE4">
        <f t="shared" ca="1" si="9"/>
        <v>249.21448189252064</v>
      </c>
      <c r="CF4">
        <f t="shared" ca="1" si="9"/>
        <v>249.56210739218278</v>
      </c>
      <c r="CG4">
        <f t="shared" ca="1" si="9"/>
        <v>251.40217658601929</v>
      </c>
      <c r="CH4">
        <f t="shared" ca="1" si="9"/>
        <v>256.58477528532183</v>
      </c>
      <c r="CI4">
        <f t="shared" ca="1" si="9"/>
        <v>254.11525404794443</v>
      </c>
      <c r="CJ4">
        <f t="shared" ca="1" si="9"/>
        <v>256.61134825609929</v>
      </c>
      <c r="CK4">
        <f t="shared" ca="1" si="9"/>
        <v>251.15280188279175</v>
      </c>
      <c r="CL4">
        <f t="shared" ca="1" si="9"/>
        <v>254.73023444950911</v>
      </c>
      <c r="CM4">
        <f t="shared" ca="1" si="9"/>
        <v>247.2107414111</v>
      </c>
      <c r="CN4">
        <f t="shared" ca="1" si="9"/>
        <v>253.86651766166355</v>
      </c>
      <c r="CO4">
        <f t="shared" ca="1" si="9"/>
        <v>248.5496363438815</v>
      </c>
      <c r="CP4">
        <f t="shared" ca="1" si="9"/>
        <v>245.30552567081389</v>
      </c>
      <c r="CQ4">
        <f t="shared" ca="1" si="9"/>
        <v>244.30836996327969</v>
      </c>
      <c r="CR4">
        <f t="shared" ca="1" si="9"/>
        <v>241.04293171789431</v>
      </c>
      <c r="CS4">
        <f t="shared" ca="1" si="9"/>
        <v>236.44035034995457</v>
      </c>
      <c r="CT4">
        <f t="shared" ca="1" si="9"/>
        <v>237.55155321410061</v>
      </c>
      <c r="CU4">
        <f t="shared" ca="1" si="9"/>
        <v>242.00967228874947</v>
      </c>
      <c r="CV4">
        <f t="shared" ca="1" si="4"/>
        <v>22.009672288749471</v>
      </c>
      <c r="CW4">
        <f t="shared" ca="1" si="7"/>
        <v>21.161451145880271</v>
      </c>
    </row>
    <row r="5" spans="1:101" x14ac:dyDescent="0.2">
      <c r="E5">
        <v>222.13</v>
      </c>
      <c r="F5">
        <f t="shared" ref="F5:BQ5" ca="1" si="10">E5*(1+$B$2*$B$4+$B$3*SQRT($B$4)*_xlfn.NORM.S.INV(RAND()))</f>
        <v>213.72830330109014</v>
      </c>
      <c r="G5">
        <f t="shared" ca="1" si="10"/>
        <v>208.95634889315642</v>
      </c>
      <c r="H5">
        <f t="shared" ca="1" si="10"/>
        <v>214.07479463847457</v>
      </c>
      <c r="I5">
        <f t="shared" ca="1" si="10"/>
        <v>217.91542921364587</v>
      </c>
      <c r="J5">
        <f t="shared" ca="1" si="10"/>
        <v>211.29454680135638</v>
      </c>
      <c r="K5">
        <f t="shared" ca="1" si="10"/>
        <v>213.63301944697906</v>
      </c>
      <c r="L5">
        <f t="shared" ca="1" si="10"/>
        <v>217.78014273910398</v>
      </c>
      <c r="M5">
        <f t="shared" ca="1" si="10"/>
        <v>230.46683823001717</v>
      </c>
      <c r="N5">
        <f t="shared" ca="1" si="10"/>
        <v>224.18764976147727</v>
      </c>
      <c r="O5">
        <f t="shared" ca="1" si="10"/>
        <v>229.36435513389125</v>
      </c>
      <c r="P5">
        <f t="shared" ca="1" si="10"/>
        <v>230.65548814864371</v>
      </c>
      <c r="Q5">
        <f t="shared" ca="1" si="10"/>
        <v>233.85512336108147</v>
      </c>
      <c r="R5">
        <f t="shared" ca="1" si="10"/>
        <v>226.82019559158533</v>
      </c>
      <c r="S5">
        <f t="shared" ca="1" si="10"/>
        <v>219.03707549975604</v>
      </c>
      <c r="T5">
        <f t="shared" ca="1" si="10"/>
        <v>209.42781982482671</v>
      </c>
      <c r="U5">
        <f t="shared" ca="1" si="10"/>
        <v>204.57091363109009</v>
      </c>
      <c r="V5">
        <f t="shared" ca="1" si="10"/>
        <v>201.90798666114077</v>
      </c>
      <c r="W5">
        <f t="shared" ca="1" si="10"/>
        <v>204.7217963990808</v>
      </c>
      <c r="X5">
        <f t="shared" ca="1" si="10"/>
        <v>211.28700628972481</v>
      </c>
      <c r="Y5">
        <f t="shared" ca="1" si="10"/>
        <v>218.58845323749676</v>
      </c>
      <c r="Z5">
        <f t="shared" ca="1" si="10"/>
        <v>213.21823954977424</v>
      </c>
      <c r="AA5">
        <f t="shared" ca="1" si="10"/>
        <v>221.55743483391521</v>
      </c>
      <c r="AB5">
        <f t="shared" ca="1" si="10"/>
        <v>225.3476764287478</v>
      </c>
      <c r="AC5">
        <f t="shared" ca="1" si="10"/>
        <v>220.31352009984954</v>
      </c>
      <c r="AD5">
        <f t="shared" ca="1" si="10"/>
        <v>214.69281133929849</v>
      </c>
      <c r="AE5">
        <f t="shared" ca="1" si="10"/>
        <v>213.83321097842784</v>
      </c>
      <c r="AF5">
        <f t="shared" ca="1" si="10"/>
        <v>208.90676895481349</v>
      </c>
      <c r="AG5">
        <f t="shared" ca="1" si="10"/>
        <v>207.35186309861442</v>
      </c>
      <c r="AH5">
        <f t="shared" ca="1" si="10"/>
        <v>212.39551902079484</v>
      </c>
      <c r="AI5">
        <f t="shared" ca="1" si="10"/>
        <v>224.16233333379648</v>
      </c>
      <c r="AJ5">
        <f t="shared" ca="1" si="10"/>
        <v>219.8497240660929</v>
      </c>
      <c r="AK5">
        <f t="shared" ca="1" si="10"/>
        <v>220.68746093073582</v>
      </c>
      <c r="AL5">
        <f t="shared" ca="1" si="10"/>
        <v>222.19413120103329</v>
      </c>
      <c r="AM5">
        <f t="shared" ca="1" si="10"/>
        <v>229.92037209400942</v>
      </c>
      <c r="AN5">
        <f t="shared" ca="1" si="10"/>
        <v>241.4029656867387</v>
      </c>
      <c r="AO5">
        <f t="shared" ca="1" si="10"/>
        <v>247.17234569577533</v>
      </c>
      <c r="AP5">
        <f t="shared" ca="1" si="10"/>
        <v>240.25622633609905</v>
      </c>
      <c r="AQ5">
        <f t="shared" ca="1" si="10"/>
        <v>245.30104261899177</v>
      </c>
      <c r="AR5">
        <f t="shared" ca="1" si="10"/>
        <v>242.9436306065715</v>
      </c>
      <c r="AS5">
        <f t="shared" ca="1" si="10"/>
        <v>249.73126156059013</v>
      </c>
      <c r="AT5">
        <f t="shared" ca="1" si="10"/>
        <v>252.10567552798088</v>
      </c>
      <c r="AU5">
        <f t="shared" ca="1" si="10"/>
        <v>260.0979238613026</v>
      </c>
      <c r="AV5">
        <f t="shared" ca="1" si="10"/>
        <v>267.98301914583072</v>
      </c>
      <c r="AW5">
        <f t="shared" ca="1" si="10"/>
        <v>262.00159466251228</v>
      </c>
      <c r="AX5">
        <f t="shared" ca="1" si="10"/>
        <v>252.21644107208687</v>
      </c>
      <c r="AY5">
        <f t="shared" ca="1" si="10"/>
        <v>252.40918882337263</v>
      </c>
      <c r="AZ5">
        <f t="shared" ca="1" si="10"/>
        <v>258.59920005392667</v>
      </c>
      <c r="BA5">
        <f t="shared" ca="1" si="10"/>
        <v>251.01039639105457</v>
      </c>
      <c r="BB5">
        <f t="shared" ca="1" si="10"/>
        <v>243.4809397099643</v>
      </c>
      <c r="BC5">
        <f t="shared" ca="1" si="10"/>
        <v>244.53218138315123</v>
      </c>
      <c r="BD5">
        <f t="shared" ca="1" si="10"/>
        <v>238.68470278419341</v>
      </c>
      <c r="BE5">
        <f t="shared" ca="1" si="10"/>
        <v>242.38367269377579</v>
      </c>
      <c r="BF5">
        <f t="shared" ca="1" si="10"/>
        <v>239.00294260542415</v>
      </c>
      <c r="BG5">
        <f t="shared" ca="1" si="10"/>
        <v>235.39968892085702</v>
      </c>
      <c r="BH5">
        <f t="shared" ca="1" si="10"/>
        <v>230.66762699338935</v>
      </c>
      <c r="BI5">
        <f t="shared" ca="1" si="10"/>
        <v>235.78464492688093</v>
      </c>
      <c r="BJ5">
        <f t="shared" ca="1" si="10"/>
        <v>242.03543455933513</v>
      </c>
      <c r="BK5">
        <f t="shared" ca="1" si="10"/>
        <v>241.36541141902796</v>
      </c>
      <c r="BL5">
        <f t="shared" ca="1" si="10"/>
        <v>232.83008599428197</v>
      </c>
      <c r="BM5">
        <f t="shared" ca="1" si="10"/>
        <v>228.52092185458045</v>
      </c>
      <c r="BN5">
        <f t="shared" ca="1" si="10"/>
        <v>229.8524434891811</v>
      </c>
      <c r="BO5">
        <f t="shared" ca="1" si="10"/>
        <v>241.15224877690883</v>
      </c>
      <c r="BP5">
        <f t="shared" ca="1" si="10"/>
        <v>235.4647856061076</v>
      </c>
      <c r="BQ5">
        <f t="shared" ca="1" si="10"/>
        <v>239.87833377577783</v>
      </c>
      <c r="BR5">
        <f t="shared" ref="BR5:CU5" ca="1" si="11">BQ5*(1+$B$2*$B$4+$B$3*SQRT($B$4)*_xlfn.NORM.S.INV(RAND()))</f>
        <v>226.93203426289685</v>
      </c>
      <c r="BS5">
        <f t="shared" ca="1" si="11"/>
        <v>219.20839641585266</v>
      </c>
      <c r="BT5">
        <f t="shared" ca="1" si="11"/>
        <v>221.78159584654557</v>
      </c>
      <c r="BU5">
        <f t="shared" ca="1" si="11"/>
        <v>211.85797962538027</v>
      </c>
      <c r="BV5">
        <f t="shared" ca="1" si="11"/>
        <v>214.6876104774413</v>
      </c>
      <c r="BW5">
        <f t="shared" ca="1" si="11"/>
        <v>213.91555272791544</v>
      </c>
      <c r="BX5">
        <f t="shared" ca="1" si="11"/>
        <v>214.92441206119895</v>
      </c>
      <c r="BY5">
        <f t="shared" ca="1" si="11"/>
        <v>204.93124235178661</v>
      </c>
      <c r="BZ5">
        <f t="shared" ca="1" si="11"/>
        <v>205.37997895821607</v>
      </c>
      <c r="CA5">
        <f t="shared" ca="1" si="11"/>
        <v>208.22039439148082</v>
      </c>
      <c r="CB5">
        <f t="shared" ca="1" si="11"/>
        <v>201.22282674991365</v>
      </c>
      <c r="CC5">
        <f t="shared" ca="1" si="11"/>
        <v>206.08526413713335</v>
      </c>
      <c r="CD5">
        <f t="shared" ca="1" si="11"/>
        <v>204.79954859409446</v>
      </c>
      <c r="CE5">
        <f t="shared" ca="1" si="11"/>
        <v>206.8696851834149</v>
      </c>
      <c r="CF5">
        <f t="shared" ca="1" si="11"/>
        <v>210.65822998764762</v>
      </c>
      <c r="CG5">
        <f t="shared" ca="1" si="11"/>
        <v>213.49740601318121</v>
      </c>
      <c r="CH5">
        <f t="shared" ca="1" si="11"/>
        <v>215.82447529105491</v>
      </c>
      <c r="CI5">
        <f t="shared" ca="1" si="11"/>
        <v>220.25947101316765</v>
      </c>
      <c r="CJ5">
        <f t="shared" ca="1" si="11"/>
        <v>222.85982202897901</v>
      </c>
      <c r="CK5">
        <f t="shared" ca="1" si="11"/>
        <v>224.60147579991627</v>
      </c>
      <c r="CL5">
        <f t="shared" ca="1" si="11"/>
        <v>222.92598870183522</v>
      </c>
      <c r="CM5">
        <f t="shared" ca="1" si="11"/>
        <v>220.64510456799906</v>
      </c>
      <c r="CN5">
        <f t="shared" ca="1" si="11"/>
        <v>216.55325365503066</v>
      </c>
      <c r="CO5">
        <f t="shared" ca="1" si="11"/>
        <v>217.77314589614099</v>
      </c>
      <c r="CP5">
        <f t="shared" ca="1" si="11"/>
        <v>217.94055933591869</v>
      </c>
      <c r="CQ5">
        <f t="shared" ca="1" si="11"/>
        <v>225.88643747981553</v>
      </c>
      <c r="CR5">
        <f t="shared" ca="1" si="11"/>
        <v>237.35811137165445</v>
      </c>
      <c r="CS5">
        <f t="shared" ca="1" si="11"/>
        <v>239.44856154742189</v>
      </c>
      <c r="CT5">
        <f t="shared" ca="1" si="11"/>
        <v>234.19823407132395</v>
      </c>
      <c r="CU5">
        <f t="shared" ca="1" si="11"/>
        <v>239.60962444314217</v>
      </c>
      <c r="CV5">
        <f t="shared" ca="1" si="4"/>
        <v>19.609624443142167</v>
      </c>
      <c r="CW5">
        <f t="shared" ca="1" si="7"/>
        <v>18.85389769545678</v>
      </c>
    </row>
    <row r="6" spans="1:101" x14ac:dyDescent="0.2">
      <c r="E6">
        <v>222.13</v>
      </c>
      <c r="F6">
        <f t="shared" ref="F6:BQ6" ca="1" si="12">E6*(1+$B$2*$B$4+$B$3*SQRT($B$4)*_xlfn.NORM.S.INV(RAND()))</f>
        <v>225.7176415675568</v>
      </c>
      <c r="G6">
        <f t="shared" ca="1" si="12"/>
        <v>228.02300838105293</v>
      </c>
      <c r="H6">
        <f t="shared" ca="1" si="12"/>
        <v>231.84640944015985</v>
      </c>
      <c r="I6">
        <f t="shared" ca="1" si="12"/>
        <v>230.2293569399497</v>
      </c>
      <c r="J6">
        <f t="shared" ca="1" si="12"/>
        <v>230.70411397447313</v>
      </c>
      <c r="K6">
        <f t="shared" ca="1" si="12"/>
        <v>231.50331988959203</v>
      </c>
      <c r="L6">
        <f t="shared" ca="1" si="12"/>
        <v>229.99707017679506</v>
      </c>
      <c r="M6">
        <f t="shared" ca="1" si="12"/>
        <v>229.95282099789861</v>
      </c>
      <c r="N6">
        <f t="shared" ca="1" si="12"/>
        <v>222.14183419507845</v>
      </c>
      <c r="O6">
        <f t="shared" ca="1" si="12"/>
        <v>214.33194485781314</v>
      </c>
      <c r="P6">
        <f t="shared" ca="1" si="12"/>
        <v>215.33365265107423</v>
      </c>
      <c r="Q6">
        <f t="shared" ca="1" si="12"/>
        <v>215.67210757847104</v>
      </c>
      <c r="R6">
        <f t="shared" ca="1" si="12"/>
        <v>226.77794375063283</v>
      </c>
      <c r="S6">
        <f t="shared" ca="1" si="12"/>
        <v>231.30018409482111</v>
      </c>
      <c r="T6">
        <f t="shared" ca="1" si="12"/>
        <v>229.00792183603917</v>
      </c>
      <c r="U6">
        <f t="shared" ca="1" si="12"/>
        <v>221.78232254744557</v>
      </c>
      <c r="V6">
        <f t="shared" ca="1" si="12"/>
        <v>225.17503578391722</v>
      </c>
      <c r="W6">
        <f t="shared" ca="1" si="12"/>
        <v>222.86408780935218</v>
      </c>
      <c r="X6">
        <f t="shared" ca="1" si="12"/>
        <v>217.94881565008592</v>
      </c>
      <c r="Y6">
        <f t="shared" ca="1" si="12"/>
        <v>208.52319658414012</v>
      </c>
      <c r="Z6">
        <f t="shared" ca="1" si="12"/>
        <v>209.04545435992702</v>
      </c>
      <c r="AA6">
        <f t="shared" ca="1" si="12"/>
        <v>209.41626103092011</v>
      </c>
      <c r="AB6">
        <f t="shared" ca="1" si="12"/>
        <v>209.88153344108142</v>
      </c>
      <c r="AC6">
        <f t="shared" ca="1" si="12"/>
        <v>206.24704893683611</v>
      </c>
      <c r="AD6">
        <f t="shared" ca="1" si="12"/>
        <v>207.50582624664585</v>
      </c>
      <c r="AE6">
        <f t="shared" ca="1" si="12"/>
        <v>208.49623533770296</v>
      </c>
      <c r="AF6">
        <f t="shared" ca="1" si="12"/>
        <v>205.45382134366835</v>
      </c>
      <c r="AG6">
        <f t="shared" ca="1" si="12"/>
        <v>207.28149948102563</v>
      </c>
      <c r="AH6">
        <f t="shared" ca="1" si="12"/>
        <v>201.01465361113989</v>
      </c>
      <c r="AI6">
        <f t="shared" ca="1" si="12"/>
        <v>202.79474355419489</v>
      </c>
      <c r="AJ6">
        <f t="shared" ca="1" si="12"/>
        <v>192.2112024463836</v>
      </c>
      <c r="AK6">
        <f t="shared" ca="1" si="12"/>
        <v>201.70638477495675</v>
      </c>
      <c r="AL6">
        <f t="shared" ca="1" si="12"/>
        <v>191.80376089065663</v>
      </c>
      <c r="AM6">
        <f t="shared" ca="1" si="12"/>
        <v>193.99089714324563</v>
      </c>
      <c r="AN6">
        <f t="shared" ca="1" si="12"/>
        <v>191.2305479465968</v>
      </c>
      <c r="AO6">
        <f t="shared" ca="1" si="12"/>
        <v>189.41799574543919</v>
      </c>
      <c r="AP6">
        <f t="shared" ca="1" si="12"/>
        <v>194.02231274357175</v>
      </c>
      <c r="AQ6">
        <f t="shared" ca="1" si="12"/>
        <v>193.65182015363419</v>
      </c>
      <c r="AR6">
        <f t="shared" ca="1" si="12"/>
        <v>202.18542197656657</v>
      </c>
      <c r="AS6">
        <f t="shared" ca="1" si="12"/>
        <v>200.51380513766441</v>
      </c>
      <c r="AT6">
        <f t="shared" ca="1" si="12"/>
        <v>202.96677661365547</v>
      </c>
      <c r="AU6">
        <f t="shared" ca="1" si="12"/>
        <v>203.6626137258076</v>
      </c>
      <c r="AV6">
        <f t="shared" ca="1" si="12"/>
        <v>210.3686872674175</v>
      </c>
      <c r="AW6">
        <f t="shared" ca="1" si="12"/>
        <v>215.59664183708597</v>
      </c>
      <c r="AX6">
        <f t="shared" ca="1" si="12"/>
        <v>212.9989927252571</v>
      </c>
      <c r="AY6">
        <f t="shared" ca="1" si="12"/>
        <v>208.22193163463106</v>
      </c>
      <c r="AZ6">
        <f t="shared" ca="1" si="12"/>
        <v>205.2028859101149</v>
      </c>
      <c r="BA6">
        <f t="shared" ca="1" si="12"/>
        <v>204.7655012189133</v>
      </c>
      <c r="BB6">
        <f t="shared" ca="1" si="12"/>
        <v>206.1834763522379</v>
      </c>
      <c r="BC6">
        <f t="shared" ca="1" si="12"/>
        <v>205.72715647262245</v>
      </c>
      <c r="BD6">
        <f t="shared" ca="1" si="12"/>
        <v>202.92489818892375</v>
      </c>
      <c r="BE6">
        <f t="shared" ca="1" si="12"/>
        <v>213.31004577920751</v>
      </c>
      <c r="BF6">
        <f t="shared" ca="1" si="12"/>
        <v>220.54100654301607</v>
      </c>
      <c r="BG6">
        <f t="shared" ca="1" si="12"/>
        <v>217.99042172322902</v>
      </c>
      <c r="BH6">
        <f t="shared" ca="1" si="12"/>
        <v>219.04804850687384</v>
      </c>
      <c r="BI6">
        <f t="shared" ca="1" si="12"/>
        <v>222.44689909625075</v>
      </c>
      <c r="BJ6">
        <f t="shared" ca="1" si="12"/>
        <v>224.76669869504289</v>
      </c>
      <c r="BK6">
        <f t="shared" ca="1" si="12"/>
        <v>212.66599158243125</v>
      </c>
      <c r="BL6">
        <f t="shared" ca="1" si="12"/>
        <v>220.78765986226051</v>
      </c>
      <c r="BM6">
        <f t="shared" ca="1" si="12"/>
        <v>215.16378244086397</v>
      </c>
      <c r="BN6">
        <f t="shared" ca="1" si="12"/>
        <v>218.40310622929749</v>
      </c>
      <c r="BO6">
        <f t="shared" ca="1" si="12"/>
        <v>218.99012493757937</v>
      </c>
      <c r="BP6">
        <f t="shared" ca="1" si="12"/>
        <v>217.66373169220549</v>
      </c>
      <c r="BQ6">
        <f t="shared" ca="1" si="12"/>
        <v>216.43719047512832</v>
      </c>
      <c r="BR6">
        <f t="shared" ref="BR6:CU6" ca="1" si="13">BQ6*(1+$B$2*$B$4+$B$3*SQRT($B$4)*_xlfn.NORM.S.INV(RAND()))</f>
        <v>215.77463787373256</v>
      </c>
      <c r="BS6">
        <f t="shared" ca="1" si="13"/>
        <v>209.88679644275234</v>
      </c>
      <c r="BT6">
        <f t="shared" ca="1" si="13"/>
        <v>213.84338540629147</v>
      </c>
      <c r="BU6">
        <f t="shared" ca="1" si="13"/>
        <v>216.653667124132</v>
      </c>
      <c r="BV6">
        <f t="shared" ca="1" si="13"/>
        <v>230.2885648135576</v>
      </c>
      <c r="BW6">
        <f t="shared" ca="1" si="13"/>
        <v>227.8063122680413</v>
      </c>
      <c r="BX6">
        <f t="shared" ca="1" si="13"/>
        <v>225.11750529368473</v>
      </c>
      <c r="BY6">
        <f t="shared" ca="1" si="13"/>
        <v>222.25447442107202</v>
      </c>
      <c r="BZ6">
        <f t="shared" ca="1" si="13"/>
        <v>215.30005022746644</v>
      </c>
      <c r="CA6">
        <f t="shared" ca="1" si="13"/>
        <v>211.57666991559333</v>
      </c>
      <c r="CB6">
        <f t="shared" ca="1" si="13"/>
        <v>209.23175474473743</v>
      </c>
      <c r="CC6">
        <f t="shared" ca="1" si="13"/>
        <v>214.21124089739425</v>
      </c>
      <c r="CD6">
        <f t="shared" ca="1" si="13"/>
        <v>202.39093985147574</v>
      </c>
      <c r="CE6">
        <f t="shared" ca="1" si="13"/>
        <v>196.55435076991031</v>
      </c>
      <c r="CF6">
        <f t="shared" ca="1" si="13"/>
        <v>195.03721912413977</v>
      </c>
      <c r="CG6">
        <f t="shared" ca="1" si="13"/>
        <v>192.17834555425188</v>
      </c>
      <c r="CH6">
        <f t="shared" ca="1" si="13"/>
        <v>189.11834304399605</v>
      </c>
      <c r="CI6">
        <f t="shared" ca="1" si="13"/>
        <v>192.1101974341222</v>
      </c>
      <c r="CJ6">
        <f t="shared" ca="1" si="13"/>
        <v>184.49169171839333</v>
      </c>
      <c r="CK6">
        <f t="shared" ca="1" si="13"/>
        <v>184.15268110791834</v>
      </c>
      <c r="CL6">
        <f t="shared" ca="1" si="13"/>
        <v>183.07273270893339</v>
      </c>
      <c r="CM6">
        <f t="shared" ca="1" si="13"/>
        <v>184.94606630864502</v>
      </c>
      <c r="CN6">
        <f t="shared" ca="1" si="13"/>
        <v>184.31899692767382</v>
      </c>
      <c r="CO6">
        <f t="shared" ca="1" si="13"/>
        <v>174.1573657671199</v>
      </c>
      <c r="CP6">
        <f t="shared" ca="1" si="13"/>
        <v>175.28472395213259</v>
      </c>
      <c r="CQ6">
        <f t="shared" ca="1" si="13"/>
        <v>176.65878714792791</v>
      </c>
      <c r="CR6">
        <f t="shared" ca="1" si="13"/>
        <v>179.06009202230669</v>
      </c>
      <c r="CS6">
        <f t="shared" ca="1" si="13"/>
        <v>175.46357006985804</v>
      </c>
      <c r="CT6">
        <f t="shared" ca="1" si="13"/>
        <v>177.11280312020588</v>
      </c>
      <c r="CU6">
        <f t="shared" ca="1" si="13"/>
        <v>181.51303332635754</v>
      </c>
      <c r="CV6">
        <f t="shared" ca="1" si="4"/>
        <v>0</v>
      </c>
      <c r="CW6">
        <f t="shared" ca="1" si="7"/>
        <v>0</v>
      </c>
    </row>
    <row r="7" spans="1:101" x14ac:dyDescent="0.2">
      <c r="E7">
        <v>222.13</v>
      </c>
      <c r="F7">
        <f t="shared" ref="F7:BQ7" ca="1" si="14">E7*(1+$B$2*$B$4+$B$3*SQRT($B$4)*_xlfn.NORM.S.INV(RAND()))</f>
        <v>224.23379588694394</v>
      </c>
      <c r="G7">
        <f t="shared" ca="1" si="14"/>
        <v>232.6954389851995</v>
      </c>
      <c r="H7">
        <f t="shared" ca="1" si="14"/>
        <v>241.78549917680675</v>
      </c>
      <c r="I7">
        <f t="shared" ca="1" si="14"/>
        <v>237.84421772362992</v>
      </c>
      <c r="J7">
        <f t="shared" ca="1" si="14"/>
        <v>239.7862688919073</v>
      </c>
      <c r="K7">
        <f t="shared" ca="1" si="14"/>
        <v>245.61652977361339</v>
      </c>
      <c r="L7">
        <f t="shared" ca="1" si="14"/>
        <v>251.09091362461015</v>
      </c>
      <c r="M7">
        <f t="shared" ca="1" si="14"/>
        <v>250.28450895159133</v>
      </c>
      <c r="N7">
        <f t="shared" ca="1" si="14"/>
        <v>250.76620239201051</v>
      </c>
      <c r="O7">
        <f t="shared" ca="1" si="14"/>
        <v>250.25440856198998</v>
      </c>
      <c r="P7">
        <f t="shared" ca="1" si="14"/>
        <v>257.63427521412279</v>
      </c>
      <c r="Q7">
        <f t="shared" ca="1" si="14"/>
        <v>259.23814473971561</v>
      </c>
      <c r="R7">
        <f t="shared" ca="1" si="14"/>
        <v>263.76044807482089</v>
      </c>
      <c r="S7">
        <f t="shared" ca="1" si="14"/>
        <v>267.10609211421877</v>
      </c>
      <c r="T7">
        <f t="shared" ca="1" si="14"/>
        <v>270.79087004947962</v>
      </c>
      <c r="U7">
        <f t="shared" ca="1" si="14"/>
        <v>260.25500027149587</v>
      </c>
      <c r="V7">
        <f t="shared" ca="1" si="14"/>
        <v>254.28374601481457</v>
      </c>
      <c r="W7">
        <f t="shared" ca="1" si="14"/>
        <v>256.16227044674861</v>
      </c>
      <c r="X7">
        <f t="shared" ca="1" si="14"/>
        <v>261.42521884231093</v>
      </c>
      <c r="Y7">
        <f t="shared" ca="1" si="14"/>
        <v>260.8980296148813</v>
      </c>
      <c r="Z7">
        <f t="shared" ca="1" si="14"/>
        <v>265.3478890444124</v>
      </c>
      <c r="AA7">
        <f t="shared" ca="1" si="14"/>
        <v>266.95476680773527</v>
      </c>
      <c r="AB7">
        <f t="shared" ca="1" si="14"/>
        <v>265.0611918667592</v>
      </c>
      <c r="AC7">
        <f t="shared" ca="1" si="14"/>
        <v>260.43995244358564</v>
      </c>
      <c r="AD7">
        <f t="shared" ca="1" si="14"/>
        <v>259.76890170549956</v>
      </c>
      <c r="AE7">
        <f t="shared" ca="1" si="14"/>
        <v>264.3118816575859</v>
      </c>
      <c r="AF7">
        <f t="shared" ca="1" si="14"/>
        <v>266.03216200400811</v>
      </c>
      <c r="AG7">
        <f t="shared" ca="1" si="14"/>
        <v>263.50136917642578</v>
      </c>
      <c r="AH7">
        <f t="shared" ca="1" si="14"/>
        <v>269.61556101743849</v>
      </c>
      <c r="AI7">
        <f t="shared" ca="1" si="14"/>
        <v>257.51157477163963</v>
      </c>
      <c r="AJ7">
        <f t="shared" ca="1" si="14"/>
        <v>258.43142736735666</v>
      </c>
      <c r="AK7">
        <f t="shared" ca="1" si="14"/>
        <v>257.52199263743427</v>
      </c>
      <c r="AL7">
        <f t="shared" ca="1" si="14"/>
        <v>254.37027080871519</v>
      </c>
      <c r="AM7">
        <f t="shared" ca="1" si="14"/>
        <v>251.02181837087127</v>
      </c>
      <c r="AN7">
        <f t="shared" ca="1" si="14"/>
        <v>250.78420159733761</v>
      </c>
      <c r="AO7">
        <f t="shared" ca="1" si="14"/>
        <v>251.02052594871736</v>
      </c>
      <c r="AP7">
        <f t="shared" ca="1" si="14"/>
        <v>241.79155364747982</v>
      </c>
      <c r="AQ7">
        <f t="shared" ca="1" si="14"/>
        <v>238.98690664421687</v>
      </c>
      <c r="AR7">
        <f t="shared" ca="1" si="14"/>
        <v>250.22118634804286</v>
      </c>
      <c r="AS7">
        <f t="shared" ca="1" si="14"/>
        <v>252.65774687104755</v>
      </c>
      <c r="AT7">
        <f t="shared" ca="1" si="14"/>
        <v>249.87692542614104</v>
      </c>
      <c r="AU7">
        <f t="shared" ca="1" si="14"/>
        <v>248.0827302266967</v>
      </c>
      <c r="AV7">
        <f t="shared" ca="1" si="14"/>
        <v>241.84490574510403</v>
      </c>
      <c r="AW7">
        <f t="shared" ca="1" si="14"/>
        <v>236.13858303664958</v>
      </c>
      <c r="AX7">
        <f t="shared" ca="1" si="14"/>
        <v>235.38258139406426</v>
      </c>
      <c r="AY7">
        <f t="shared" ca="1" si="14"/>
        <v>237.97799684309282</v>
      </c>
      <c r="AZ7">
        <f t="shared" ca="1" si="14"/>
        <v>234.73487119146867</v>
      </c>
      <c r="BA7">
        <f t="shared" ca="1" si="14"/>
        <v>231.21049410730305</v>
      </c>
      <c r="BB7">
        <f t="shared" ca="1" si="14"/>
        <v>229.6797927886827</v>
      </c>
      <c r="BC7">
        <f t="shared" ca="1" si="14"/>
        <v>242.4072502255982</v>
      </c>
      <c r="BD7">
        <f t="shared" ca="1" si="14"/>
        <v>229.74014765404851</v>
      </c>
      <c r="BE7">
        <f t="shared" ca="1" si="14"/>
        <v>227.99791126414348</v>
      </c>
      <c r="BF7">
        <f t="shared" ca="1" si="14"/>
        <v>221.10615155155651</v>
      </c>
      <c r="BG7">
        <f t="shared" ca="1" si="14"/>
        <v>223.83537518779536</v>
      </c>
      <c r="BH7">
        <f t="shared" ca="1" si="14"/>
        <v>220.39369313234721</v>
      </c>
      <c r="BI7">
        <f t="shared" ca="1" si="14"/>
        <v>222.8545803899772</v>
      </c>
      <c r="BJ7">
        <f t="shared" ca="1" si="14"/>
        <v>229.09597487680279</v>
      </c>
      <c r="BK7">
        <f t="shared" ca="1" si="14"/>
        <v>227.35650814017822</v>
      </c>
      <c r="BL7">
        <f t="shared" ca="1" si="14"/>
        <v>231.48055013352581</v>
      </c>
      <c r="BM7">
        <f t="shared" ca="1" si="14"/>
        <v>224.84550716926671</v>
      </c>
      <c r="BN7">
        <f t="shared" ca="1" si="14"/>
        <v>222.21035397569264</v>
      </c>
      <c r="BO7">
        <f t="shared" ca="1" si="14"/>
        <v>222.26422239867802</v>
      </c>
      <c r="BP7">
        <f t="shared" ca="1" si="14"/>
        <v>221.06240445596575</v>
      </c>
      <c r="BQ7">
        <f t="shared" ca="1" si="14"/>
        <v>211.67515324748197</v>
      </c>
      <c r="BR7">
        <f t="shared" ref="BR7:CU7" ca="1" si="15">BQ7*(1+$B$2*$B$4+$B$3*SQRT($B$4)*_xlfn.NORM.S.INV(RAND()))</f>
        <v>210.67217680910454</v>
      </c>
      <c r="BS7">
        <f t="shared" ca="1" si="15"/>
        <v>211.79071137026907</v>
      </c>
      <c r="BT7">
        <f t="shared" ca="1" si="15"/>
        <v>218.93694918064276</v>
      </c>
      <c r="BU7">
        <f t="shared" ca="1" si="15"/>
        <v>215.16310368610291</v>
      </c>
      <c r="BV7">
        <f t="shared" ca="1" si="15"/>
        <v>215.94196896464911</v>
      </c>
      <c r="BW7">
        <f t="shared" ca="1" si="15"/>
        <v>211.20052962045915</v>
      </c>
      <c r="BX7">
        <f t="shared" ca="1" si="15"/>
        <v>206.90308423491416</v>
      </c>
      <c r="BY7">
        <f t="shared" ca="1" si="15"/>
        <v>204.47371776969041</v>
      </c>
      <c r="BZ7">
        <f t="shared" ca="1" si="15"/>
        <v>205.78029787466193</v>
      </c>
      <c r="CA7">
        <f t="shared" ca="1" si="15"/>
        <v>207.58982098056438</v>
      </c>
      <c r="CB7">
        <f t="shared" ca="1" si="15"/>
        <v>207.62299299256722</v>
      </c>
      <c r="CC7">
        <f t="shared" ca="1" si="15"/>
        <v>209.90451647483613</v>
      </c>
      <c r="CD7">
        <f t="shared" ca="1" si="15"/>
        <v>210.87528703765895</v>
      </c>
      <c r="CE7">
        <f t="shared" ca="1" si="15"/>
        <v>217.71490693637728</v>
      </c>
      <c r="CF7">
        <f t="shared" ca="1" si="15"/>
        <v>220.0551257545188</v>
      </c>
      <c r="CG7">
        <f t="shared" ca="1" si="15"/>
        <v>218.61003603144735</v>
      </c>
      <c r="CH7">
        <f t="shared" ca="1" si="15"/>
        <v>216.88174930518892</v>
      </c>
      <c r="CI7">
        <f t="shared" ca="1" si="15"/>
        <v>214.28340708200059</v>
      </c>
      <c r="CJ7">
        <f t="shared" ca="1" si="15"/>
        <v>221.81582204474986</v>
      </c>
      <c r="CK7">
        <f t="shared" ca="1" si="15"/>
        <v>227.39902990751796</v>
      </c>
      <c r="CL7">
        <f t="shared" ca="1" si="15"/>
        <v>226.57270914045293</v>
      </c>
      <c r="CM7">
        <f t="shared" ca="1" si="15"/>
        <v>236.860368573632</v>
      </c>
      <c r="CN7">
        <f t="shared" ca="1" si="15"/>
        <v>240.51410065263133</v>
      </c>
      <c r="CO7">
        <f t="shared" ca="1" si="15"/>
        <v>237.04778790295524</v>
      </c>
      <c r="CP7">
        <f t="shared" ca="1" si="15"/>
        <v>234.03524534187702</v>
      </c>
      <c r="CQ7">
        <f t="shared" ca="1" si="15"/>
        <v>236.79329570033181</v>
      </c>
      <c r="CR7">
        <f t="shared" ca="1" si="15"/>
        <v>226.41433161145474</v>
      </c>
      <c r="CS7">
        <f t="shared" ca="1" si="15"/>
        <v>229.53990670915803</v>
      </c>
      <c r="CT7">
        <f t="shared" ca="1" si="15"/>
        <v>227.82027332468155</v>
      </c>
      <c r="CU7">
        <f t="shared" ca="1" si="15"/>
        <v>231.56596010373428</v>
      </c>
      <c r="CV7">
        <f t="shared" ca="1" si="4"/>
        <v>11.565960103734284</v>
      </c>
      <c r="CW7">
        <f t="shared" ca="1" si="7"/>
        <v>11.120224621221725</v>
      </c>
    </row>
    <row r="8" spans="1:101" x14ac:dyDescent="0.2">
      <c r="E8">
        <v>222.13</v>
      </c>
      <c r="F8">
        <f t="shared" ref="F8:BQ8" ca="1" si="16">E8*(1+$B$2*$B$4+$B$3*SQRT($B$4)*_xlfn.NORM.S.INV(RAND()))</f>
        <v>230.80102621967512</v>
      </c>
      <c r="G8">
        <f t="shared" ca="1" si="16"/>
        <v>230.99029155060677</v>
      </c>
      <c r="H8">
        <f t="shared" ca="1" si="16"/>
        <v>237.04773782007209</v>
      </c>
      <c r="I8">
        <f t="shared" ca="1" si="16"/>
        <v>236.95048708686326</v>
      </c>
      <c r="J8">
        <f t="shared" ca="1" si="16"/>
        <v>240.36582863700679</v>
      </c>
      <c r="K8">
        <f t="shared" ca="1" si="16"/>
        <v>238.96421459480777</v>
      </c>
      <c r="L8">
        <f t="shared" ca="1" si="16"/>
        <v>232.39567947078172</v>
      </c>
      <c r="M8">
        <f t="shared" ca="1" si="16"/>
        <v>230.28757026242093</v>
      </c>
      <c r="N8">
        <f t="shared" ca="1" si="16"/>
        <v>228.88202722984471</v>
      </c>
      <c r="O8">
        <f t="shared" ca="1" si="16"/>
        <v>231.92951995616792</v>
      </c>
      <c r="P8">
        <f t="shared" ca="1" si="16"/>
        <v>231.02839633936654</v>
      </c>
      <c r="Q8">
        <f t="shared" ca="1" si="16"/>
        <v>214.86017114198324</v>
      </c>
      <c r="R8">
        <f t="shared" ca="1" si="16"/>
        <v>220.2519928948991</v>
      </c>
      <c r="S8">
        <f t="shared" ca="1" si="16"/>
        <v>229.23540851314135</v>
      </c>
      <c r="T8">
        <f t="shared" ca="1" si="16"/>
        <v>238.02229121685784</v>
      </c>
      <c r="U8">
        <f t="shared" ca="1" si="16"/>
        <v>240.41767305266387</v>
      </c>
      <c r="V8">
        <f t="shared" ca="1" si="16"/>
        <v>244.40608288742999</v>
      </c>
      <c r="W8">
        <f t="shared" ca="1" si="16"/>
        <v>245.72845572034245</v>
      </c>
      <c r="X8">
        <f t="shared" ca="1" si="16"/>
        <v>246.83474412264076</v>
      </c>
      <c r="Y8">
        <f t="shared" ca="1" si="16"/>
        <v>246.14124859355877</v>
      </c>
      <c r="Z8">
        <f t="shared" ca="1" si="16"/>
        <v>250.57966584260353</v>
      </c>
      <c r="AA8">
        <f t="shared" ca="1" si="16"/>
        <v>244.75168918473213</v>
      </c>
      <c r="AB8">
        <f t="shared" ca="1" si="16"/>
        <v>241.34130726766512</v>
      </c>
      <c r="AC8">
        <f t="shared" ca="1" si="16"/>
        <v>241.44683051423954</v>
      </c>
      <c r="AD8">
        <f t="shared" ca="1" si="16"/>
        <v>243.25367939411083</v>
      </c>
      <c r="AE8">
        <f t="shared" ca="1" si="16"/>
        <v>246.6045778202959</v>
      </c>
      <c r="AF8">
        <f t="shared" ca="1" si="16"/>
        <v>244.93563341997233</v>
      </c>
      <c r="AG8">
        <f t="shared" ca="1" si="16"/>
        <v>245.1969581638713</v>
      </c>
      <c r="AH8">
        <f t="shared" ca="1" si="16"/>
        <v>243.53832048490079</v>
      </c>
      <c r="AI8">
        <f t="shared" ca="1" si="16"/>
        <v>243.72160991166504</v>
      </c>
      <c r="AJ8">
        <f t="shared" ca="1" si="16"/>
        <v>242.15623086890375</v>
      </c>
      <c r="AK8">
        <f t="shared" ca="1" si="16"/>
        <v>239.32832884938591</v>
      </c>
      <c r="AL8">
        <f t="shared" ca="1" si="16"/>
        <v>234.24950113116776</v>
      </c>
      <c r="AM8">
        <f t="shared" ca="1" si="16"/>
        <v>233.57859662372678</v>
      </c>
      <c r="AN8">
        <f t="shared" ca="1" si="16"/>
        <v>236.46605802268843</v>
      </c>
      <c r="AO8">
        <f t="shared" ca="1" si="16"/>
        <v>229.05517670910805</v>
      </c>
      <c r="AP8">
        <f t="shared" ca="1" si="16"/>
        <v>239.12890056092965</v>
      </c>
      <c r="AQ8">
        <f t="shared" ca="1" si="16"/>
        <v>245.03905170025493</v>
      </c>
      <c r="AR8">
        <f t="shared" ca="1" si="16"/>
        <v>238.49905496592376</v>
      </c>
      <c r="AS8">
        <f t="shared" ca="1" si="16"/>
        <v>241.70749663283055</v>
      </c>
      <c r="AT8">
        <f t="shared" ca="1" si="16"/>
        <v>237.16509115327202</v>
      </c>
      <c r="AU8">
        <f t="shared" ca="1" si="16"/>
        <v>245.50023182537319</v>
      </c>
      <c r="AV8">
        <f t="shared" ca="1" si="16"/>
        <v>258.3305448444633</v>
      </c>
      <c r="AW8">
        <f t="shared" ca="1" si="16"/>
        <v>260.19071253474374</v>
      </c>
      <c r="AX8">
        <f t="shared" ca="1" si="16"/>
        <v>261.92265436478851</v>
      </c>
      <c r="AY8">
        <f t="shared" ca="1" si="16"/>
        <v>267.89153214174695</v>
      </c>
      <c r="AZ8">
        <f t="shared" ca="1" si="16"/>
        <v>274.22117341633913</v>
      </c>
      <c r="BA8">
        <f t="shared" ca="1" si="16"/>
        <v>282.50593841644974</v>
      </c>
      <c r="BB8">
        <f t="shared" ca="1" si="16"/>
        <v>279.50042856286478</v>
      </c>
      <c r="BC8">
        <f t="shared" ca="1" si="16"/>
        <v>276.54094202337473</v>
      </c>
      <c r="BD8">
        <f t="shared" ca="1" si="16"/>
        <v>274.2095015119362</v>
      </c>
      <c r="BE8">
        <f t="shared" ca="1" si="16"/>
        <v>277.76744580276477</v>
      </c>
      <c r="BF8">
        <f t="shared" ca="1" si="16"/>
        <v>275.24343294702362</v>
      </c>
      <c r="BG8">
        <f t="shared" ca="1" si="16"/>
        <v>276.40418362789876</v>
      </c>
      <c r="BH8">
        <f t="shared" ca="1" si="16"/>
        <v>286.55700582946179</v>
      </c>
      <c r="BI8">
        <f t="shared" ca="1" si="16"/>
        <v>293.72286292873457</v>
      </c>
      <c r="BJ8">
        <f t="shared" ca="1" si="16"/>
        <v>281.55008772323237</v>
      </c>
      <c r="BK8">
        <f t="shared" ca="1" si="16"/>
        <v>294.64020529808033</v>
      </c>
      <c r="BL8">
        <f t="shared" ca="1" si="16"/>
        <v>292.57020040186035</v>
      </c>
      <c r="BM8">
        <f t="shared" ca="1" si="16"/>
        <v>284.13753898806652</v>
      </c>
      <c r="BN8">
        <f t="shared" ca="1" si="16"/>
        <v>289.08153107461283</v>
      </c>
      <c r="BO8">
        <f t="shared" ca="1" si="16"/>
        <v>285.91039830620934</v>
      </c>
      <c r="BP8">
        <f t="shared" ca="1" si="16"/>
        <v>281.41414181100259</v>
      </c>
      <c r="BQ8">
        <f t="shared" ca="1" si="16"/>
        <v>272.50955499503027</v>
      </c>
      <c r="BR8">
        <f t="shared" ref="BR8:CU8" ca="1" si="17">BQ8*(1+$B$2*$B$4+$B$3*SQRT($B$4)*_xlfn.NORM.S.INV(RAND()))</f>
        <v>268.92290463241318</v>
      </c>
      <c r="BS8">
        <f t="shared" ca="1" si="17"/>
        <v>267.85436439025233</v>
      </c>
      <c r="BT8">
        <f t="shared" ca="1" si="17"/>
        <v>284.91480186788442</v>
      </c>
      <c r="BU8">
        <f t="shared" ca="1" si="17"/>
        <v>287.50163583069394</v>
      </c>
      <c r="BV8">
        <f t="shared" ca="1" si="17"/>
        <v>286.87905985475055</v>
      </c>
      <c r="BW8">
        <f t="shared" ca="1" si="17"/>
        <v>284.00953098223107</v>
      </c>
      <c r="BX8">
        <f t="shared" ca="1" si="17"/>
        <v>294.71685501661079</v>
      </c>
      <c r="BY8">
        <f t="shared" ca="1" si="17"/>
        <v>287.07906320905744</v>
      </c>
      <c r="BZ8">
        <f t="shared" ca="1" si="17"/>
        <v>293.14225951510872</v>
      </c>
      <c r="CA8">
        <f t="shared" ca="1" si="17"/>
        <v>291.52988589929214</v>
      </c>
      <c r="CB8">
        <f t="shared" ca="1" si="17"/>
        <v>296.76550483792829</v>
      </c>
      <c r="CC8">
        <f t="shared" ca="1" si="17"/>
        <v>292.98772337494768</v>
      </c>
      <c r="CD8">
        <f t="shared" ca="1" si="17"/>
        <v>290.82196775913866</v>
      </c>
      <c r="CE8">
        <f t="shared" ca="1" si="17"/>
        <v>287.1009006765612</v>
      </c>
      <c r="CF8">
        <f t="shared" ca="1" si="17"/>
        <v>288.86304165379869</v>
      </c>
      <c r="CG8">
        <f t="shared" ca="1" si="17"/>
        <v>293.78788290114051</v>
      </c>
      <c r="CH8">
        <f t="shared" ca="1" si="17"/>
        <v>293.3694538815825</v>
      </c>
      <c r="CI8">
        <f t="shared" ca="1" si="17"/>
        <v>284.94482962201721</v>
      </c>
      <c r="CJ8">
        <f t="shared" ca="1" si="17"/>
        <v>291.88333830314792</v>
      </c>
      <c r="CK8">
        <f t="shared" ca="1" si="17"/>
        <v>293.15420673989723</v>
      </c>
      <c r="CL8">
        <f t="shared" ca="1" si="17"/>
        <v>289.81152185775284</v>
      </c>
      <c r="CM8">
        <f t="shared" ca="1" si="17"/>
        <v>289.0076946371928</v>
      </c>
      <c r="CN8">
        <f t="shared" ca="1" si="17"/>
        <v>288.28145579468207</v>
      </c>
      <c r="CO8">
        <f t="shared" ca="1" si="17"/>
        <v>290.30418160326082</v>
      </c>
      <c r="CP8">
        <f t="shared" ca="1" si="17"/>
        <v>293.39623061796226</v>
      </c>
      <c r="CQ8">
        <f t="shared" ca="1" si="17"/>
        <v>302.40946061347853</v>
      </c>
      <c r="CR8">
        <f t="shared" ca="1" si="17"/>
        <v>290.95283178830999</v>
      </c>
      <c r="CS8">
        <f t="shared" ca="1" si="17"/>
        <v>289.7606370648283</v>
      </c>
      <c r="CT8">
        <f t="shared" ca="1" si="17"/>
        <v>279.62857862016375</v>
      </c>
      <c r="CU8">
        <f t="shared" ca="1" si="17"/>
        <v>275.54042120476606</v>
      </c>
      <c r="CV8">
        <f t="shared" ca="1" si="4"/>
        <v>55.540421204766062</v>
      </c>
      <c r="CW8">
        <f t="shared" ca="1" si="7"/>
        <v>53.399973181202142</v>
      </c>
    </row>
    <row r="9" spans="1:101" x14ac:dyDescent="0.2">
      <c r="E9">
        <v>222.13</v>
      </c>
      <c r="F9">
        <f t="shared" ref="F9:BQ9" ca="1" si="18">E9*(1+$B$2*$B$4+$B$3*SQRT($B$4)*_xlfn.NORM.S.INV(RAND()))</f>
        <v>229.1993181280574</v>
      </c>
      <c r="G9">
        <f t="shared" ca="1" si="18"/>
        <v>227.83000203143595</v>
      </c>
      <c r="H9">
        <f t="shared" ca="1" si="18"/>
        <v>225.71528444560172</v>
      </c>
      <c r="I9">
        <f t="shared" ca="1" si="18"/>
        <v>216.60440998842878</v>
      </c>
      <c r="J9">
        <f t="shared" ca="1" si="18"/>
        <v>215.54887589496926</v>
      </c>
      <c r="K9">
        <f t="shared" ca="1" si="18"/>
        <v>221.1040004678984</v>
      </c>
      <c r="L9">
        <f t="shared" ca="1" si="18"/>
        <v>217.46904409958287</v>
      </c>
      <c r="M9">
        <f t="shared" ca="1" si="18"/>
        <v>215.89532929471594</v>
      </c>
      <c r="N9">
        <f t="shared" ca="1" si="18"/>
        <v>211.98286982410647</v>
      </c>
      <c r="O9">
        <f t="shared" ca="1" si="18"/>
        <v>219.76258979741857</v>
      </c>
      <c r="P9">
        <f t="shared" ca="1" si="18"/>
        <v>218.04455139829034</v>
      </c>
      <c r="Q9">
        <f t="shared" ca="1" si="18"/>
        <v>217.84827555880523</v>
      </c>
      <c r="R9">
        <f t="shared" ca="1" si="18"/>
        <v>214.86708090894058</v>
      </c>
      <c r="S9">
        <f t="shared" ca="1" si="18"/>
        <v>210.19477384753461</v>
      </c>
      <c r="T9">
        <f t="shared" ca="1" si="18"/>
        <v>203.24217733198827</v>
      </c>
      <c r="U9">
        <f t="shared" ca="1" si="18"/>
        <v>205.91905371710416</v>
      </c>
      <c r="V9">
        <f t="shared" ca="1" si="18"/>
        <v>202.02280484551332</v>
      </c>
      <c r="W9">
        <f t="shared" ca="1" si="18"/>
        <v>207.21201637420202</v>
      </c>
      <c r="X9">
        <f t="shared" ca="1" si="18"/>
        <v>212.53416106786892</v>
      </c>
      <c r="Y9">
        <f t="shared" ca="1" si="18"/>
        <v>213.98610511253713</v>
      </c>
      <c r="Z9">
        <f t="shared" ca="1" si="18"/>
        <v>203.40667434643078</v>
      </c>
      <c r="AA9">
        <f t="shared" ca="1" si="18"/>
        <v>201.59532007500002</v>
      </c>
      <c r="AB9">
        <f t="shared" ca="1" si="18"/>
        <v>204.4971473977611</v>
      </c>
      <c r="AC9">
        <f t="shared" ca="1" si="18"/>
        <v>188.26019530789438</v>
      </c>
      <c r="AD9">
        <f t="shared" ca="1" si="18"/>
        <v>183.57804311650278</v>
      </c>
      <c r="AE9">
        <f t="shared" ca="1" si="18"/>
        <v>183.90787147105473</v>
      </c>
      <c r="AF9">
        <f t="shared" ca="1" si="18"/>
        <v>181.16204306248221</v>
      </c>
      <c r="AG9">
        <f t="shared" ca="1" si="18"/>
        <v>181.90762282488879</v>
      </c>
      <c r="AH9">
        <f t="shared" ca="1" si="18"/>
        <v>182.20790904580522</v>
      </c>
      <c r="AI9">
        <f t="shared" ca="1" si="18"/>
        <v>186.64136999700651</v>
      </c>
      <c r="AJ9">
        <f t="shared" ca="1" si="18"/>
        <v>187.68605449578277</v>
      </c>
      <c r="AK9">
        <f t="shared" ca="1" si="18"/>
        <v>183.97199905756338</v>
      </c>
      <c r="AL9">
        <f t="shared" ca="1" si="18"/>
        <v>185.54530182909744</v>
      </c>
      <c r="AM9">
        <f t="shared" ca="1" si="18"/>
        <v>188.77390348784729</v>
      </c>
      <c r="AN9">
        <f t="shared" ca="1" si="18"/>
        <v>184.21481087629164</v>
      </c>
      <c r="AO9">
        <f t="shared" ca="1" si="18"/>
        <v>187.08275019284059</v>
      </c>
      <c r="AP9">
        <f t="shared" ca="1" si="18"/>
        <v>186.26091118609784</v>
      </c>
      <c r="AQ9">
        <f t="shared" ca="1" si="18"/>
        <v>185.25613279967681</v>
      </c>
      <c r="AR9">
        <f t="shared" ca="1" si="18"/>
        <v>182.61312070940164</v>
      </c>
      <c r="AS9">
        <f t="shared" ca="1" si="18"/>
        <v>180.40861679789123</v>
      </c>
      <c r="AT9">
        <f t="shared" ca="1" si="18"/>
        <v>183.57155602714784</v>
      </c>
      <c r="AU9">
        <f t="shared" ca="1" si="18"/>
        <v>182.88450009729979</v>
      </c>
      <c r="AV9">
        <f t="shared" ca="1" si="18"/>
        <v>185.35730404963368</v>
      </c>
      <c r="AW9">
        <f t="shared" ca="1" si="18"/>
        <v>187.51183725932484</v>
      </c>
      <c r="AX9">
        <f t="shared" ca="1" si="18"/>
        <v>178.17074908381539</v>
      </c>
      <c r="AY9">
        <f t="shared" ca="1" si="18"/>
        <v>180.23910402905713</v>
      </c>
      <c r="AZ9">
        <f t="shared" ca="1" si="18"/>
        <v>177.72760109787842</v>
      </c>
      <c r="BA9">
        <f t="shared" ca="1" si="18"/>
        <v>170.94835328631694</v>
      </c>
      <c r="BB9">
        <f t="shared" ca="1" si="18"/>
        <v>171.95353919017163</v>
      </c>
      <c r="BC9">
        <f t="shared" ca="1" si="18"/>
        <v>173.18094657164758</v>
      </c>
      <c r="BD9">
        <f t="shared" ca="1" si="18"/>
        <v>169.07572512952126</v>
      </c>
      <c r="BE9">
        <f t="shared" ca="1" si="18"/>
        <v>164.9415120399596</v>
      </c>
      <c r="BF9">
        <f t="shared" ca="1" si="18"/>
        <v>155.0041583576911</v>
      </c>
      <c r="BG9">
        <f t="shared" ca="1" si="18"/>
        <v>156.74349690871773</v>
      </c>
      <c r="BH9">
        <f t="shared" ca="1" si="18"/>
        <v>158.82408068152716</v>
      </c>
      <c r="BI9">
        <f t="shared" ca="1" si="18"/>
        <v>150.90395431605128</v>
      </c>
      <c r="BJ9">
        <f t="shared" ca="1" si="18"/>
        <v>155.87127305325956</v>
      </c>
      <c r="BK9">
        <f t="shared" ca="1" si="18"/>
        <v>157.74415270498446</v>
      </c>
      <c r="BL9">
        <f t="shared" ca="1" si="18"/>
        <v>161.46315690661885</v>
      </c>
      <c r="BM9">
        <f t="shared" ca="1" si="18"/>
        <v>160.86667115433249</v>
      </c>
      <c r="BN9">
        <f t="shared" ca="1" si="18"/>
        <v>160.72812616141135</v>
      </c>
      <c r="BO9">
        <f t="shared" ca="1" si="18"/>
        <v>159.44888843176975</v>
      </c>
      <c r="BP9">
        <f t="shared" ca="1" si="18"/>
        <v>156.17184682237192</v>
      </c>
      <c r="BQ9">
        <f t="shared" ca="1" si="18"/>
        <v>161.97302655568456</v>
      </c>
      <c r="BR9">
        <f t="shared" ref="BR9:CU9" ca="1" si="19">BQ9*(1+$B$2*$B$4+$B$3*SQRT($B$4)*_xlfn.NORM.S.INV(RAND()))</f>
        <v>161.09042640153012</v>
      </c>
      <c r="BS9">
        <f t="shared" ca="1" si="19"/>
        <v>157.40216821007715</v>
      </c>
      <c r="BT9">
        <f t="shared" ca="1" si="19"/>
        <v>152.55447121855255</v>
      </c>
      <c r="BU9">
        <f t="shared" ca="1" si="19"/>
        <v>150.44397795258209</v>
      </c>
      <c r="BV9">
        <f t="shared" ca="1" si="19"/>
        <v>147.85757066756906</v>
      </c>
      <c r="BW9">
        <f t="shared" ca="1" si="19"/>
        <v>154.26895700196042</v>
      </c>
      <c r="BX9">
        <f t="shared" ca="1" si="19"/>
        <v>154.41618997720894</v>
      </c>
      <c r="BY9">
        <f t="shared" ca="1" si="19"/>
        <v>152.59062940573858</v>
      </c>
      <c r="BZ9">
        <f t="shared" ca="1" si="19"/>
        <v>153.72239935846176</v>
      </c>
      <c r="CA9">
        <f t="shared" ca="1" si="19"/>
        <v>155.03429211570707</v>
      </c>
      <c r="CB9">
        <f t="shared" ca="1" si="19"/>
        <v>154.1589011525864</v>
      </c>
      <c r="CC9">
        <f t="shared" ca="1" si="19"/>
        <v>151.22684258112247</v>
      </c>
      <c r="CD9">
        <f t="shared" ca="1" si="19"/>
        <v>146.46243794093442</v>
      </c>
      <c r="CE9">
        <f t="shared" ca="1" si="19"/>
        <v>142.77910193628358</v>
      </c>
      <c r="CF9">
        <f t="shared" ca="1" si="19"/>
        <v>149.35680901315493</v>
      </c>
      <c r="CG9">
        <f t="shared" ca="1" si="19"/>
        <v>149.37037020090193</v>
      </c>
      <c r="CH9">
        <f t="shared" ca="1" si="19"/>
        <v>156.64283299182659</v>
      </c>
      <c r="CI9">
        <f t="shared" ca="1" si="19"/>
        <v>159.395264745969</v>
      </c>
      <c r="CJ9">
        <f t="shared" ca="1" si="19"/>
        <v>161.31917500613289</v>
      </c>
      <c r="CK9">
        <f t="shared" ca="1" si="19"/>
        <v>166.40442585447178</v>
      </c>
      <c r="CL9">
        <f t="shared" ca="1" si="19"/>
        <v>176.36744304340382</v>
      </c>
      <c r="CM9">
        <f t="shared" ca="1" si="19"/>
        <v>176.6750965313625</v>
      </c>
      <c r="CN9">
        <f t="shared" ca="1" si="19"/>
        <v>172.519876515303</v>
      </c>
      <c r="CO9">
        <f t="shared" ca="1" si="19"/>
        <v>172.91259221191098</v>
      </c>
      <c r="CP9">
        <f t="shared" ca="1" si="19"/>
        <v>171.337440195775</v>
      </c>
      <c r="CQ9">
        <f t="shared" ca="1" si="19"/>
        <v>174.25141603157593</v>
      </c>
      <c r="CR9">
        <f t="shared" ca="1" si="19"/>
        <v>176.91192844163083</v>
      </c>
      <c r="CS9">
        <f t="shared" ca="1" si="19"/>
        <v>177.08697021582509</v>
      </c>
      <c r="CT9">
        <f t="shared" ca="1" si="19"/>
        <v>181.91503074293936</v>
      </c>
      <c r="CU9">
        <f t="shared" ca="1" si="19"/>
        <v>182.67724319843489</v>
      </c>
      <c r="CV9">
        <f t="shared" ca="1" si="4"/>
        <v>0</v>
      </c>
      <c r="CW9">
        <f t="shared" ca="1" si="7"/>
        <v>0</v>
      </c>
    </row>
    <row r="10" spans="1:101" x14ac:dyDescent="0.2">
      <c r="E10">
        <v>222.13</v>
      </c>
      <c r="F10">
        <f t="shared" ref="F10:BQ10" ca="1" si="20">E10*(1+$B$2*$B$4+$B$3*SQRT($B$4)*_xlfn.NORM.S.INV(RAND()))</f>
        <v>226.67092983938937</v>
      </c>
      <c r="G10">
        <f t="shared" ca="1" si="20"/>
        <v>224.09791431135469</v>
      </c>
      <c r="H10">
        <f t="shared" ca="1" si="20"/>
        <v>237.34966763186497</v>
      </c>
      <c r="I10">
        <f t="shared" ca="1" si="20"/>
        <v>242.67909468374225</v>
      </c>
      <c r="J10">
        <f t="shared" ca="1" si="20"/>
        <v>234.27493104727998</v>
      </c>
      <c r="K10">
        <f t="shared" ca="1" si="20"/>
        <v>237.12980101784254</v>
      </c>
      <c r="L10">
        <f t="shared" ca="1" si="20"/>
        <v>229.53917925529461</v>
      </c>
      <c r="M10">
        <f t="shared" ca="1" si="20"/>
        <v>241.30124616704572</v>
      </c>
      <c r="N10">
        <f t="shared" ca="1" si="20"/>
        <v>234.46119857338979</v>
      </c>
      <c r="O10">
        <f t="shared" ca="1" si="20"/>
        <v>244.15435320396506</v>
      </c>
      <c r="P10">
        <f t="shared" ca="1" si="20"/>
        <v>240.74167230457752</v>
      </c>
      <c r="Q10">
        <f t="shared" ca="1" si="20"/>
        <v>231.26970247750185</v>
      </c>
      <c r="R10">
        <f t="shared" ca="1" si="20"/>
        <v>235.4469014085476</v>
      </c>
      <c r="S10">
        <f t="shared" ca="1" si="20"/>
        <v>244.39455194226184</v>
      </c>
      <c r="T10">
        <f t="shared" ca="1" si="20"/>
        <v>249.07580872058281</v>
      </c>
      <c r="U10">
        <f t="shared" ca="1" si="20"/>
        <v>242.303469068748</v>
      </c>
      <c r="V10">
        <f t="shared" ca="1" si="20"/>
        <v>236.62926893599203</v>
      </c>
      <c r="W10">
        <f t="shared" ca="1" si="20"/>
        <v>237.27268764770338</v>
      </c>
      <c r="X10">
        <f t="shared" ca="1" si="20"/>
        <v>233.5159062715862</v>
      </c>
      <c r="Y10">
        <f t="shared" ca="1" si="20"/>
        <v>230.10133506285155</v>
      </c>
      <c r="Z10">
        <f t="shared" ca="1" si="20"/>
        <v>227.05509789254182</v>
      </c>
      <c r="AA10">
        <f t="shared" ca="1" si="20"/>
        <v>230.65610011419352</v>
      </c>
      <c r="AB10">
        <f t="shared" ca="1" si="20"/>
        <v>225.41002824609325</v>
      </c>
      <c r="AC10">
        <f t="shared" ca="1" si="20"/>
        <v>228.54166944617134</v>
      </c>
      <c r="AD10">
        <f t="shared" ca="1" si="20"/>
        <v>229.69232470185639</v>
      </c>
      <c r="AE10">
        <f t="shared" ca="1" si="20"/>
        <v>228.79312585605362</v>
      </c>
      <c r="AF10">
        <f t="shared" ca="1" si="20"/>
        <v>226.14325236113305</v>
      </c>
      <c r="AG10">
        <f t="shared" ca="1" si="20"/>
        <v>222.70821759781327</v>
      </c>
      <c r="AH10">
        <f t="shared" ca="1" si="20"/>
        <v>224.78152921116003</v>
      </c>
      <c r="AI10">
        <f t="shared" ca="1" si="20"/>
        <v>221.92130163134783</v>
      </c>
      <c r="AJ10">
        <f t="shared" ca="1" si="20"/>
        <v>222.99524581130834</v>
      </c>
      <c r="AK10">
        <f t="shared" ca="1" si="20"/>
        <v>231.76195427779817</v>
      </c>
      <c r="AL10">
        <f t="shared" ca="1" si="20"/>
        <v>240.39180694272451</v>
      </c>
      <c r="AM10">
        <f t="shared" ca="1" si="20"/>
        <v>239.84057630550214</v>
      </c>
      <c r="AN10">
        <f t="shared" ca="1" si="20"/>
        <v>233.5082057781367</v>
      </c>
      <c r="AO10">
        <f t="shared" ca="1" si="20"/>
        <v>234.03962779704992</v>
      </c>
      <c r="AP10">
        <f t="shared" ca="1" si="20"/>
        <v>242.0988058417885</v>
      </c>
      <c r="AQ10">
        <f t="shared" ca="1" si="20"/>
        <v>236.07857807252176</v>
      </c>
      <c r="AR10">
        <f t="shared" ca="1" si="20"/>
        <v>225.95302912642086</v>
      </c>
      <c r="AS10">
        <f t="shared" ca="1" si="20"/>
        <v>221.3567693141068</v>
      </c>
      <c r="AT10">
        <f t="shared" ca="1" si="20"/>
        <v>214.03032879921304</v>
      </c>
      <c r="AU10">
        <f t="shared" ca="1" si="20"/>
        <v>215.78824170749706</v>
      </c>
      <c r="AV10">
        <f t="shared" ca="1" si="20"/>
        <v>210.34462150948755</v>
      </c>
      <c r="AW10">
        <f t="shared" ca="1" si="20"/>
        <v>216.39509971994016</v>
      </c>
      <c r="AX10">
        <f t="shared" ca="1" si="20"/>
        <v>211.34552543156289</v>
      </c>
      <c r="AY10">
        <f t="shared" ca="1" si="20"/>
        <v>206.48756348470292</v>
      </c>
      <c r="AZ10">
        <f t="shared" ca="1" si="20"/>
        <v>202.27354289336117</v>
      </c>
      <c r="BA10">
        <f t="shared" ca="1" si="20"/>
        <v>197.74669960706095</v>
      </c>
      <c r="BB10">
        <f t="shared" ca="1" si="20"/>
        <v>195.6937128749835</v>
      </c>
      <c r="BC10">
        <f t="shared" ca="1" si="20"/>
        <v>190.79503097362243</v>
      </c>
      <c r="BD10">
        <f t="shared" ca="1" si="20"/>
        <v>193.31623363682331</v>
      </c>
      <c r="BE10">
        <f t="shared" ca="1" si="20"/>
        <v>191.0215734275157</v>
      </c>
      <c r="BF10">
        <f t="shared" ca="1" si="20"/>
        <v>189.6046503867482</v>
      </c>
      <c r="BG10">
        <f t="shared" ca="1" si="20"/>
        <v>193.60788991648084</v>
      </c>
      <c r="BH10">
        <f t="shared" ca="1" si="20"/>
        <v>195.51418198856112</v>
      </c>
      <c r="BI10">
        <f t="shared" ca="1" si="20"/>
        <v>194.50737809138934</v>
      </c>
      <c r="BJ10">
        <f t="shared" ca="1" si="20"/>
        <v>198.0742007914404</v>
      </c>
      <c r="BK10">
        <f t="shared" ca="1" si="20"/>
        <v>200.56711242477368</v>
      </c>
      <c r="BL10">
        <f t="shared" ca="1" si="20"/>
        <v>201.49540784629352</v>
      </c>
      <c r="BM10">
        <f t="shared" ca="1" si="20"/>
        <v>201.61055900565844</v>
      </c>
      <c r="BN10">
        <f t="shared" ca="1" si="20"/>
        <v>195.55133163647722</v>
      </c>
      <c r="BO10">
        <f t="shared" ca="1" si="20"/>
        <v>186.65322769729698</v>
      </c>
      <c r="BP10">
        <f t="shared" ca="1" si="20"/>
        <v>181.45522270490022</v>
      </c>
      <c r="BQ10">
        <f t="shared" ca="1" si="20"/>
        <v>176.97802889073358</v>
      </c>
      <c r="BR10">
        <f t="shared" ref="BR10:CU10" ca="1" si="21">BQ10*(1+$B$2*$B$4+$B$3*SQRT($B$4)*_xlfn.NORM.S.INV(RAND()))</f>
        <v>173.28707507753765</v>
      </c>
      <c r="BS10">
        <f t="shared" ca="1" si="21"/>
        <v>176.52795077822859</v>
      </c>
      <c r="BT10">
        <f t="shared" ca="1" si="21"/>
        <v>172.89501734739173</v>
      </c>
      <c r="BU10">
        <f t="shared" ca="1" si="21"/>
        <v>174.3689191717383</v>
      </c>
      <c r="BV10">
        <f t="shared" ca="1" si="21"/>
        <v>182.01844915906918</v>
      </c>
      <c r="BW10">
        <f t="shared" ca="1" si="21"/>
        <v>190.86950301741604</v>
      </c>
      <c r="BX10">
        <f t="shared" ca="1" si="21"/>
        <v>194.78266036303907</v>
      </c>
      <c r="BY10">
        <f t="shared" ca="1" si="21"/>
        <v>189.76281223779051</v>
      </c>
      <c r="BZ10">
        <f t="shared" ca="1" si="21"/>
        <v>194.99606743689318</v>
      </c>
      <c r="CA10">
        <f t="shared" ca="1" si="21"/>
        <v>198.67136327351713</v>
      </c>
      <c r="CB10">
        <f t="shared" ca="1" si="21"/>
        <v>198.18722528419011</v>
      </c>
      <c r="CC10">
        <f t="shared" ca="1" si="21"/>
        <v>194.75778047686333</v>
      </c>
      <c r="CD10">
        <f t="shared" ca="1" si="21"/>
        <v>198.94522928090683</v>
      </c>
      <c r="CE10">
        <f t="shared" ca="1" si="21"/>
        <v>192.96269285901602</v>
      </c>
      <c r="CF10">
        <f t="shared" ca="1" si="21"/>
        <v>188.77600527016642</v>
      </c>
      <c r="CG10">
        <f t="shared" ca="1" si="21"/>
        <v>188.65494842770943</v>
      </c>
      <c r="CH10">
        <f t="shared" ca="1" si="21"/>
        <v>187.66442725371755</v>
      </c>
      <c r="CI10">
        <f t="shared" ca="1" si="21"/>
        <v>181.64529141313298</v>
      </c>
      <c r="CJ10">
        <f t="shared" ca="1" si="21"/>
        <v>185.83667251551938</v>
      </c>
      <c r="CK10">
        <f t="shared" ca="1" si="21"/>
        <v>192.36935220731573</v>
      </c>
      <c r="CL10">
        <f t="shared" ca="1" si="21"/>
        <v>192.21270333345356</v>
      </c>
      <c r="CM10">
        <f t="shared" ca="1" si="21"/>
        <v>190.41960780322856</v>
      </c>
      <c r="CN10">
        <f t="shared" ca="1" si="21"/>
        <v>197.81610216812535</v>
      </c>
      <c r="CO10">
        <f t="shared" ca="1" si="21"/>
        <v>200.45866403849212</v>
      </c>
      <c r="CP10">
        <f t="shared" ca="1" si="21"/>
        <v>199.47437683583794</v>
      </c>
      <c r="CQ10">
        <f t="shared" ca="1" si="21"/>
        <v>202.97522611133203</v>
      </c>
      <c r="CR10">
        <f t="shared" ca="1" si="21"/>
        <v>198.22308915189177</v>
      </c>
      <c r="CS10">
        <f t="shared" ca="1" si="21"/>
        <v>196.21555837089349</v>
      </c>
      <c r="CT10">
        <f t="shared" ca="1" si="21"/>
        <v>198.05595032935059</v>
      </c>
      <c r="CU10">
        <f t="shared" ca="1" si="21"/>
        <v>198.26781319999026</v>
      </c>
      <c r="CV10">
        <f t="shared" ca="1" si="4"/>
        <v>0</v>
      </c>
      <c r="CW10">
        <f t="shared" ca="1" si="7"/>
        <v>0</v>
      </c>
    </row>
    <row r="11" spans="1:101" x14ac:dyDescent="0.2">
      <c r="A11" t="s">
        <v>48</v>
      </c>
      <c r="B11" s="16">
        <f>344/365</f>
        <v>0.94246575342465755</v>
      </c>
      <c r="C11" t="str">
        <f ca="1">_xlfn.FORMULATEXT(B11)</f>
        <v>=344/365</v>
      </c>
      <c r="E11">
        <v>222.13</v>
      </c>
      <c r="F11">
        <f t="shared" ref="F11:BQ11" ca="1" si="22">E11*(1+$B$2*$B$4+$B$3*SQRT($B$4)*_xlfn.NORM.S.INV(RAND()))</f>
        <v>226.82970080542836</v>
      </c>
      <c r="G11">
        <f t="shared" ca="1" si="22"/>
        <v>223.29873228567453</v>
      </c>
      <c r="H11">
        <f t="shared" ca="1" si="22"/>
        <v>214.11184762924793</v>
      </c>
      <c r="I11">
        <f t="shared" ca="1" si="22"/>
        <v>218.97112888001649</v>
      </c>
      <c r="J11">
        <f t="shared" ca="1" si="22"/>
        <v>216.87023650669565</v>
      </c>
      <c r="K11">
        <f t="shared" ca="1" si="22"/>
        <v>227.2651625630524</v>
      </c>
      <c r="L11">
        <f t="shared" ca="1" si="22"/>
        <v>220.37834158157352</v>
      </c>
      <c r="M11">
        <f t="shared" ca="1" si="22"/>
        <v>228.90840271679136</v>
      </c>
      <c r="N11">
        <f t="shared" ca="1" si="22"/>
        <v>228.17535889920853</v>
      </c>
      <c r="O11">
        <f t="shared" ca="1" si="22"/>
        <v>232.95664853558861</v>
      </c>
      <c r="P11">
        <f t="shared" ca="1" si="22"/>
        <v>224.66825012247389</v>
      </c>
      <c r="Q11">
        <f t="shared" ca="1" si="22"/>
        <v>233.78890317079114</v>
      </c>
      <c r="R11">
        <f t="shared" ca="1" si="22"/>
        <v>236.29429158918873</v>
      </c>
      <c r="S11">
        <f t="shared" ca="1" si="22"/>
        <v>244.48768383206306</v>
      </c>
      <c r="T11">
        <f t="shared" ca="1" si="22"/>
        <v>239.60938801880141</v>
      </c>
      <c r="U11">
        <f t="shared" ca="1" si="22"/>
        <v>243.37824432714729</v>
      </c>
      <c r="V11">
        <f t="shared" ca="1" si="22"/>
        <v>245.27974171806653</v>
      </c>
      <c r="W11">
        <f t="shared" ca="1" si="22"/>
        <v>238.9033922956325</v>
      </c>
      <c r="X11">
        <f t="shared" ca="1" si="22"/>
        <v>237.8550387787617</v>
      </c>
      <c r="Y11">
        <f t="shared" ca="1" si="22"/>
        <v>232.84227273075354</v>
      </c>
      <c r="Z11">
        <f t="shared" ca="1" si="22"/>
        <v>229.26686430321558</v>
      </c>
      <c r="AA11">
        <f t="shared" ca="1" si="22"/>
        <v>228.83447354930584</v>
      </c>
      <c r="AB11">
        <f t="shared" ca="1" si="22"/>
        <v>228.04130748884393</v>
      </c>
      <c r="AC11">
        <f t="shared" ca="1" si="22"/>
        <v>234.45802808959837</v>
      </c>
      <c r="AD11">
        <f t="shared" ca="1" si="22"/>
        <v>250.19652832404751</v>
      </c>
      <c r="AE11">
        <f t="shared" ca="1" si="22"/>
        <v>245.66706781771589</v>
      </c>
      <c r="AF11">
        <f t="shared" ca="1" si="22"/>
        <v>239.50428670812821</v>
      </c>
      <c r="AG11">
        <f t="shared" ca="1" si="22"/>
        <v>239.18572849064211</v>
      </c>
      <c r="AH11">
        <f t="shared" ca="1" si="22"/>
        <v>239.65572507619856</v>
      </c>
      <c r="AI11">
        <f t="shared" ca="1" si="22"/>
        <v>233.81637217163751</v>
      </c>
      <c r="AJ11">
        <f t="shared" ca="1" si="22"/>
        <v>233.11741561028757</v>
      </c>
      <c r="AK11">
        <f t="shared" ca="1" si="22"/>
        <v>234.93070152055091</v>
      </c>
      <c r="AL11">
        <f t="shared" ca="1" si="22"/>
        <v>230.55683186826514</v>
      </c>
      <c r="AM11">
        <f t="shared" ca="1" si="22"/>
        <v>239.72587438415675</v>
      </c>
      <c r="AN11">
        <f t="shared" ca="1" si="22"/>
        <v>238.42193252894972</v>
      </c>
      <c r="AO11">
        <f t="shared" ca="1" si="22"/>
        <v>235.20508363507105</v>
      </c>
      <c r="AP11">
        <f t="shared" ca="1" si="22"/>
        <v>238.07186872092817</v>
      </c>
      <c r="AQ11">
        <f t="shared" ca="1" si="22"/>
        <v>239.02792749244028</v>
      </c>
      <c r="AR11">
        <f t="shared" ca="1" si="22"/>
        <v>238.66021689221333</v>
      </c>
      <c r="AS11">
        <f t="shared" ca="1" si="22"/>
        <v>236.07598164620325</v>
      </c>
      <c r="AT11">
        <f t="shared" ca="1" si="22"/>
        <v>232.48650574594663</v>
      </c>
      <c r="AU11">
        <f t="shared" ca="1" si="22"/>
        <v>242.87615768192134</v>
      </c>
      <c r="AV11">
        <f t="shared" ca="1" si="22"/>
        <v>235.95796111779998</v>
      </c>
      <c r="AW11">
        <f t="shared" ca="1" si="22"/>
        <v>231.02204086929592</v>
      </c>
      <c r="AX11">
        <f t="shared" ca="1" si="22"/>
        <v>235.61994644744192</v>
      </c>
      <c r="AY11">
        <f t="shared" ca="1" si="22"/>
        <v>238.19093788264192</v>
      </c>
      <c r="AZ11">
        <f t="shared" ca="1" si="22"/>
        <v>241.27673405197362</v>
      </c>
      <c r="BA11">
        <f t="shared" ca="1" si="22"/>
        <v>242.53662323636416</v>
      </c>
      <c r="BB11">
        <f t="shared" ca="1" si="22"/>
        <v>235.02140605169507</v>
      </c>
      <c r="BC11">
        <f t="shared" ca="1" si="22"/>
        <v>230.55596966722908</v>
      </c>
      <c r="BD11">
        <f t="shared" ca="1" si="22"/>
        <v>230.27399603936419</v>
      </c>
      <c r="BE11">
        <f t="shared" ca="1" si="22"/>
        <v>232.19075200437641</v>
      </c>
      <c r="BF11">
        <f t="shared" ca="1" si="22"/>
        <v>223.20412350290076</v>
      </c>
      <c r="BG11">
        <f t="shared" ca="1" si="22"/>
        <v>224.09333623928626</v>
      </c>
      <c r="BH11">
        <f t="shared" ca="1" si="22"/>
        <v>218.99445409779096</v>
      </c>
      <c r="BI11">
        <f t="shared" ca="1" si="22"/>
        <v>223.47825456544999</v>
      </c>
      <c r="BJ11">
        <f t="shared" ca="1" si="22"/>
        <v>223.15790109157234</v>
      </c>
      <c r="BK11">
        <f t="shared" ca="1" si="22"/>
        <v>230.40115856563801</v>
      </c>
      <c r="BL11">
        <f t="shared" ca="1" si="22"/>
        <v>230.52264688679787</v>
      </c>
      <c r="BM11">
        <f t="shared" ca="1" si="22"/>
        <v>229.13383559620198</v>
      </c>
      <c r="BN11">
        <f t="shared" ca="1" si="22"/>
        <v>233.02807816624912</v>
      </c>
      <c r="BO11">
        <f t="shared" ca="1" si="22"/>
        <v>229.85777653928091</v>
      </c>
      <c r="BP11">
        <f t="shared" ca="1" si="22"/>
        <v>232.40643828355462</v>
      </c>
      <c r="BQ11">
        <f t="shared" ca="1" si="22"/>
        <v>236.98745831337786</v>
      </c>
      <c r="BR11">
        <f t="shared" ref="BR11:CU11" ca="1" si="23">BQ11*(1+$B$2*$B$4+$B$3*SQRT($B$4)*_xlfn.NORM.S.INV(RAND()))</f>
        <v>247.75753347519836</v>
      </c>
      <c r="BS11">
        <f t="shared" ca="1" si="23"/>
        <v>233.89405147775892</v>
      </c>
      <c r="BT11">
        <f t="shared" ca="1" si="23"/>
        <v>233.22276441760729</v>
      </c>
      <c r="BU11">
        <f t="shared" ca="1" si="23"/>
        <v>230.40607056081572</v>
      </c>
      <c r="BV11">
        <f t="shared" ca="1" si="23"/>
        <v>237.06394238009383</v>
      </c>
      <c r="BW11">
        <f t="shared" ca="1" si="23"/>
        <v>229.99532211975483</v>
      </c>
      <c r="BX11">
        <f t="shared" ca="1" si="23"/>
        <v>228.59230702447877</v>
      </c>
      <c r="BY11">
        <f t="shared" ca="1" si="23"/>
        <v>230.32997246501574</v>
      </c>
      <c r="BZ11">
        <f t="shared" ca="1" si="23"/>
        <v>222.40951781295922</v>
      </c>
      <c r="CA11">
        <f t="shared" ca="1" si="23"/>
        <v>213.18739434647017</v>
      </c>
      <c r="CB11">
        <f t="shared" ca="1" si="23"/>
        <v>207.02655085423982</v>
      </c>
      <c r="CC11">
        <f t="shared" ca="1" si="23"/>
        <v>206.36683516006264</v>
      </c>
      <c r="CD11">
        <f t="shared" ca="1" si="23"/>
        <v>203.72766584013954</v>
      </c>
      <c r="CE11">
        <f t="shared" ca="1" si="23"/>
        <v>203.55041232728146</v>
      </c>
      <c r="CF11">
        <f t="shared" ca="1" si="23"/>
        <v>197.61438484157108</v>
      </c>
      <c r="CG11">
        <f t="shared" ca="1" si="23"/>
        <v>190.5897412275562</v>
      </c>
      <c r="CH11">
        <f t="shared" ca="1" si="23"/>
        <v>200.90509837734339</v>
      </c>
      <c r="CI11">
        <f t="shared" ca="1" si="23"/>
        <v>197.4511158570819</v>
      </c>
      <c r="CJ11">
        <f t="shared" ca="1" si="23"/>
        <v>196.27956310432</v>
      </c>
      <c r="CK11">
        <f t="shared" ca="1" si="23"/>
        <v>194.17546614120283</v>
      </c>
      <c r="CL11">
        <f t="shared" ca="1" si="23"/>
        <v>186.51701313997557</v>
      </c>
      <c r="CM11">
        <f t="shared" ca="1" si="23"/>
        <v>194.47989812362354</v>
      </c>
      <c r="CN11">
        <f t="shared" ca="1" si="23"/>
        <v>193.12231103310762</v>
      </c>
      <c r="CO11">
        <f t="shared" ca="1" si="23"/>
        <v>195.28372147447672</v>
      </c>
      <c r="CP11">
        <f t="shared" ca="1" si="23"/>
        <v>193.80771604848098</v>
      </c>
      <c r="CQ11">
        <f t="shared" ca="1" si="23"/>
        <v>197.22132998450627</v>
      </c>
      <c r="CR11">
        <f t="shared" ca="1" si="23"/>
        <v>201.39015033510555</v>
      </c>
      <c r="CS11">
        <f t="shared" ca="1" si="23"/>
        <v>196.51564236029367</v>
      </c>
      <c r="CT11">
        <f t="shared" ca="1" si="23"/>
        <v>189.78991330199082</v>
      </c>
      <c r="CU11">
        <f t="shared" ca="1" si="23"/>
        <v>198.80800281681664</v>
      </c>
      <c r="CV11">
        <f t="shared" ca="1" si="4"/>
        <v>0</v>
      </c>
      <c r="CW11">
        <f t="shared" ca="1" si="7"/>
        <v>0</v>
      </c>
    </row>
    <row r="12" spans="1:101" x14ac:dyDescent="0.2">
      <c r="E12">
        <v>222.13</v>
      </c>
      <c r="F12">
        <f t="shared" ref="F12:BQ12" ca="1" si="24">E12*(1+$B$2*$B$4+$B$3*SQRT($B$4)*_xlfn.NORM.S.INV(RAND()))</f>
        <v>223.81965109234642</v>
      </c>
      <c r="G12">
        <f t="shared" ca="1" si="24"/>
        <v>225.97595425703372</v>
      </c>
      <c r="H12">
        <f t="shared" ca="1" si="24"/>
        <v>224.0814054940715</v>
      </c>
      <c r="I12">
        <f t="shared" ca="1" si="24"/>
        <v>225.9879127627367</v>
      </c>
      <c r="J12">
        <f t="shared" ca="1" si="24"/>
        <v>224.78293515486314</v>
      </c>
      <c r="K12">
        <f t="shared" ca="1" si="24"/>
        <v>230.14783184771304</v>
      </c>
      <c r="L12">
        <f t="shared" ca="1" si="24"/>
        <v>230.85903953906055</v>
      </c>
      <c r="M12">
        <f t="shared" ca="1" si="24"/>
        <v>233.54556544408194</v>
      </c>
      <c r="N12">
        <f t="shared" ca="1" si="24"/>
        <v>226.96290196425051</v>
      </c>
      <c r="O12">
        <f t="shared" ca="1" si="24"/>
        <v>226.19805601965933</v>
      </c>
      <c r="P12">
        <f t="shared" ca="1" si="24"/>
        <v>229.75470359106183</v>
      </c>
      <c r="Q12">
        <f t="shared" ca="1" si="24"/>
        <v>224.8223806587628</v>
      </c>
      <c r="R12">
        <f t="shared" ca="1" si="24"/>
        <v>229.33282008162894</v>
      </c>
      <c r="S12">
        <f t="shared" ca="1" si="24"/>
        <v>229.43334923160728</v>
      </c>
      <c r="T12">
        <f t="shared" ca="1" si="24"/>
        <v>222.95492544689799</v>
      </c>
      <c r="U12">
        <f t="shared" ca="1" si="24"/>
        <v>222.8855697484808</v>
      </c>
      <c r="V12">
        <f t="shared" ca="1" si="24"/>
        <v>233.53611545996546</v>
      </c>
      <c r="W12">
        <f t="shared" ca="1" si="24"/>
        <v>232.43715221806261</v>
      </c>
      <c r="X12">
        <f t="shared" ca="1" si="24"/>
        <v>236.72595138990889</v>
      </c>
      <c r="Y12">
        <f t="shared" ca="1" si="24"/>
        <v>236.89908068158772</v>
      </c>
      <c r="Z12">
        <f t="shared" ca="1" si="24"/>
        <v>233.80041380644644</v>
      </c>
      <c r="AA12">
        <f t="shared" ca="1" si="24"/>
        <v>233.19791801624027</v>
      </c>
      <c r="AB12">
        <f t="shared" ca="1" si="24"/>
        <v>241.70301904655778</v>
      </c>
      <c r="AC12">
        <f t="shared" ca="1" si="24"/>
        <v>245.4315196820296</v>
      </c>
      <c r="AD12">
        <f t="shared" ca="1" si="24"/>
        <v>239.87511149933505</v>
      </c>
      <c r="AE12">
        <f t="shared" ca="1" si="24"/>
        <v>241.34497455741567</v>
      </c>
      <c r="AF12">
        <f t="shared" ca="1" si="24"/>
        <v>240.91501111659153</v>
      </c>
      <c r="AG12">
        <f t="shared" ca="1" si="24"/>
        <v>238.7483167163428</v>
      </c>
      <c r="AH12">
        <f t="shared" ca="1" si="24"/>
        <v>240.31487305175659</v>
      </c>
      <c r="AI12">
        <f t="shared" ca="1" si="24"/>
        <v>231.60237963552788</v>
      </c>
      <c r="AJ12">
        <f t="shared" ca="1" si="24"/>
        <v>235.02079796699149</v>
      </c>
      <c r="AK12">
        <f t="shared" ca="1" si="24"/>
        <v>238.17964829626135</v>
      </c>
      <c r="AL12">
        <f t="shared" ca="1" si="24"/>
        <v>231.90621906606137</v>
      </c>
      <c r="AM12">
        <f t="shared" ca="1" si="24"/>
        <v>226.26565035239614</v>
      </c>
      <c r="AN12">
        <f t="shared" ca="1" si="24"/>
        <v>230.31996247525535</v>
      </c>
      <c r="AO12">
        <f t="shared" ca="1" si="24"/>
        <v>225.54704162382899</v>
      </c>
      <c r="AP12">
        <f t="shared" ca="1" si="24"/>
        <v>227.42625735633553</v>
      </c>
      <c r="AQ12">
        <f t="shared" ca="1" si="24"/>
        <v>232.9660817223843</v>
      </c>
      <c r="AR12">
        <f t="shared" ca="1" si="24"/>
        <v>225.8683428378651</v>
      </c>
      <c r="AS12">
        <f t="shared" ca="1" si="24"/>
        <v>216.86098793843047</v>
      </c>
      <c r="AT12">
        <f t="shared" ca="1" si="24"/>
        <v>215.58328624363966</v>
      </c>
      <c r="AU12">
        <f t="shared" ca="1" si="24"/>
        <v>214.86045905081886</v>
      </c>
      <c r="AV12">
        <f t="shared" ca="1" si="24"/>
        <v>198.87011789724397</v>
      </c>
      <c r="AW12">
        <f t="shared" ca="1" si="24"/>
        <v>202.16655200179991</v>
      </c>
      <c r="AX12">
        <f t="shared" ca="1" si="24"/>
        <v>195.97602593203914</v>
      </c>
      <c r="AY12">
        <f t="shared" ca="1" si="24"/>
        <v>196.09247715263876</v>
      </c>
      <c r="AZ12">
        <f t="shared" ca="1" si="24"/>
        <v>187.61759112198848</v>
      </c>
      <c r="BA12">
        <f t="shared" ca="1" si="24"/>
        <v>182.40870022112099</v>
      </c>
      <c r="BB12">
        <f t="shared" ca="1" si="24"/>
        <v>179.07085027679989</v>
      </c>
      <c r="BC12">
        <f t="shared" ca="1" si="24"/>
        <v>172.89040765464685</v>
      </c>
      <c r="BD12">
        <f t="shared" ca="1" si="24"/>
        <v>169.79434562950706</v>
      </c>
      <c r="BE12">
        <f t="shared" ca="1" si="24"/>
        <v>165.50913662050169</v>
      </c>
      <c r="BF12">
        <f t="shared" ca="1" si="24"/>
        <v>163.55356911076458</v>
      </c>
      <c r="BG12">
        <f t="shared" ca="1" si="24"/>
        <v>166.79478695537316</v>
      </c>
      <c r="BH12">
        <f t="shared" ca="1" si="24"/>
        <v>162.83452865450576</v>
      </c>
      <c r="BI12">
        <f t="shared" ca="1" si="24"/>
        <v>165.60947383044606</v>
      </c>
      <c r="BJ12">
        <f t="shared" ca="1" si="24"/>
        <v>164.9791725562053</v>
      </c>
      <c r="BK12">
        <f t="shared" ca="1" si="24"/>
        <v>168.09419578118934</v>
      </c>
      <c r="BL12">
        <f t="shared" ca="1" si="24"/>
        <v>165.59118973258356</v>
      </c>
      <c r="BM12">
        <f t="shared" ca="1" si="24"/>
        <v>167.45702701741391</v>
      </c>
      <c r="BN12">
        <f t="shared" ca="1" si="24"/>
        <v>164.41352469921537</v>
      </c>
      <c r="BO12">
        <f t="shared" ca="1" si="24"/>
        <v>167.12196168383917</v>
      </c>
      <c r="BP12">
        <f t="shared" ca="1" si="24"/>
        <v>170.30036147257428</v>
      </c>
      <c r="BQ12">
        <f t="shared" ca="1" si="24"/>
        <v>172.91793555793123</v>
      </c>
      <c r="BR12">
        <f t="shared" ref="BR12:CU12" ca="1" si="25">BQ12*(1+$B$2*$B$4+$B$3*SQRT($B$4)*_xlfn.NORM.S.INV(RAND()))</f>
        <v>175.76927614854523</v>
      </c>
      <c r="BS12">
        <f t="shared" ca="1" si="25"/>
        <v>170.9987144120106</v>
      </c>
      <c r="BT12">
        <f t="shared" ca="1" si="25"/>
        <v>166.01161043381285</v>
      </c>
      <c r="BU12">
        <f t="shared" ca="1" si="25"/>
        <v>164.24052752633574</v>
      </c>
      <c r="BV12">
        <f t="shared" ca="1" si="25"/>
        <v>157.6393921792951</v>
      </c>
      <c r="BW12">
        <f t="shared" ca="1" si="25"/>
        <v>157.327587562085</v>
      </c>
      <c r="BX12">
        <f t="shared" ca="1" si="25"/>
        <v>162.50827445374921</v>
      </c>
      <c r="BY12">
        <f t="shared" ca="1" si="25"/>
        <v>160.17287198900925</v>
      </c>
      <c r="BZ12">
        <f t="shared" ca="1" si="25"/>
        <v>154.04221490052279</v>
      </c>
      <c r="CA12">
        <f t="shared" ca="1" si="25"/>
        <v>152.59164420647068</v>
      </c>
      <c r="CB12">
        <f t="shared" ca="1" si="25"/>
        <v>147.13565950384148</v>
      </c>
      <c r="CC12">
        <f t="shared" ca="1" si="25"/>
        <v>145.85666652203599</v>
      </c>
      <c r="CD12">
        <f t="shared" ca="1" si="25"/>
        <v>146.73550699152179</v>
      </c>
      <c r="CE12">
        <f t="shared" ca="1" si="25"/>
        <v>147.7917747517651</v>
      </c>
      <c r="CF12">
        <f t="shared" ca="1" si="25"/>
        <v>149.64307304026534</v>
      </c>
      <c r="CG12">
        <f t="shared" ca="1" si="25"/>
        <v>150.06108771431639</v>
      </c>
      <c r="CH12">
        <f t="shared" ca="1" si="25"/>
        <v>154.88722992326626</v>
      </c>
      <c r="CI12">
        <f t="shared" ca="1" si="25"/>
        <v>153.01668715172107</v>
      </c>
      <c r="CJ12">
        <f t="shared" ca="1" si="25"/>
        <v>155.38052897151945</v>
      </c>
      <c r="CK12">
        <f t="shared" ca="1" si="25"/>
        <v>159.34420010928594</v>
      </c>
      <c r="CL12">
        <f t="shared" ca="1" si="25"/>
        <v>159.52117622499404</v>
      </c>
      <c r="CM12">
        <f t="shared" ca="1" si="25"/>
        <v>162.73339010804804</v>
      </c>
      <c r="CN12">
        <f t="shared" ca="1" si="25"/>
        <v>157.78926157971421</v>
      </c>
      <c r="CO12">
        <f t="shared" ca="1" si="25"/>
        <v>157.53040222881594</v>
      </c>
      <c r="CP12">
        <f t="shared" ca="1" si="25"/>
        <v>159.70999330730208</v>
      </c>
      <c r="CQ12">
        <f t="shared" ca="1" si="25"/>
        <v>161.7516377628082</v>
      </c>
      <c r="CR12">
        <f t="shared" ca="1" si="25"/>
        <v>162.04282399344865</v>
      </c>
      <c r="CS12">
        <f t="shared" ca="1" si="25"/>
        <v>159.53294566137109</v>
      </c>
      <c r="CT12">
        <f t="shared" ca="1" si="25"/>
        <v>153.62408040001023</v>
      </c>
      <c r="CU12">
        <f t="shared" ca="1" si="25"/>
        <v>157.58004951951378</v>
      </c>
      <c r="CV12">
        <f t="shared" ca="1" si="4"/>
        <v>0</v>
      </c>
      <c r="CW12">
        <f t="shared" ca="1" si="7"/>
        <v>0</v>
      </c>
    </row>
    <row r="13" spans="1:101" x14ac:dyDescent="0.2">
      <c r="E13">
        <v>222.13</v>
      </c>
      <c r="F13">
        <f t="shared" ref="F13:BQ13" ca="1" si="26">E13*(1+$B$2*$B$4+$B$3*SQRT($B$4)*_xlfn.NORM.S.INV(RAND()))</f>
        <v>223.11394474456506</v>
      </c>
      <c r="G13">
        <f t="shared" ca="1" si="26"/>
        <v>222.64880780237371</v>
      </c>
      <c r="H13">
        <f t="shared" ca="1" si="26"/>
        <v>222.20354830264122</v>
      </c>
      <c r="I13">
        <f t="shared" ca="1" si="26"/>
        <v>222.93973845337266</v>
      </c>
      <c r="J13">
        <f t="shared" ca="1" si="26"/>
        <v>230.52319782122788</v>
      </c>
      <c r="K13">
        <f t="shared" ca="1" si="26"/>
        <v>229.17354506928936</v>
      </c>
      <c r="L13">
        <f t="shared" ca="1" si="26"/>
        <v>228.67166613044998</v>
      </c>
      <c r="M13">
        <f t="shared" ca="1" si="26"/>
        <v>233.01878230027341</v>
      </c>
      <c r="N13">
        <f t="shared" ca="1" si="26"/>
        <v>244.29720374696063</v>
      </c>
      <c r="O13">
        <f t="shared" ca="1" si="26"/>
        <v>238.58813425741064</v>
      </c>
      <c r="P13">
        <f t="shared" ca="1" si="26"/>
        <v>245.9053799147699</v>
      </c>
      <c r="Q13">
        <f t="shared" ca="1" si="26"/>
        <v>248.62403957341715</v>
      </c>
      <c r="R13">
        <f t="shared" ca="1" si="26"/>
        <v>248.41224202795286</v>
      </c>
      <c r="S13">
        <f t="shared" ca="1" si="26"/>
        <v>253.48886873051907</v>
      </c>
      <c r="T13">
        <f t="shared" ca="1" si="26"/>
        <v>256.59901274142914</v>
      </c>
      <c r="U13">
        <f t="shared" ca="1" si="26"/>
        <v>262.44373594333689</v>
      </c>
      <c r="V13">
        <f t="shared" ca="1" si="26"/>
        <v>257.3696179214416</v>
      </c>
      <c r="W13">
        <f t="shared" ca="1" si="26"/>
        <v>254.32614968941957</v>
      </c>
      <c r="X13">
        <f t="shared" ca="1" si="26"/>
        <v>256.99947469873689</v>
      </c>
      <c r="Y13">
        <f t="shared" ca="1" si="26"/>
        <v>265.29318318230145</v>
      </c>
      <c r="Z13">
        <f t="shared" ca="1" si="26"/>
        <v>265.33940931945716</v>
      </c>
      <c r="AA13">
        <f t="shared" ca="1" si="26"/>
        <v>264.45471854982219</v>
      </c>
      <c r="AB13">
        <f t="shared" ca="1" si="26"/>
        <v>255.27580897082947</v>
      </c>
      <c r="AC13">
        <f t="shared" ca="1" si="26"/>
        <v>258.12131996259984</v>
      </c>
      <c r="AD13">
        <f t="shared" ca="1" si="26"/>
        <v>258.64104540616268</v>
      </c>
      <c r="AE13">
        <f t="shared" ca="1" si="26"/>
        <v>267.26551035828544</v>
      </c>
      <c r="AF13">
        <f t="shared" ca="1" si="26"/>
        <v>262.43588757736757</v>
      </c>
      <c r="AG13">
        <f t="shared" ca="1" si="26"/>
        <v>262.23027664928929</v>
      </c>
      <c r="AH13">
        <f t="shared" ca="1" si="26"/>
        <v>270.00290461106806</v>
      </c>
      <c r="AI13">
        <f t="shared" ca="1" si="26"/>
        <v>271.70405299074679</v>
      </c>
      <c r="AJ13">
        <f t="shared" ca="1" si="26"/>
        <v>270.54296174445329</v>
      </c>
      <c r="AK13">
        <f t="shared" ca="1" si="26"/>
        <v>282.119444679585</v>
      </c>
      <c r="AL13">
        <f t="shared" ca="1" si="26"/>
        <v>285.97654704815375</v>
      </c>
      <c r="AM13">
        <f t="shared" ca="1" si="26"/>
        <v>287.33043609984719</v>
      </c>
      <c r="AN13">
        <f t="shared" ca="1" si="26"/>
        <v>291.13024147343765</v>
      </c>
      <c r="AO13">
        <f t="shared" ca="1" si="26"/>
        <v>285.38007044700458</v>
      </c>
      <c r="AP13">
        <f t="shared" ca="1" si="26"/>
        <v>277.67201115418436</v>
      </c>
      <c r="AQ13">
        <f t="shared" ca="1" si="26"/>
        <v>285.68750857398425</v>
      </c>
      <c r="AR13">
        <f t="shared" ca="1" si="26"/>
        <v>283.86300228750292</v>
      </c>
      <c r="AS13">
        <f t="shared" ca="1" si="26"/>
        <v>283.20732991170394</v>
      </c>
      <c r="AT13">
        <f t="shared" ca="1" si="26"/>
        <v>282.12446218832827</v>
      </c>
      <c r="AU13">
        <f t="shared" ca="1" si="26"/>
        <v>282.15508100381044</v>
      </c>
      <c r="AV13">
        <f t="shared" ca="1" si="26"/>
        <v>289.53429665012789</v>
      </c>
      <c r="AW13">
        <f t="shared" ca="1" si="26"/>
        <v>281.65078912907529</v>
      </c>
      <c r="AX13">
        <f t="shared" ca="1" si="26"/>
        <v>290.3267406193745</v>
      </c>
      <c r="AY13">
        <f t="shared" ca="1" si="26"/>
        <v>297.37510490282114</v>
      </c>
      <c r="AZ13">
        <f t="shared" ca="1" si="26"/>
        <v>309.67085410171421</v>
      </c>
      <c r="BA13">
        <f t="shared" ca="1" si="26"/>
        <v>311.02813888354689</v>
      </c>
      <c r="BB13">
        <f t="shared" ca="1" si="26"/>
        <v>300.42860863663219</v>
      </c>
      <c r="BC13">
        <f t="shared" ca="1" si="26"/>
        <v>294.79637234734923</v>
      </c>
      <c r="BD13">
        <f t="shared" ca="1" si="26"/>
        <v>293.00163459208551</v>
      </c>
      <c r="BE13">
        <f t="shared" ca="1" si="26"/>
        <v>292.23328362587796</v>
      </c>
      <c r="BF13">
        <f t="shared" ca="1" si="26"/>
        <v>302.53146541114273</v>
      </c>
      <c r="BG13">
        <f t="shared" ca="1" si="26"/>
        <v>305.56365577339403</v>
      </c>
      <c r="BH13">
        <f t="shared" ca="1" si="26"/>
        <v>310.21104491708388</v>
      </c>
      <c r="BI13">
        <f t="shared" ca="1" si="26"/>
        <v>312.64573550266556</v>
      </c>
      <c r="BJ13">
        <f t="shared" ca="1" si="26"/>
        <v>312.19477152108874</v>
      </c>
      <c r="BK13">
        <f t="shared" ca="1" si="26"/>
        <v>308.03299292765286</v>
      </c>
      <c r="BL13">
        <f t="shared" ca="1" si="26"/>
        <v>308.18034622420117</v>
      </c>
      <c r="BM13">
        <f t="shared" ca="1" si="26"/>
        <v>297.5867722385218</v>
      </c>
      <c r="BN13">
        <f t="shared" ca="1" si="26"/>
        <v>286.56947789196983</v>
      </c>
      <c r="BO13">
        <f t="shared" ca="1" si="26"/>
        <v>286.36401695923627</v>
      </c>
      <c r="BP13">
        <f t="shared" ca="1" si="26"/>
        <v>297.76954216861031</v>
      </c>
      <c r="BQ13">
        <f t="shared" ca="1" si="26"/>
        <v>302.04584400436812</v>
      </c>
      <c r="BR13">
        <f t="shared" ref="BR13:CU13" ca="1" si="27">BQ13*(1+$B$2*$B$4+$B$3*SQRT($B$4)*_xlfn.NORM.S.INV(RAND()))</f>
        <v>305.66694057787907</v>
      </c>
      <c r="BS13">
        <f t="shared" ca="1" si="27"/>
        <v>304.08965452538587</v>
      </c>
      <c r="BT13">
        <f t="shared" ca="1" si="27"/>
        <v>311.81988618488657</v>
      </c>
      <c r="BU13">
        <f t="shared" ca="1" si="27"/>
        <v>310.82384257023767</v>
      </c>
      <c r="BV13">
        <f t="shared" ca="1" si="27"/>
        <v>314.34763614824584</v>
      </c>
      <c r="BW13">
        <f t="shared" ca="1" si="27"/>
        <v>320.81967840005626</v>
      </c>
      <c r="BX13">
        <f t="shared" ca="1" si="27"/>
        <v>326.63672757428139</v>
      </c>
      <c r="BY13">
        <f t="shared" ca="1" si="27"/>
        <v>342.24497571032566</v>
      </c>
      <c r="BZ13">
        <f t="shared" ca="1" si="27"/>
        <v>346.57529947984062</v>
      </c>
      <c r="CA13">
        <f t="shared" ca="1" si="27"/>
        <v>343.88285948121109</v>
      </c>
      <c r="CB13">
        <f t="shared" ca="1" si="27"/>
        <v>345.27136152837102</v>
      </c>
      <c r="CC13">
        <f t="shared" ca="1" si="27"/>
        <v>340.05430669825881</v>
      </c>
      <c r="CD13">
        <f t="shared" ca="1" si="27"/>
        <v>343.07220953742006</v>
      </c>
      <c r="CE13">
        <f t="shared" ca="1" si="27"/>
        <v>348.10846028263637</v>
      </c>
      <c r="CF13">
        <f t="shared" ca="1" si="27"/>
        <v>355.55643212629047</v>
      </c>
      <c r="CG13">
        <f t="shared" ca="1" si="27"/>
        <v>345.68668082014273</v>
      </c>
      <c r="CH13">
        <f t="shared" ca="1" si="27"/>
        <v>354.22361676948941</v>
      </c>
      <c r="CI13">
        <f t="shared" ca="1" si="27"/>
        <v>354.84702069381478</v>
      </c>
      <c r="CJ13">
        <f t="shared" ca="1" si="27"/>
        <v>357.90985686639709</v>
      </c>
      <c r="CK13">
        <f t="shared" ca="1" si="27"/>
        <v>364.6346473794415</v>
      </c>
      <c r="CL13">
        <f t="shared" ca="1" si="27"/>
        <v>369.37242849199919</v>
      </c>
      <c r="CM13">
        <f t="shared" ca="1" si="27"/>
        <v>367.44240622930482</v>
      </c>
      <c r="CN13">
        <f t="shared" ca="1" si="27"/>
        <v>362.27998172392711</v>
      </c>
      <c r="CO13">
        <f t="shared" ca="1" si="27"/>
        <v>362.11480330967214</v>
      </c>
      <c r="CP13">
        <f t="shared" ca="1" si="27"/>
        <v>366.42445693911947</v>
      </c>
      <c r="CQ13">
        <f t="shared" ca="1" si="27"/>
        <v>372.20886432001987</v>
      </c>
      <c r="CR13">
        <f t="shared" ca="1" si="27"/>
        <v>371.21061381871965</v>
      </c>
      <c r="CS13">
        <f t="shared" ca="1" si="27"/>
        <v>357.57215246740753</v>
      </c>
      <c r="CT13">
        <f t="shared" ca="1" si="27"/>
        <v>364.8340101171396</v>
      </c>
      <c r="CU13">
        <f t="shared" ca="1" si="27"/>
        <v>353.83515216512279</v>
      </c>
      <c r="CV13">
        <f t="shared" ca="1" si="4"/>
        <v>133.83515216512279</v>
      </c>
      <c r="CW13">
        <f t="shared" ca="1" si="7"/>
        <v>128.67733771717204</v>
      </c>
    </row>
    <row r="14" spans="1:101" x14ac:dyDescent="0.2">
      <c r="E14">
        <v>222.13</v>
      </c>
      <c r="F14">
        <f t="shared" ref="F14:BQ14" ca="1" si="28">E14*(1+$B$2*$B$4+$B$3*SQRT($B$4)*_xlfn.NORM.S.INV(RAND()))</f>
        <v>212.28403831698293</v>
      </c>
      <c r="G14">
        <f t="shared" ca="1" si="28"/>
        <v>209.70631254273752</v>
      </c>
      <c r="H14">
        <f t="shared" ca="1" si="28"/>
        <v>216.47697307897383</v>
      </c>
      <c r="I14">
        <f t="shared" ca="1" si="28"/>
        <v>214.85943341957329</v>
      </c>
      <c r="J14">
        <f t="shared" ca="1" si="28"/>
        <v>211.48141992314891</v>
      </c>
      <c r="K14">
        <f t="shared" ca="1" si="28"/>
        <v>203.78709750742732</v>
      </c>
      <c r="L14">
        <f t="shared" ca="1" si="28"/>
        <v>210.446153857979</v>
      </c>
      <c r="M14">
        <f t="shared" ca="1" si="28"/>
        <v>205.5446699173435</v>
      </c>
      <c r="N14">
        <f t="shared" ca="1" si="28"/>
        <v>208.0953773859618</v>
      </c>
      <c r="O14">
        <f t="shared" ca="1" si="28"/>
        <v>208.07826194237177</v>
      </c>
      <c r="P14">
        <f t="shared" ca="1" si="28"/>
        <v>205.71544138896741</v>
      </c>
      <c r="Q14">
        <f t="shared" ca="1" si="28"/>
        <v>206.47136142197755</v>
      </c>
      <c r="R14">
        <f t="shared" ca="1" si="28"/>
        <v>205.9975652124825</v>
      </c>
      <c r="S14">
        <f t="shared" ca="1" si="28"/>
        <v>200.12999555033687</v>
      </c>
      <c r="T14">
        <f t="shared" ca="1" si="28"/>
        <v>202.74522893082471</v>
      </c>
      <c r="U14">
        <f t="shared" ca="1" si="28"/>
        <v>203.01902657540322</v>
      </c>
      <c r="V14">
        <f t="shared" ca="1" si="28"/>
        <v>197.05047744793455</v>
      </c>
      <c r="W14">
        <f t="shared" ca="1" si="28"/>
        <v>195.0762095194994</v>
      </c>
      <c r="X14">
        <f t="shared" ca="1" si="28"/>
        <v>189.93315048744589</v>
      </c>
      <c r="Y14">
        <f t="shared" ca="1" si="28"/>
        <v>189.00867799474233</v>
      </c>
      <c r="Z14">
        <f t="shared" ca="1" si="28"/>
        <v>188.92083238480001</v>
      </c>
      <c r="AA14">
        <f t="shared" ca="1" si="28"/>
        <v>184.91802164484812</v>
      </c>
      <c r="AB14">
        <f t="shared" ca="1" si="28"/>
        <v>180.94549016468969</v>
      </c>
      <c r="AC14">
        <f t="shared" ca="1" si="28"/>
        <v>185.75099854886128</v>
      </c>
      <c r="AD14">
        <f t="shared" ca="1" si="28"/>
        <v>182.23660674599634</v>
      </c>
      <c r="AE14">
        <f t="shared" ca="1" si="28"/>
        <v>183.74768411195066</v>
      </c>
      <c r="AF14">
        <f t="shared" ca="1" si="28"/>
        <v>182.04400340043975</v>
      </c>
      <c r="AG14">
        <f t="shared" ca="1" si="28"/>
        <v>184.24903816209667</v>
      </c>
      <c r="AH14">
        <f t="shared" ca="1" si="28"/>
        <v>173.66711700595707</v>
      </c>
      <c r="AI14">
        <f t="shared" ca="1" si="28"/>
        <v>168.66073215756634</v>
      </c>
      <c r="AJ14">
        <f t="shared" ca="1" si="28"/>
        <v>167.83946795208544</v>
      </c>
      <c r="AK14">
        <f t="shared" ca="1" si="28"/>
        <v>172.7475302022668</v>
      </c>
      <c r="AL14">
        <f t="shared" ca="1" si="28"/>
        <v>171.3201988510784</v>
      </c>
      <c r="AM14">
        <f t="shared" ca="1" si="28"/>
        <v>166.64754593751223</v>
      </c>
      <c r="AN14">
        <f t="shared" ca="1" si="28"/>
        <v>164.4005653325423</v>
      </c>
      <c r="AO14">
        <f t="shared" ca="1" si="28"/>
        <v>162.53048166508901</v>
      </c>
      <c r="AP14">
        <f t="shared" ca="1" si="28"/>
        <v>156.89206993910031</v>
      </c>
      <c r="AQ14">
        <f t="shared" ca="1" si="28"/>
        <v>157.48209008912042</v>
      </c>
      <c r="AR14">
        <f t="shared" ca="1" si="28"/>
        <v>159.03254105706355</v>
      </c>
      <c r="AS14">
        <f t="shared" ca="1" si="28"/>
        <v>157.24809454923445</v>
      </c>
      <c r="AT14">
        <f t="shared" ca="1" si="28"/>
        <v>164.91641772777601</v>
      </c>
      <c r="AU14">
        <f t="shared" ca="1" si="28"/>
        <v>164.80229525941868</v>
      </c>
      <c r="AV14">
        <f t="shared" ca="1" si="28"/>
        <v>162.34314804444145</v>
      </c>
      <c r="AW14">
        <f t="shared" ca="1" si="28"/>
        <v>163.28713259133602</v>
      </c>
      <c r="AX14">
        <f t="shared" ca="1" si="28"/>
        <v>158.02941251065863</v>
      </c>
      <c r="AY14">
        <f t="shared" ca="1" si="28"/>
        <v>158.13892660207597</v>
      </c>
      <c r="AZ14">
        <f t="shared" ca="1" si="28"/>
        <v>152.52846403950377</v>
      </c>
      <c r="BA14">
        <f t="shared" ca="1" si="28"/>
        <v>158.8121125508371</v>
      </c>
      <c r="BB14">
        <f t="shared" ca="1" si="28"/>
        <v>157.84267242451199</v>
      </c>
      <c r="BC14">
        <f t="shared" ca="1" si="28"/>
        <v>148.15985478420046</v>
      </c>
      <c r="BD14">
        <f t="shared" ca="1" si="28"/>
        <v>147.76992462580336</v>
      </c>
      <c r="BE14">
        <f t="shared" ca="1" si="28"/>
        <v>151.2118594387087</v>
      </c>
      <c r="BF14">
        <f t="shared" ca="1" si="28"/>
        <v>155.78680282391988</v>
      </c>
      <c r="BG14">
        <f t="shared" ca="1" si="28"/>
        <v>148.7213205889814</v>
      </c>
      <c r="BH14">
        <f t="shared" ca="1" si="28"/>
        <v>151.83542555782938</v>
      </c>
      <c r="BI14">
        <f t="shared" ca="1" si="28"/>
        <v>150.36667973341085</v>
      </c>
      <c r="BJ14">
        <f t="shared" ca="1" si="28"/>
        <v>149.73575673680648</v>
      </c>
      <c r="BK14">
        <f t="shared" ca="1" si="28"/>
        <v>146.74733943686519</v>
      </c>
      <c r="BL14">
        <f t="shared" ca="1" si="28"/>
        <v>147.95175970535703</v>
      </c>
      <c r="BM14">
        <f t="shared" ca="1" si="28"/>
        <v>151.06480720183072</v>
      </c>
      <c r="BN14">
        <f t="shared" ca="1" si="28"/>
        <v>150.91924963021938</v>
      </c>
      <c r="BO14">
        <f t="shared" ca="1" si="28"/>
        <v>153.3025185172412</v>
      </c>
      <c r="BP14">
        <f t="shared" ca="1" si="28"/>
        <v>146.47902105397372</v>
      </c>
      <c r="BQ14">
        <f t="shared" ca="1" si="28"/>
        <v>145.86749352194417</v>
      </c>
      <c r="BR14">
        <f t="shared" ref="BR14:CU14" ca="1" si="29">BQ14*(1+$B$2*$B$4+$B$3*SQRT($B$4)*_xlfn.NORM.S.INV(RAND()))</f>
        <v>143.23356858871315</v>
      </c>
      <c r="BS14">
        <f t="shared" ca="1" si="29"/>
        <v>143.46323359634169</v>
      </c>
      <c r="BT14">
        <f t="shared" ca="1" si="29"/>
        <v>143.64190905370415</v>
      </c>
      <c r="BU14">
        <f t="shared" ca="1" si="29"/>
        <v>151.4749669556478</v>
      </c>
      <c r="BV14">
        <f t="shared" ca="1" si="29"/>
        <v>149.63146911417229</v>
      </c>
      <c r="BW14">
        <f t="shared" ca="1" si="29"/>
        <v>145.51068035776706</v>
      </c>
      <c r="BX14">
        <f t="shared" ca="1" si="29"/>
        <v>140.14762846904901</v>
      </c>
      <c r="BY14">
        <f t="shared" ca="1" si="29"/>
        <v>139.28989560640349</v>
      </c>
      <c r="BZ14">
        <f t="shared" ca="1" si="29"/>
        <v>134.35633840883187</v>
      </c>
      <c r="CA14">
        <f t="shared" ca="1" si="29"/>
        <v>134.21827575985421</v>
      </c>
      <c r="CB14">
        <f t="shared" ca="1" si="29"/>
        <v>134.91268588446303</v>
      </c>
      <c r="CC14">
        <f t="shared" ca="1" si="29"/>
        <v>136.28673645443061</v>
      </c>
      <c r="CD14">
        <f t="shared" ca="1" si="29"/>
        <v>138.98248778636327</v>
      </c>
      <c r="CE14">
        <f t="shared" ca="1" si="29"/>
        <v>138.27341131639912</v>
      </c>
      <c r="CF14">
        <f t="shared" ca="1" si="29"/>
        <v>141.25445445215948</v>
      </c>
      <c r="CG14">
        <f t="shared" ca="1" si="29"/>
        <v>140.70261064866168</v>
      </c>
      <c r="CH14">
        <f t="shared" ca="1" si="29"/>
        <v>143.20495196940593</v>
      </c>
      <c r="CI14">
        <f t="shared" ca="1" si="29"/>
        <v>142.06095345483902</v>
      </c>
      <c r="CJ14">
        <f t="shared" ca="1" si="29"/>
        <v>140.19175296269486</v>
      </c>
      <c r="CK14">
        <f t="shared" ca="1" si="29"/>
        <v>142.44915451083793</v>
      </c>
      <c r="CL14">
        <f t="shared" ca="1" si="29"/>
        <v>146.03465432285614</v>
      </c>
      <c r="CM14">
        <f t="shared" ca="1" si="29"/>
        <v>149.57632222646609</v>
      </c>
      <c r="CN14">
        <f t="shared" ca="1" si="29"/>
        <v>147.86142776140491</v>
      </c>
      <c r="CO14">
        <f t="shared" ca="1" si="29"/>
        <v>148.14760449804012</v>
      </c>
      <c r="CP14">
        <f t="shared" ca="1" si="29"/>
        <v>150.18466659136507</v>
      </c>
      <c r="CQ14">
        <f t="shared" ca="1" si="29"/>
        <v>149.75620105332283</v>
      </c>
      <c r="CR14">
        <f t="shared" ca="1" si="29"/>
        <v>144.56738148720507</v>
      </c>
      <c r="CS14">
        <f t="shared" ca="1" si="29"/>
        <v>145.02752900469133</v>
      </c>
      <c r="CT14">
        <f t="shared" ca="1" si="29"/>
        <v>149.11499880631243</v>
      </c>
      <c r="CU14">
        <f t="shared" ca="1" si="29"/>
        <v>155.37895325985571</v>
      </c>
      <c r="CV14">
        <f t="shared" ca="1" si="4"/>
        <v>0</v>
      </c>
      <c r="CW14">
        <f t="shared" ca="1" si="7"/>
        <v>0</v>
      </c>
    </row>
    <row r="15" spans="1:101" x14ac:dyDescent="0.2">
      <c r="E15">
        <v>222.13</v>
      </c>
      <c r="F15">
        <f t="shared" ref="F15:BQ15" ca="1" si="30">E15*(1+$B$2*$B$4+$B$3*SQRT($B$4)*_xlfn.NORM.S.INV(RAND()))</f>
        <v>222.73675648299084</v>
      </c>
      <c r="G15">
        <f t="shared" ca="1" si="30"/>
        <v>217.2705322661046</v>
      </c>
      <c r="H15">
        <f t="shared" ca="1" si="30"/>
        <v>215.17378010980499</v>
      </c>
      <c r="I15">
        <f t="shared" ca="1" si="30"/>
        <v>217.6450304945318</v>
      </c>
      <c r="J15">
        <f t="shared" ca="1" si="30"/>
        <v>220.86876124297777</v>
      </c>
      <c r="K15">
        <f t="shared" ca="1" si="30"/>
        <v>222.37484202276576</v>
      </c>
      <c r="L15">
        <f t="shared" ca="1" si="30"/>
        <v>227.67727213052413</v>
      </c>
      <c r="M15">
        <f t="shared" ca="1" si="30"/>
        <v>232.61961994417817</v>
      </c>
      <c r="N15">
        <f t="shared" ca="1" si="30"/>
        <v>240.36237290298487</v>
      </c>
      <c r="O15">
        <f t="shared" ca="1" si="30"/>
        <v>239.35021933285969</v>
      </c>
      <c r="P15">
        <f t="shared" ca="1" si="30"/>
        <v>243.0584852706713</v>
      </c>
      <c r="Q15">
        <f t="shared" ca="1" si="30"/>
        <v>230.3755890867921</v>
      </c>
      <c r="R15">
        <f t="shared" ca="1" si="30"/>
        <v>230.92968316989536</v>
      </c>
      <c r="S15">
        <f t="shared" ca="1" si="30"/>
        <v>226.66383419686275</v>
      </c>
      <c r="T15">
        <f t="shared" ca="1" si="30"/>
        <v>229.10422893251592</v>
      </c>
      <c r="U15">
        <f t="shared" ca="1" si="30"/>
        <v>235.25335252577824</v>
      </c>
      <c r="V15">
        <f t="shared" ca="1" si="30"/>
        <v>240.7681821212212</v>
      </c>
      <c r="W15">
        <f t="shared" ca="1" si="30"/>
        <v>248.00964859811691</v>
      </c>
      <c r="X15">
        <f t="shared" ca="1" si="30"/>
        <v>247.68038159804556</v>
      </c>
      <c r="Y15">
        <f t="shared" ca="1" si="30"/>
        <v>249.98723067690676</v>
      </c>
      <c r="Z15">
        <f t="shared" ca="1" si="30"/>
        <v>249.76280771818574</v>
      </c>
      <c r="AA15">
        <f t="shared" ca="1" si="30"/>
        <v>257.09113703787176</v>
      </c>
      <c r="AB15">
        <f t="shared" ca="1" si="30"/>
        <v>263.25116493212272</v>
      </c>
      <c r="AC15">
        <f t="shared" ca="1" si="30"/>
        <v>268.95938767492476</v>
      </c>
      <c r="AD15">
        <f t="shared" ca="1" si="30"/>
        <v>258.83859322040564</v>
      </c>
      <c r="AE15">
        <f t="shared" ca="1" si="30"/>
        <v>258.00095347115138</v>
      </c>
      <c r="AF15">
        <f t="shared" ca="1" si="30"/>
        <v>259.46473351677366</v>
      </c>
      <c r="AG15">
        <f t="shared" ca="1" si="30"/>
        <v>270.37387198443065</v>
      </c>
      <c r="AH15">
        <f t="shared" ca="1" si="30"/>
        <v>273.49413519470266</v>
      </c>
      <c r="AI15">
        <f t="shared" ca="1" si="30"/>
        <v>272.04194086348411</v>
      </c>
      <c r="AJ15">
        <f t="shared" ca="1" si="30"/>
        <v>274.5212953424396</v>
      </c>
      <c r="AK15">
        <f t="shared" ca="1" si="30"/>
        <v>278.25004173388311</v>
      </c>
      <c r="AL15">
        <f t="shared" ca="1" si="30"/>
        <v>287.86455419499663</v>
      </c>
      <c r="AM15">
        <f t="shared" ca="1" si="30"/>
        <v>277.02113141128513</v>
      </c>
      <c r="AN15">
        <f t="shared" ca="1" si="30"/>
        <v>269.93262396960881</v>
      </c>
      <c r="AO15">
        <f t="shared" ca="1" si="30"/>
        <v>267.24237070298278</v>
      </c>
      <c r="AP15">
        <f t="shared" ca="1" si="30"/>
        <v>269.18180421504587</v>
      </c>
      <c r="AQ15">
        <f t="shared" ca="1" si="30"/>
        <v>278.68767656758763</v>
      </c>
      <c r="AR15">
        <f t="shared" ca="1" si="30"/>
        <v>278.25399943273226</v>
      </c>
      <c r="AS15">
        <f t="shared" ca="1" si="30"/>
        <v>273.26700589573289</v>
      </c>
      <c r="AT15">
        <f t="shared" ca="1" si="30"/>
        <v>279.31650414458721</v>
      </c>
      <c r="AU15">
        <f t="shared" ca="1" si="30"/>
        <v>271.92525577602527</v>
      </c>
      <c r="AV15">
        <f t="shared" ca="1" si="30"/>
        <v>270.32156472216144</v>
      </c>
      <c r="AW15">
        <f t="shared" ca="1" si="30"/>
        <v>271.06569441723923</v>
      </c>
      <c r="AX15">
        <f t="shared" ca="1" si="30"/>
        <v>274.73484003374057</v>
      </c>
      <c r="AY15">
        <f t="shared" ca="1" si="30"/>
        <v>272.15300659460576</v>
      </c>
      <c r="AZ15">
        <f t="shared" ca="1" si="30"/>
        <v>281.09041821250469</v>
      </c>
      <c r="BA15">
        <f t="shared" ca="1" si="30"/>
        <v>279.9519361711761</v>
      </c>
      <c r="BB15">
        <f t="shared" ca="1" si="30"/>
        <v>280.01167564705713</v>
      </c>
      <c r="BC15">
        <f t="shared" ca="1" si="30"/>
        <v>294.56927932703974</v>
      </c>
      <c r="BD15">
        <f t="shared" ca="1" si="30"/>
        <v>297.51718469731128</v>
      </c>
      <c r="BE15">
        <f t="shared" ca="1" si="30"/>
        <v>307.54008965146056</v>
      </c>
      <c r="BF15">
        <f t="shared" ca="1" si="30"/>
        <v>303.93998507512288</v>
      </c>
      <c r="BG15">
        <f t="shared" ca="1" si="30"/>
        <v>309.94512241149931</v>
      </c>
      <c r="BH15">
        <f t="shared" ca="1" si="30"/>
        <v>315.86377735232799</v>
      </c>
      <c r="BI15">
        <f t="shared" ca="1" si="30"/>
        <v>310.34775818241002</v>
      </c>
      <c r="BJ15">
        <f t="shared" ca="1" si="30"/>
        <v>302.57226404643853</v>
      </c>
      <c r="BK15">
        <f t="shared" ca="1" si="30"/>
        <v>313.49596138819788</v>
      </c>
      <c r="BL15">
        <f t="shared" ca="1" si="30"/>
        <v>313.23462692568188</v>
      </c>
      <c r="BM15">
        <f t="shared" ca="1" si="30"/>
        <v>316.3509692303096</v>
      </c>
      <c r="BN15">
        <f t="shared" ca="1" si="30"/>
        <v>313.5673629752431</v>
      </c>
      <c r="BO15">
        <f t="shared" ca="1" si="30"/>
        <v>316.13982371093192</v>
      </c>
      <c r="BP15">
        <f t="shared" ca="1" si="30"/>
        <v>326.24040733513709</v>
      </c>
      <c r="BQ15">
        <f t="shared" ca="1" si="30"/>
        <v>334.38976607972921</v>
      </c>
      <c r="BR15">
        <f t="shared" ref="BR15:CU15" ca="1" si="31">BQ15*(1+$B$2*$B$4+$B$3*SQRT($B$4)*_xlfn.NORM.S.INV(RAND()))</f>
        <v>343.88263638912821</v>
      </c>
      <c r="BS15">
        <f t="shared" ca="1" si="31"/>
        <v>341.75426232681434</v>
      </c>
      <c r="BT15">
        <f t="shared" ca="1" si="31"/>
        <v>346.52150124957433</v>
      </c>
      <c r="BU15">
        <f t="shared" ca="1" si="31"/>
        <v>353.19238305355623</v>
      </c>
      <c r="BV15">
        <f t="shared" ca="1" si="31"/>
        <v>344.63549813007324</v>
      </c>
      <c r="BW15">
        <f t="shared" ca="1" si="31"/>
        <v>344.50269861375386</v>
      </c>
      <c r="BX15">
        <f t="shared" ca="1" si="31"/>
        <v>344.70920093778119</v>
      </c>
      <c r="BY15">
        <f t="shared" ca="1" si="31"/>
        <v>341.99326676245897</v>
      </c>
      <c r="BZ15">
        <f t="shared" ca="1" si="31"/>
        <v>334.44986180061585</v>
      </c>
      <c r="CA15">
        <f t="shared" ca="1" si="31"/>
        <v>347.85482481615003</v>
      </c>
      <c r="CB15">
        <f t="shared" ca="1" si="31"/>
        <v>350.87927160497009</v>
      </c>
      <c r="CC15">
        <f t="shared" ca="1" si="31"/>
        <v>341.75657545971882</v>
      </c>
      <c r="CD15">
        <f t="shared" ca="1" si="31"/>
        <v>340.91167031135029</v>
      </c>
      <c r="CE15">
        <f t="shared" ca="1" si="31"/>
        <v>343.7172453172181</v>
      </c>
      <c r="CF15">
        <f t="shared" ca="1" si="31"/>
        <v>346.46009228362578</v>
      </c>
      <c r="CG15">
        <f t="shared" ca="1" si="31"/>
        <v>336.45906791244448</v>
      </c>
      <c r="CH15">
        <f t="shared" ca="1" si="31"/>
        <v>325.40905199828177</v>
      </c>
      <c r="CI15">
        <f t="shared" ca="1" si="31"/>
        <v>313.9216515386488</v>
      </c>
      <c r="CJ15">
        <f t="shared" ca="1" si="31"/>
        <v>312.59923110605177</v>
      </c>
      <c r="CK15">
        <f t="shared" ca="1" si="31"/>
        <v>319.86719287569036</v>
      </c>
      <c r="CL15">
        <f t="shared" ca="1" si="31"/>
        <v>323.8122299172116</v>
      </c>
      <c r="CM15">
        <f t="shared" ca="1" si="31"/>
        <v>329.93176550505473</v>
      </c>
      <c r="CN15">
        <f t="shared" ca="1" si="31"/>
        <v>323.80273714343241</v>
      </c>
      <c r="CO15">
        <f t="shared" ca="1" si="31"/>
        <v>337.73518119582172</v>
      </c>
      <c r="CP15">
        <f t="shared" ca="1" si="31"/>
        <v>329.75997053774995</v>
      </c>
      <c r="CQ15">
        <f t="shared" ca="1" si="31"/>
        <v>330.7873298034167</v>
      </c>
      <c r="CR15">
        <f t="shared" ca="1" si="31"/>
        <v>324.39437085223108</v>
      </c>
      <c r="CS15">
        <f t="shared" ca="1" si="31"/>
        <v>330.42391915498717</v>
      </c>
      <c r="CT15">
        <f t="shared" ca="1" si="31"/>
        <v>334.4652220552066</v>
      </c>
      <c r="CU15">
        <f t="shared" ca="1" si="31"/>
        <v>334.65997736999179</v>
      </c>
      <c r="CV15">
        <f t="shared" ca="1" si="4"/>
        <v>114.65997736999179</v>
      </c>
      <c r="CW15">
        <f t="shared" ca="1" si="7"/>
        <v>110.2411466045812</v>
      </c>
    </row>
    <row r="16" spans="1:101" x14ac:dyDescent="0.2">
      <c r="E16">
        <v>222.13</v>
      </c>
      <c r="F16">
        <f t="shared" ref="F16:BQ16" ca="1" si="32">E16*(1+$B$2*$B$4+$B$3*SQRT($B$4)*_xlfn.NORM.S.INV(RAND()))</f>
        <v>223.46242490280616</v>
      </c>
      <c r="G16">
        <f t="shared" ca="1" si="32"/>
        <v>224.52590679892009</v>
      </c>
      <c r="H16">
        <f t="shared" ca="1" si="32"/>
        <v>217.36129070217609</v>
      </c>
      <c r="I16">
        <f t="shared" ca="1" si="32"/>
        <v>214.84044974253021</v>
      </c>
      <c r="J16">
        <f t="shared" ca="1" si="32"/>
        <v>213.96741679362137</v>
      </c>
      <c r="K16">
        <f t="shared" ca="1" si="32"/>
        <v>213.33407869216413</v>
      </c>
      <c r="L16">
        <f t="shared" ca="1" si="32"/>
        <v>210.80032952800792</v>
      </c>
      <c r="M16">
        <f t="shared" ca="1" si="32"/>
        <v>213.96918224570049</v>
      </c>
      <c r="N16">
        <f t="shared" ca="1" si="32"/>
        <v>209.5400863254946</v>
      </c>
      <c r="O16">
        <f t="shared" ca="1" si="32"/>
        <v>210.05056171398667</v>
      </c>
      <c r="P16">
        <f t="shared" ca="1" si="32"/>
        <v>211.52267883987003</v>
      </c>
      <c r="Q16">
        <f t="shared" ca="1" si="32"/>
        <v>209.99099463912347</v>
      </c>
      <c r="R16">
        <f t="shared" ca="1" si="32"/>
        <v>213.96954852904662</v>
      </c>
      <c r="S16">
        <f t="shared" ca="1" si="32"/>
        <v>218.78876965728412</v>
      </c>
      <c r="T16">
        <f t="shared" ca="1" si="32"/>
        <v>220.36760638707938</v>
      </c>
      <c r="U16">
        <f t="shared" ca="1" si="32"/>
        <v>222.05515188828971</v>
      </c>
      <c r="V16">
        <f t="shared" ca="1" si="32"/>
        <v>220.96543662113311</v>
      </c>
      <c r="W16">
        <f t="shared" ca="1" si="32"/>
        <v>226.05916157242598</v>
      </c>
      <c r="X16">
        <f t="shared" ca="1" si="32"/>
        <v>221.58270395853225</v>
      </c>
      <c r="Y16">
        <f t="shared" ca="1" si="32"/>
        <v>227.00340814147367</v>
      </c>
      <c r="Z16">
        <f t="shared" ca="1" si="32"/>
        <v>228.51510296734409</v>
      </c>
      <c r="AA16">
        <f t="shared" ca="1" si="32"/>
        <v>223.20880563824232</v>
      </c>
      <c r="AB16">
        <f t="shared" ca="1" si="32"/>
        <v>223.30737255932556</v>
      </c>
      <c r="AC16">
        <f t="shared" ca="1" si="32"/>
        <v>220.81524828112174</v>
      </c>
      <c r="AD16">
        <f t="shared" ca="1" si="32"/>
        <v>218.19954997859659</v>
      </c>
      <c r="AE16">
        <f t="shared" ca="1" si="32"/>
        <v>217.33647412380174</v>
      </c>
      <c r="AF16">
        <f t="shared" ca="1" si="32"/>
        <v>225.08701619594177</v>
      </c>
      <c r="AG16">
        <f t="shared" ca="1" si="32"/>
        <v>219.10296238034971</v>
      </c>
      <c r="AH16">
        <f t="shared" ca="1" si="32"/>
        <v>218.28028022002135</v>
      </c>
      <c r="AI16">
        <f t="shared" ca="1" si="32"/>
        <v>223.72212370176018</v>
      </c>
      <c r="AJ16">
        <f t="shared" ca="1" si="32"/>
        <v>217.11682007809219</v>
      </c>
      <c r="AK16">
        <f t="shared" ca="1" si="32"/>
        <v>211.16637100073331</v>
      </c>
      <c r="AL16">
        <f t="shared" ca="1" si="32"/>
        <v>213.61837859887893</v>
      </c>
      <c r="AM16">
        <f t="shared" ca="1" si="32"/>
        <v>223.15722243884113</v>
      </c>
      <c r="AN16">
        <f t="shared" ca="1" si="32"/>
        <v>217.97954693484576</v>
      </c>
      <c r="AO16">
        <f t="shared" ca="1" si="32"/>
        <v>226.05025460112984</v>
      </c>
      <c r="AP16">
        <f t="shared" ca="1" si="32"/>
        <v>232.06469637257445</v>
      </c>
      <c r="AQ16">
        <f t="shared" ca="1" si="32"/>
        <v>235.97672722245599</v>
      </c>
      <c r="AR16">
        <f t="shared" ca="1" si="32"/>
        <v>245.60170318493979</v>
      </c>
      <c r="AS16">
        <f t="shared" ca="1" si="32"/>
        <v>244.49851598790653</v>
      </c>
      <c r="AT16">
        <f t="shared" ca="1" si="32"/>
        <v>249.97453683177173</v>
      </c>
      <c r="AU16">
        <f t="shared" ca="1" si="32"/>
        <v>261.70021586397939</v>
      </c>
      <c r="AV16">
        <f t="shared" ca="1" si="32"/>
        <v>259.82703744486247</v>
      </c>
      <c r="AW16">
        <f t="shared" ca="1" si="32"/>
        <v>266.21306521137967</v>
      </c>
      <c r="AX16">
        <f t="shared" ca="1" si="32"/>
        <v>270.97381516847537</v>
      </c>
      <c r="AY16">
        <f t="shared" ca="1" si="32"/>
        <v>277.30422346938019</v>
      </c>
      <c r="AZ16">
        <f t="shared" ca="1" si="32"/>
        <v>271.76404452415773</v>
      </c>
      <c r="BA16">
        <f t="shared" ca="1" si="32"/>
        <v>279.42207545350846</v>
      </c>
      <c r="BB16">
        <f t="shared" ca="1" si="32"/>
        <v>285.74826439406422</v>
      </c>
      <c r="BC16">
        <f t="shared" ca="1" si="32"/>
        <v>282.02416931131478</v>
      </c>
      <c r="BD16">
        <f t="shared" ca="1" si="32"/>
        <v>283.32634170075045</v>
      </c>
      <c r="BE16">
        <f t="shared" ca="1" si="32"/>
        <v>271.5577186994031</v>
      </c>
      <c r="BF16">
        <f t="shared" ca="1" si="32"/>
        <v>263.79113309931648</v>
      </c>
      <c r="BG16">
        <f t="shared" ca="1" si="32"/>
        <v>262.36415854995596</v>
      </c>
      <c r="BH16">
        <f t="shared" ca="1" si="32"/>
        <v>252.41296653098556</v>
      </c>
      <c r="BI16">
        <f t="shared" ca="1" si="32"/>
        <v>257.64190874535399</v>
      </c>
      <c r="BJ16">
        <f t="shared" ca="1" si="32"/>
        <v>255.9357374245854</v>
      </c>
      <c r="BK16">
        <f t="shared" ca="1" si="32"/>
        <v>261.53232095214821</v>
      </c>
      <c r="BL16">
        <f t="shared" ca="1" si="32"/>
        <v>263.11725605836051</v>
      </c>
      <c r="BM16">
        <f t="shared" ca="1" si="32"/>
        <v>256.84398799286674</v>
      </c>
      <c r="BN16">
        <f t="shared" ca="1" si="32"/>
        <v>258.44429682067528</v>
      </c>
      <c r="BO16">
        <f t="shared" ca="1" si="32"/>
        <v>267.45241104431364</v>
      </c>
      <c r="BP16">
        <f t="shared" ca="1" si="32"/>
        <v>260.31220527510953</v>
      </c>
      <c r="BQ16">
        <f t="shared" ca="1" si="32"/>
        <v>261.01176866525236</v>
      </c>
      <c r="BR16">
        <f t="shared" ref="BR16:CU16" ca="1" si="33">BQ16*(1+$B$2*$B$4+$B$3*SQRT($B$4)*_xlfn.NORM.S.INV(RAND()))</f>
        <v>251.63372316246591</v>
      </c>
      <c r="BS16">
        <f t="shared" ca="1" si="33"/>
        <v>253.91296510430669</v>
      </c>
      <c r="BT16">
        <f t="shared" ca="1" si="33"/>
        <v>242.74808075937048</v>
      </c>
      <c r="BU16">
        <f t="shared" ca="1" si="33"/>
        <v>249.39947710916246</v>
      </c>
      <c r="BV16">
        <f t="shared" ca="1" si="33"/>
        <v>237.29570213527984</v>
      </c>
      <c r="BW16">
        <f t="shared" ca="1" si="33"/>
        <v>246.47885617773059</v>
      </c>
      <c r="BX16">
        <f t="shared" ca="1" si="33"/>
        <v>251.06192395061601</v>
      </c>
      <c r="BY16">
        <f t="shared" ca="1" si="33"/>
        <v>253.60978981438311</v>
      </c>
      <c r="BZ16">
        <f t="shared" ca="1" si="33"/>
        <v>252.13824786227107</v>
      </c>
      <c r="CA16">
        <f t="shared" ca="1" si="33"/>
        <v>251.65578716300038</v>
      </c>
      <c r="CB16">
        <f t="shared" ca="1" si="33"/>
        <v>253.07286025480983</v>
      </c>
      <c r="CC16">
        <f t="shared" ca="1" si="33"/>
        <v>265.62216538688614</v>
      </c>
      <c r="CD16">
        <f t="shared" ca="1" si="33"/>
        <v>257.13872240237185</v>
      </c>
      <c r="CE16">
        <f t="shared" ca="1" si="33"/>
        <v>262.74425003082206</v>
      </c>
      <c r="CF16">
        <f t="shared" ca="1" si="33"/>
        <v>258.63762578711425</v>
      </c>
      <c r="CG16">
        <f t="shared" ca="1" si="33"/>
        <v>268.2237960974046</v>
      </c>
      <c r="CH16">
        <f t="shared" ca="1" si="33"/>
        <v>266.53038989245044</v>
      </c>
      <c r="CI16">
        <f t="shared" ca="1" si="33"/>
        <v>270.27424822615222</v>
      </c>
      <c r="CJ16">
        <f t="shared" ca="1" si="33"/>
        <v>265.25847382702375</v>
      </c>
      <c r="CK16">
        <f t="shared" ca="1" si="33"/>
        <v>268.60280381856353</v>
      </c>
      <c r="CL16">
        <f t="shared" ca="1" si="33"/>
        <v>267.24091500463652</v>
      </c>
      <c r="CM16">
        <f t="shared" ca="1" si="33"/>
        <v>272.21462137671983</v>
      </c>
      <c r="CN16">
        <f t="shared" ca="1" si="33"/>
        <v>274.71209398562894</v>
      </c>
      <c r="CO16">
        <f t="shared" ca="1" si="33"/>
        <v>273.66553064343833</v>
      </c>
      <c r="CP16">
        <f t="shared" ca="1" si="33"/>
        <v>267.69287941513079</v>
      </c>
      <c r="CQ16">
        <f t="shared" ca="1" si="33"/>
        <v>267.83048388716969</v>
      </c>
      <c r="CR16">
        <f t="shared" ca="1" si="33"/>
        <v>269.46692594644446</v>
      </c>
      <c r="CS16">
        <f t="shared" ca="1" si="33"/>
        <v>274.03705157942227</v>
      </c>
      <c r="CT16">
        <f t="shared" ca="1" si="33"/>
        <v>276.4382381074816</v>
      </c>
      <c r="CU16">
        <f t="shared" ca="1" si="33"/>
        <v>282.09695330285859</v>
      </c>
      <c r="CV16">
        <f t="shared" ca="1" si="4"/>
        <v>62.096953302858594</v>
      </c>
      <c r="CW16">
        <f t="shared" ca="1" si="7"/>
        <v>59.703825953744456</v>
      </c>
    </row>
    <row r="17" spans="5:101" x14ac:dyDescent="0.2">
      <c r="E17">
        <v>222.13</v>
      </c>
      <c r="F17">
        <f t="shared" ref="F17:BQ17" ca="1" si="34">E17*(1+$B$2*$B$4+$B$3*SQRT($B$4)*_xlfn.NORM.S.INV(RAND()))</f>
        <v>227.29801907644597</v>
      </c>
      <c r="G17">
        <f t="shared" ca="1" si="34"/>
        <v>231.7518754454654</v>
      </c>
      <c r="H17">
        <f t="shared" ca="1" si="34"/>
        <v>232.75730183252094</v>
      </c>
      <c r="I17">
        <f t="shared" ca="1" si="34"/>
        <v>229.28388959632474</v>
      </c>
      <c r="J17">
        <f t="shared" ca="1" si="34"/>
        <v>226.62813268067524</v>
      </c>
      <c r="K17">
        <f t="shared" ca="1" si="34"/>
        <v>224.93556038953636</v>
      </c>
      <c r="L17">
        <f t="shared" ca="1" si="34"/>
        <v>223.06366688622415</v>
      </c>
      <c r="M17">
        <f t="shared" ca="1" si="34"/>
        <v>225.7373053670384</v>
      </c>
      <c r="N17">
        <f t="shared" ca="1" si="34"/>
        <v>230.49006922643181</v>
      </c>
      <c r="O17">
        <f t="shared" ca="1" si="34"/>
        <v>218.68378876609904</v>
      </c>
      <c r="P17">
        <f t="shared" ca="1" si="34"/>
        <v>218.99012451098977</v>
      </c>
      <c r="Q17">
        <f t="shared" ca="1" si="34"/>
        <v>223.37475366743547</v>
      </c>
      <c r="R17">
        <f t="shared" ca="1" si="34"/>
        <v>206.15638488877167</v>
      </c>
      <c r="S17">
        <f t="shared" ca="1" si="34"/>
        <v>204.66627086171323</v>
      </c>
      <c r="T17">
        <f t="shared" ca="1" si="34"/>
        <v>206.88501699573754</v>
      </c>
      <c r="U17">
        <f t="shared" ca="1" si="34"/>
        <v>216.5147077806682</v>
      </c>
      <c r="V17">
        <f t="shared" ca="1" si="34"/>
        <v>215.21560371787629</v>
      </c>
      <c r="W17">
        <f t="shared" ca="1" si="34"/>
        <v>218.00800160418854</v>
      </c>
      <c r="X17">
        <f t="shared" ca="1" si="34"/>
        <v>223.42938109887308</v>
      </c>
      <c r="Y17">
        <f t="shared" ca="1" si="34"/>
        <v>223.43948231796165</v>
      </c>
      <c r="Z17">
        <f t="shared" ca="1" si="34"/>
        <v>238.59593445848012</v>
      </c>
      <c r="AA17">
        <f t="shared" ca="1" si="34"/>
        <v>233.28873633914995</v>
      </c>
      <c r="AB17">
        <f t="shared" ca="1" si="34"/>
        <v>239.46673507045676</v>
      </c>
      <c r="AC17">
        <f t="shared" ca="1" si="34"/>
        <v>241.86013511182028</v>
      </c>
      <c r="AD17">
        <f t="shared" ca="1" si="34"/>
        <v>246.19214211180471</v>
      </c>
      <c r="AE17">
        <f t="shared" ca="1" si="34"/>
        <v>255.21896617661662</v>
      </c>
      <c r="AF17">
        <f t="shared" ca="1" si="34"/>
        <v>252.24954388375133</v>
      </c>
      <c r="AG17">
        <f t="shared" ca="1" si="34"/>
        <v>257.76909040832828</v>
      </c>
      <c r="AH17">
        <f t="shared" ca="1" si="34"/>
        <v>258.54601090152391</v>
      </c>
      <c r="AI17">
        <f t="shared" ca="1" si="34"/>
        <v>264.93901450271528</v>
      </c>
      <c r="AJ17">
        <f t="shared" ca="1" si="34"/>
        <v>268.40563758097875</v>
      </c>
      <c r="AK17">
        <f t="shared" ca="1" si="34"/>
        <v>274.74264871817655</v>
      </c>
      <c r="AL17">
        <f t="shared" ca="1" si="34"/>
        <v>280.54942765183785</v>
      </c>
      <c r="AM17">
        <f t="shared" ca="1" si="34"/>
        <v>283.50569569383816</v>
      </c>
      <c r="AN17">
        <f t="shared" ca="1" si="34"/>
        <v>288.33829853810562</v>
      </c>
      <c r="AO17">
        <f t="shared" ca="1" si="34"/>
        <v>286.82700959387256</v>
      </c>
      <c r="AP17">
        <f t="shared" ca="1" si="34"/>
        <v>284.44695848994411</v>
      </c>
      <c r="AQ17">
        <f t="shared" ca="1" si="34"/>
        <v>294.35760721934298</v>
      </c>
      <c r="AR17">
        <f t="shared" ca="1" si="34"/>
        <v>298.71814868805848</v>
      </c>
      <c r="AS17">
        <f t="shared" ca="1" si="34"/>
        <v>304.54673096345141</v>
      </c>
      <c r="AT17">
        <f t="shared" ca="1" si="34"/>
        <v>308.30750092629671</v>
      </c>
      <c r="AU17">
        <f t="shared" ca="1" si="34"/>
        <v>313.27850923372853</v>
      </c>
      <c r="AV17">
        <f t="shared" ca="1" si="34"/>
        <v>301.92871460266042</v>
      </c>
      <c r="AW17">
        <f t="shared" ca="1" si="34"/>
        <v>309.73428212549561</v>
      </c>
      <c r="AX17">
        <f t="shared" ca="1" si="34"/>
        <v>320.88089495094459</v>
      </c>
      <c r="AY17">
        <f t="shared" ca="1" si="34"/>
        <v>333.87909023022127</v>
      </c>
      <c r="AZ17">
        <f t="shared" ca="1" si="34"/>
        <v>329.49657732124444</v>
      </c>
      <c r="BA17">
        <f t="shared" ca="1" si="34"/>
        <v>319.49470080594358</v>
      </c>
      <c r="BB17">
        <f t="shared" ca="1" si="34"/>
        <v>324.04138968130718</v>
      </c>
      <c r="BC17">
        <f t="shared" ca="1" si="34"/>
        <v>316.76350623586359</v>
      </c>
      <c r="BD17">
        <f t="shared" ca="1" si="34"/>
        <v>319.30835783602066</v>
      </c>
      <c r="BE17">
        <f t="shared" ca="1" si="34"/>
        <v>317.52023739884504</v>
      </c>
      <c r="BF17">
        <f t="shared" ca="1" si="34"/>
        <v>319.91808562582565</v>
      </c>
      <c r="BG17">
        <f t="shared" ca="1" si="34"/>
        <v>333.72811927214241</v>
      </c>
      <c r="BH17">
        <f t="shared" ca="1" si="34"/>
        <v>335.87305372066544</v>
      </c>
      <c r="BI17">
        <f t="shared" ca="1" si="34"/>
        <v>342.64918104520018</v>
      </c>
      <c r="BJ17">
        <f t="shared" ca="1" si="34"/>
        <v>337.44230039424434</v>
      </c>
      <c r="BK17">
        <f t="shared" ca="1" si="34"/>
        <v>323.84458904738722</v>
      </c>
      <c r="BL17">
        <f t="shared" ca="1" si="34"/>
        <v>308.5980448419258</v>
      </c>
      <c r="BM17">
        <f t="shared" ca="1" si="34"/>
        <v>314.4992448251686</v>
      </c>
      <c r="BN17">
        <f t="shared" ca="1" si="34"/>
        <v>319.72478027682183</v>
      </c>
      <c r="BO17">
        <f t="shared" ca="1" si="34"/>
        <v>302.01280088472987</v>
      </c>
      <c r="BP17">
        <f t="shared" ca="1" si="34"/>
        <v>297.9861670417007</v>
      </c>
      <c r="BQ17">
        <f t="shared" ca="1" si="34"/>
        <v>311.38433716519455</v>
      </c>
      <c r="BR17">
        <f t="shared" ref="BR17:CU17" ca="1" si="35">BQ17*(1+$B$2*$B$4+$B$3*SQRT($B$4)*_xlfn.NORM.S.INV(RAND()))</f>
        <v>311.13739803924648</v>
      </c>
      <c r="BS17">
        <f t="shared" ca="1" si="35"/>
        <v>325.25340192729072</v>
      </c>
      <c r="BT17">
        <f t="shared" ca="1" si="35"/>
        <v>328.64705113598131</v>
      </c>
      <c r="BU17">
        <f t="shared" ca="1" si="35"/>
        <v>342.07382346418478</v>
      </c>
      <c r="BV17">
        <f t="shared" ca="1" si="35"/>
        <v>355.87076171512649</v>
      </c>
      <c r="BW17">
        <f t="shared" ca="1" si="35"/>
        <v>362.27509095330566</v>
      </c>
      <c r="BX17">
        <f t="shared" ca="1" si="35"/>
        <v>358.48808443557857</v>
      </c>
      <c r="BY17">
        <f t="shared" ca="1" si="35"/>
        <v>362.84422933490316</v>
      </c>
      <c r="BZ17">
        <f t="shared" ca="1" si="35"/>
        <v>359.88949341839725</v>
      </c>
      <c r="CA17">
        <f t="shared" ca="1" si="35"/>
        <v>358.36813496532011</v>
      </c>
      <c r="CB17">
        <f t="shared" ca="1" si="35"/>
        <v>370.2883607889886</v>
      </c>
      <c r="CC17">
        <f t="shared" ca="1" si="35"/>
        <v>378.33580049492787</v>
      </c>
      <c r="CD17">
        <f t="shared" ca="1" si="35"/>
        <v>374.60726322472573</v>
      </c>
      <c r="CE17">
        <f t="shared" ca="1" si="35"/>
        <v>369.37050584003322</v>
      </c>
      <c r="CF17">
        <f t="shared" ca="1" si="35"/>
        <v>371.0053329673193</v>
      </c>
      <c r="CG17">
        <f t="shared" ca="1" si="35"/>
        <v>375.17865444819358</v>
      </c>
      <c r="CH17">
        <f t="shared" ca="1" si="35"/>
        <v>358.81944065480218</v>
      </c>
      <c r="CI17">
        <f t="shared" ca="1" si="35"/>
        <v>364.62704195708392</v>
      </c>
      <c r="CJ17">
        <f t="shared" ca="1" si="35"/>
        <v>368.62203686922976</v>
      </c>
      <c r="CK17">
        <f t="shared" ca="1" si="35"/>
        <v>360.15939260376678</v>
      </c>
      <c r="CL17">
        <f t="shared" ca="1" si="35"/>
        <v>352.51618275307101</v>
      </c>
      <c r="CM17">
        <f t="shared" ca="1" si="35"/>
        <v>358.8275416365326</v>
      </c>
      <c r="CN17">
        <f t="shared" ca="1" si="35"/>
        <v>364.69004713742282</v>
      </c>
      <c r="CO17">
        <f t="shared" ca="1" si="35"/>
        <v>352.05703892810902</v>
      </c>
      <c r="CP17">
        <f t="shared" ca="1" si="35"/>
        <v>343.75055566018131</v>
      </c>
      <c r="CQ17">
        <f t="shared" ca="1" si="35"/>
        <v>330.5903573047118</v>
      </c>
      <c r="CR17">
        <f t="shared" ca="1" si="35"/>
        <v>322.09745547014711</v>
      </c>
      <c r="CS17">
        <f t="shared" ca="1" si="35"/>
        <v>326.91486359956372</v>
      </c>
      <c r="CT17">
        <f t="shared" ca="1" si="35"/>
        <v>340.68345727163859</v>
      </c>
      <c r="CU17">
        <f t="shared" ca="1" si="35"/>
        <v>333.8219591125789</v>
      </c>
      <c r="CV17">
        <f t="shared" ca="1" si="4"/>
        <v>113.8219591125789</v>
      </c>
      <c r="CW17">
        <f t="shared" ca="1" si="7"/>
        <v>109.4354243666057</v>
      </c>
    </row>
    <row r="18" spans="5:101" x14ac:dyDescent="0.2">
      <c r="E18">
        <v>222.13</v>
      </c>
      <c r="F18">
        <f t="shared" ref="F18:BQ18" ca="1" si="36">E18*(1+$B$2*$B$4+$B$3*SQRT($B$4)*_xlfn.NORM.S.INV(RAND()))</f>
        <v>215.48962902970993</v>
      </c>
      <c r="G18">
        <f t="shared" ca="1" si="36"/>
        <v>219.8259037657653</v>
      </c>
      <c r="H18">
        <f t="shared" ca="1" si="36"/>
        <v>218.47903955373548</v>
      </c>
      <c r="I18">
        <f t="shared" ca="1" si="36"/>
        <v>214.34984696597422</v>
      </c>
      <c r="J18">
        <f t="shared" ca="1" si="36"/>
        <v>199.58478554450087</v>
      </c>
      <c r="K18">
        <f t="shared" ca="1" si="36"/>
        <v>195.02494242308154</v>
      </c>
      <c r="L18">
        <f t="shared" ca="1" si="36"/>
        <v>198.74451461302678</v>
      </c>
      <c r="M18">
        <f t="shared" ca="1" si="36"/>
        <v>204.30661380300944</v>
      </c>
      <c r="N18">
        <f t="shared" ca="1" si="36"/>
        <v>208.14255200614798</v>
      </c>
      <c r="O18">
        <f t="shared" ca="1" si="36"/>
        <v>205.47260003358915</v>
      </c>
      <c r="P18">
        <f t="shared" ca="1" si="36"/>
        <v>206.53295051048136</v>
      </c>
      <c r="Q18">
        <f t="shared" ca="1" si="36"/>
        <v>206.33929752090333</v>
      </c>
      <c r="R18">
        <f t="shared" ca="1" si="36"/>
        <v>204.87355175605964</v>
      </c>
      <c r="S18">
        <f t="shared" ca="1" si="36"/>
        <v>203.4084106728171</v>
      </c>
      <c r="T18">
        <f t="shared" ca="1" si="36"/>
        <v>208.44892196406255</v>
      </c>
      <c r="U18">
        <f t="shared" ca="1" si="36"/>
        <v>209.42589455157292</v>
      </c>
      <c r="V18">
        <f t="shared" ca="1" si="36"/>
        <v>207.25272649386361</v>
      </c>
      <c r="W18">
        <f t="shared" ca="1" si="36"/>
        <v>207.4220739613188</v>
      </c>
      <c r="X18">
        <f t="shared" ca="1" si="36"/>
        <v>218.05424933218424</v>
      </c>
      <c r="Y18">
        <f t="shared" ca="1" si="36"/>
        <v>215.9166341008704</v>
      </c>
      <c r="Z18">
        <f t="shared" ca="1" si="36"/>
        <v>223.74350245308057</v>
      </c>
      <c r="AA18">
        <f t="shared" ca="1" si="36"/>
        <v>219.26184846813106</v>
      </c>
      <c r="AB18">
        <f t="shared" ca="1" si="36"/>
        <v>221.2301123117075</v>
      </c>
      <c r="AC18">
        <f t="shared" ca="1" si="36"/>
        <v>216.25384348090577</v>
      </c>
      <c r="AD18">
        <f t="shared" ca="1" si="36"/>
        <v>209.98478007871407</v>
      </c>
      <c r="AE18">
        <f t="shared" ca="1" si="36"/>
        <v>213.13827567548756</v>
      </c>
      <c r="AF18">
        <f t="shared" ca="1" si="36"/>
        <v>210.27100612694241</v>
      </c>
      <c r="AG18">
        <f t="shared" ca="1" si="36"/>
        <v>209.66627714939733</v>
      </c>
      <c r="AH18">
        <f t="shared" ca="1" si="36"/>
        <v>215.59754653005356</v>
      </c>
      <c r="AI18">
        <f t="shared" ca="1" si="36"/>
        <v>207.5016694099406</v>
      </c>
      <c r="AJ18">
        <f t="shared" ca="1" si="36"/>
        <v>200.72188418053798</v>
      </c>
      <c r="AK18">
        <f t="shared" ca="1" si="36"/>
        <v>200.64180082815423</v>
      </c>
      <c r="AL18">
        <f t="shared" ca="1" si="36"/>
        <v>213.36701191184102</v>
      </c>
      <c r="AM18">
        <f t="shared" ca="1" si="36"/>
        <v>212.63185413052898</v>
      </c>
      <c r="AN18">
        <f t="shared" ca="1" si="36"/>
        <v>207.71686562411244</v>
      </c>
      <c r="AO18">
        <f t="shared" ca="1" si="36"/>
        <v>205.22890266968858</v>
      </c>
      <c r="AP18">
        <f t="shared" ca="1" si="36"/>
        <v>204.02189225638855</v>
      </c>
      <c r="AQ18">
        <f t="shared" ca="1" si="36"/>
        <v>210.22036515700779</v>
      </c>
      <c r="AR18">
        <f t="shared" ca="1" si="36"/>
        <v>207.41263394218385</v>
      </c>
      <c r="AS18">
        <f t="shared" ca="1" si="36"/>
        <v>212.59101521005135</v>
      </c>
      <c r="AT18">
        <f t="shared" ca="1" si="36"/>
        <v>218.67352497777603</v>
      </c>
      <c r="AU18">
        <f t="shared" ca="1" si="36"/>
        <v>210.78137415713252</v>
      </c>
      <c r="AV18">
        <f t="shared" ca="1" si="36"/>
        <v>204.12005702804132</v>
      </c>
      <c r="AW18">
        <f t="shared" ca="1" si="36"/>
        <v>200.30158903383952</v>
      </c>
      <c r="AX18">
        <f t="shared" ca="1" si="36"/>
        <v>200.80814572624504</v>
      </c>
      <c r="AY18">
        <f t="shared" ca="1" si="36"/>
        <v>203.65712946641</v>
      </c>
      <c r="AZ18">
        <f t="shared" ca="1" si="36"/>
        <v>198.14392365849133</v>
      </c>
      <c r="BA18">
        <f t="shared" ca="1" si="36"/>
        <v>200.81527920834952</v>
      </c>
      <c r="BB18">
        <f t="shared" ca="1" si="36"/>
        <v>196.51293558246707</v>
      </c>
      <c r="BC18">
        <f t="shared" ca="1" si="36"/>
        <v>203.44967966484907</v>
      </c>
      <c r="BD18">
        <f t="shared" ca="1" si="36"/>
        <v>201.05791717271688</v>
      </c>
      <c r="BE18">
        <f t="shared" ca="1" si="36"/>
        <v>195.94933421007795</v>
      </c>
      <c r="BF18">
        <f t="shared" ca="1" si="36"/>
        <v>194.64970392667561</v>
      </c>
      <c r="BG18">
        <f t="shared" ca="1" si="36"/>
        <v>205.27240909301864</v>
      </c>
      <c r="BH18">
        <f t="shared" ca="1" si="36"/>
        <v>206.36608524955028</v>
      </c>
      <c r="BI18">
        <f t="shared" ca="1" si="36"/>
        <v>197.48373452214801</v>
      </c>
      <c r="BJ18">
        <f t="shared" ca="1" si="36"/>
        <v>195.09746677257326</v>
      </c>
      <c r="BK18">
        <f t="shared" ca="1" si="36"/>
        <v>195.45034758391316</v>
      </c>
      <c r="BL18">
        <f t="shared" ca="1" si="36"/>
        <v>199.48330360920585</v>
      </c>
      <c r="BM18">
        <f t="shared" ca="1" si="36"/>
        <v>189.8764554035404</v>
      </c>
      <c r="BN18">
        <f t="shared" ca="1" si="36"/>
        <v>193.88850271011339</v>
      </c>
      <c r="BO18">
        <f t="shared" ca="1" si="36"/>
        <v>187.11195522839472</v>
      </c>
      <c r="BP18">
        <f t="shared" ca="1" si="36"/>
        <v>183.70321102619741</v>
      </c>
      <c r="BQ18">
        <f t="shared" ca="1" si="36"/>
        <v>184.53186996686824</v>
      </c>
      <c r="BR18">
        <f t="shared" ref="BR18:CU18" ca="1" si="37">BQ18*(1+$B$2*$B$4+$B$3*SQRT($B$4)*_xlfn.NORM.S.INV(RAND()))</f>
        <v>179.03253920341515</v>
      </c>
      <c r="BS18">
        <f t="shared" ca="1" si="37"/>
        <v>176.04806595076991</v>
      </c>
      <c r="BT18">
        <f t="shared" ca="1" si="37"/>
        <v>175.52968134161171</v>
      </c>
      <c r="BU18">
        <f t="shared" ca="1" si="37"/>
        <v>172.12305697282378</v>
      </c>
      <c r="BV18">
        <f t="shared" ca="1" si="37"/>
        <v>177.50633295902597</v>
      </c>
      <c r="BW18">
        <f t="shared" ca="1" si="37"/>
        <v>179.78769923389794</v>
      </c>
      <c r="BX18">
        <f t="shared" ca="1" si="37"/>
        <v>179.13198415438453</v>
      </c>
      <c r="BY18">
        <f t="shared" ca="1" si="37"/>
        <v>187.67061654254658</v>
      </c>
      <c r="BZ18">
        <f t="shared" ca="1" si="37"/>
        <v>188.91786911170232</v>
      </c>
      <c r="CA18">
        <f t="shared" ca="1" si="37"/>
        <v>187.7824261302797</v>
      </c>
      <c r="CB18">
        <f t="shared" ca="1" si="37"/>
        <v>183.76650246848055</v>
      </c>
      <c r="CC18">
        <f t="shared" ca="1" si="37"/>
        <v>180.10253354222539</v>
      </c>
      <c r="CD18">
        <f t="shared" ca="1" si="37"/>
        <v>184.34794059394736</v>
      </c>
      <c r="CE18">
        <f t="shared" ca="1" si="37"/>
        <v>184.10615595914047</v>
      </c>
      <c r="CF18">
        <f t="shared" ca="1" si="37"/>
        <v>186.67087289582918</v>
      </c>
      <c r="CG18">
        <f t="shared" ca="1" si="37"/>
        <v>184.47212311764511</v>
      </c>
      <c r="CH18">
        <f t="shared" ca="1" si="37"/>
        <v>188.20449463363374</v>
      </c>
      <c r="CI18">
        <f t="shared" ca="1" si="37"/>
        <v>187.96035517807385</v>
      </c>
      <c r="CJ18">
        <f t="shared" ca="1" si="37"/>
        <v>180.34963485649106</v>
      </c>
      <c r="CK18">
        <f t="shared" ca="1" si="37"/>
        <v>177.48824525434333</v>
      </c>
      <c r="CL18">
        <f t="shared" ca="1" si="37"/>
        <v>175.78541419282357</v>
      </c>
      <c r="CM18">
        <f t="shared" ca="1" si="37"/>
        <v>174.34342994158939</v>
      </c>
      <c r="CN18">
        <f t="shared" ca="1" si="37"/>
        <v>173.68914552168445</v>
      </c>
      <c r="CO18">
        <f t="shared" ca="1" si="37"/>
        <v>166.19322817547686</v>
      </c>
      <c r="CP18">
        <f t="shared" ca="1" si="37"/>
        <v>172.1246610464454</v>
      </c>
      <c r="CQ18">
        <f t="shared" ca="1" si="37"/>
        <v>172.06441271912249</v>
      </c>
      <c r="CR18">
        <f t="shared" ca="1" si="37"/>
        <v>170.7793956607664</v>
      </c>
      <c r="CS18">
        <f t="shared" ca="1" si="37"/>
        <v>169.835237688071</v>
      </c>
      <c r="CT18">
        <f t="shared" ca="1" si="37"/>
        <v>162.75181742336065</v>
      </c>
      <c r="CU18">
        <f t="shared" ca="1" si="37"/>
        <v>161.31462245711268</v>
      </c>
      <c r="CV18">
        <f t="shared" ca="1" si="4"/>
        <v>0</v>
      </c>
      <c r="CW18">
        <f t="shared" ca="1" si="7"/>
        <v>0</v>
      </c>
    </row>
    <row r="19" spans="5:101" x14ac:dyDescent="0.2">
      <c r="E19">
        <v>222.13</v>
      </c>
      <c r="F19">
        <f t="shared" ref="F19:BQ19" ca="1" si="38">E19*(1+$B$2*$B$4+$B$3*SQRT($B$4)*_xlfn.NORM.S.INV(RAND()))</f>
        <v>218.81320466748795</v>
      </c>
      <c r="G19">
        <f t="shared" ca="1" si="38"/>
        <v>223.87998717946493</v>
      </c>
      <c r="H19">
        <f t="shared" ca="1" si="38"/>
        <v>226.64465620289275</v>
      </c>
      <c r="I19">
        <f t="shared" ca="1" si="38"/>
        <v>219.49493099863261</v>
      </c>
      <c r="J19">
        <f t="shared" ca="1" si="38"/>
        <v>218.75685198152391</v>
      </c>
      <c r="K19">
        <f t="shared" ca="1" si="38"/>
        <v>218.99181561840538</v>
      </c>
      <c r="L19">
        <f t="shared" ca="1" si="38"/>
        <v>220.3311179008914</v>
      </c>
      <c r="M19">
        <f t="shared" ca="1" si="38"/>
        <v>224.81541816939199</v>
      </c>
      <c r="N19">
        <f t="shared" ca="1" si="38"/>
        <v>227.63604074183988</v>
      </c>
      <c r="O19">
        <f t="shared" ca="1" si="38"/>
        <v>225.70345264177334</v>
      </c>
      <c r="P19">
        <f t="shared" ca="1" si="38"/>
        <v>232.23166270561734</v>
      </c>
      <c r="Q19">
        <f t="shared" ca="1" si="38"/>
        <v>234.05869463802313</v>
      </c>
      <c r="R19">
        <f t="shared" ca="1" si="38"/>
        <v>234.4115183859403</v>
      </c>
      <c r="S19">
        <f t="shared" ca="1" si="38"/>
        <v>237.87412611307394</v>
      </c>
      <c r="T19">
        <f t="shared" ca="1" si="38"/>
        <v>233.52919354531448</v>
      </c>
      <c r="U19">
        <f t="shared" ca="1" si="38"/>
        <v>237.15079664290633</v>
      </c>
      <c r="V19">
        <f t="shared" ca="1" si="38"/>
        <v>234.45437001426282</v>
      </c>
      <c r="W19">
        <f t="shared" ca="1" si="38"/>
        <v>241.49304108710396</v>
      </c>
      <c r="X19">
        <f t="shared" ca="1" si="38"/>
        <v>252.76835914471854</v>
      </c>
      <c r="Y19">
        <f t="shared" ca="1" si="38"/>
        <v>247.13826130515343</v>
      </c>
      <c r="Z19">
        <f t="shared" ca="1" si="38"/>
        <v>256.89130085416519</v>
      </c>
      <c r="AA19">
        <f t="shared" ca="1" si="38"/>
        <v>257.91957096541762</v>
      </c>
      <c r="AB19">
        <f t="shared" ca="1" si="38"/>
        <v>257.96986678413737</v>
      </c>
      <c r="AC19">
        <f t="shared" ca="1" si="38"/>
        <v>258.87509244937894</v>
      </c>
      <c r="AD19">
        <f t="shared" ca="1" si="38"/>
        <v>259.66490329795568</v>
      </c>
      <c r="AE19">
        <f t="shared" ca="1" si="38"/>
        <v>257.91292660499346</v>
      </c>
      <c r="AF19">
        <f t="shared" ca="1" si="38"/>
        <v>257.11477378531754</v>
      </c>
      <c r="AG19">
        <f t="shared" ca="1" si="38"/>
        <v>259.95114904162881</v>
      </c>
      <c r="AH19">
        <f t="shared" ca="1" si="38"/>
        <v>260.62887586271432</v>
      </c>
      <c r="AI19">
        <f t="shared" ca="1" si="38"/>
        <v>264.24783013339049</v>
      </c>
      <c r="AJ19">
        <f t="shared" ca="1" si="38"/>
        <v>263.68688727197213</v>
      </c>
      <c r="AK19">
        <f t="shared" ca="1" si="38"/>
        <v>257.15221689294492</v>
      </c>
      <c r="AL19">
        <f t="shared" ca="1" si="38"/>
        <v>261.03195780647951</v>
      </c>
      <c r="AM19">
        <f t="shared" ca="1" si="38"/>
        <v>250.91327602139094</v>
      </c>
      <c r="AN19">
        <f t="shared" ca="1" si="38"/>
        <v>261.52814005153954</v>
      </c>
      <c r="AO19">
        <f t="shared" ca="1" si="38"/>
        <v>248.76094022883126</v>
      </c>
      <c r="AP19">
        <f t="shared" ca="1" si="38"/>
        <v>243.71559060693141</v>
      </c>
      <c r="AQ19">
        <f t="shared" ca="1" si="38"/>
        <v>243.70278915945644</v>
      </c>
      <c r="AR19">
        <f t="shared" ca="1" si="38"/>
        <v>243.49449981089694</v>
      </c>
      <c r="AS19">
        <f t="shared" ca="1" si="38"/>
        <v>244.28201637532024</v>
      </c>
      <c r="AT19">
        <f t="shared" ca="1" si="38"/>
        <v>241.218505338608</v>
      </c>
      <c r="AU19">
        <f t="shared" ca="1" si="38"/>
        <v>243.06663191053889</v>
      </c>
      <c r="AV19">
        <f t="shared" ca="1" si="38"/>
        <v>244.40319346544919</v>
      </c>
      <c r="AW19">
        <f t="shared" ca="1" si="38"/>
        <v>247.32181194068988</v>
      </c>
      <c r="AX19">
        <f t="shared" ca="1" si="38"/>
        <v>250.02525604488017</v>
      </c>
      <c r="AY19">
        <f t="shared" ca="1" si="38"/>
        <v>249.97461615749273</v>
      </c>
      <c r="AZ19">
        <f t="shared" ca="1" si="38"/>
        <v>254.20779964664192</v>
      </c>
      <c r="BA19">
        <f t="shared" ca="1" si="38"/>
        <v>254.9370965963237</v>
      </c>
      <c r="BB19">
        <f t="shared" ca="1" si="38"/>
        <v>259.79607355490469</v>
      </c>
      <c r="BC19">
        <f t="shared" ca="1" si="38"/>
        <v>266.01023846183682</v>
      </c>
      <c r="BD19">
        <f t="shared" ca="1" si="38"/>
        <v>258.11691699051312</v>
      </c>
      <c r="BE19">
        <f t="shared" ca="1" si="38"/>
        <v>254.75160171620033</v>
      </c>
      <c r="BF19">
        <f t="shared" ca="1" si="38"/>
        <v>268.33991146457026</v>
      </c>
      <c r="BG19">
        <f t="shared" ca="1" si="38"/>
        <v>270.26183318155472</v>
      </c>
      <c r="BH19">
        <f t="shared" ca="1" si="38"/>
        <v>265.22364739521811</v>
      </c>
      <c r="BI19">
        <f t="shared" ca="1" si="38"/>
        <v>269.28610458946849</v>
      </c>
      <c r="BJ19">
        <f t="shared" ca="1" si="38"/>
        <v>268.45798911989897</v>
      </c>
      <c r="BK19">
        <f t="shared" ca="1" si="38"/>
        <v>260.22537995545997</v>
      </c>
      <c r="BL19">
        <f t="shared" ca="1" si="38"/>
        <v>267.96169764365339</v>
      </c>
      <c r="BM19">
        <f t="shared" ca="1" si="38"/>
        <v>264.11301892183809</v>
      </c>
      <c r="BN19">
        <f t="shared" ca="1" si="38"/>
        <v>275.77746732805383</v>
      </c>
      <c r="BO19">
        <f t="shared" ca="1" si="38"/>
        <v>271.32825474426045</v>
      </c>
      <c r="BP19">
        <f t="shared" ca="1" si="38"/>
        <v>281.73433022671679</v>
      </c>
      <c r="BQ19">
        <f t="shared" ca="1" si="38"/>
        <v>286.26406845635819</v>
      </c>
      <c r="BR19">
        <f t="shared" ref="BR19:CU19" ca="1" si="39">BQ19*(1+$B$2*$B$4+$B$3*SQRT($B$4)*_xlfn.NORM.S.INV(RAND()))</f>
        <v>289.2988829029976</v>
      </c>
      <c r="BS19">
        <f t="shared" ca="1" si="39"/>
        <v>287.52529546711827</v>
      </c>
      <c r="BT19">
        <f t="shared" ca="1" si="39"/>
        <v>285.11819016143573</v>
      </c>
      <c r="BU19">
        <f t="shared" ca="1" si="39"/>
        <v>295.08516665918688</v>
      </c>
      <c r="BV19">
        <f t="shared" ca="1" si="39"/>
        <v>295.49528198923269</v>
      </c>
      <c r="BW19">
        <f t="shared" ca="1" si="39"/>
        <v>287.81877626096929</v>
      </c>
      <c r="BX19">
        <f t="shared" ca="1" si="39"/>
        <v>290.04032513964933</v>
      </c>
      <c r="BY19">
        <f t="shared" ca="1" si="39"/>
        <v>290.86387175971907</v>
      </c>
      <c r="BZ19">
        <f t="shared" ca="1" si="39"/>
        <v>291.95689405873281</v>
      </c>
      <c r="CA19">
        <f t="shared" ca="1" si="39"/>
        <v>305.13050529788103</v>
      </c>
      <c r="CB19">
        <f t="shared" ca="1" si="39"/>
        <v>304.48725851294165</v>
      </c>
      <c r="CC19">
        <f t="shared" ca="1" si="39"/>
        <v>321.49562790936642</v>
      </c>
      <c r="CD19">
        <f t="shared" ca="1" si="39"/>
        <v>321.45693248486799</v>
      </c>
      <c r="CE19">
        <f t="shared" ca="1" si="39"/>
        <v>314.93479802741973</v>
      </c>
      <c r="CF19">
        <f t="shared" ca="1" si="39"/>
        <v>307.93551891298944</v>
      </c>
      <c r="CG19">
        <f t="shared" ca="1" si="39"/>
        <v>311.37336159465269</v>
      </c>
      <c r="CH19">
        <f t="shared" ca="1" si="39"/>
        <v>319.27521626453586</v>
      </c>
      <c r="CI19">
        <f t="shared" ca="1" si="39"/>
        <v>319.91763407884747</v>
      </c>
      <c r="CJ19">
        <f t="shared" ca="1" si="39"/>
        <v>331.14431992816856</v>
      </c>
      <c r="CK19">
        <f t="shared" ca="1" si="39"/>
        <v>338.40354132427768</v>
      </c>
      <c r="CL19">
        <f t="shared" ca="1" si="39"/>
        <v>328.73545191874939</v>
      </c>
      <c r="CM19">
        <f t="shared" ca="1" si="39"/>
        <v>340.44974258476373</v>
      </c>
      <c r="CN19">
        <f t="shared" ca="1" si="39"/>
        <v>346.06073314735397</v>
      </c>
      <c r="CO19">
        <f t="shared" ca="1" si="39"/>
        <v>341.55241320413609</v>
      </c>
      <c r="CP19">
        <f t="shared" ca="1" si="39"/>
        <v>340.6486194115439</v>
      </c>
      <c r="CQ19">
        <f t="shared" ca="1" si="39"/>
        <v>333.46854391586874</v>
      </c>
      <c r="CR19">
        <f t="shared" ca="1" si="39"/>
        <v>330.34236533577263</v>
      </c>
      <c r="CS19">
        <f t="shared" ca="1" si="39"/>
        <v>324.74894170517342</v>
      </c>
      <c r="CT19">
        <f t="shared" ca="1" si="39"/>
        <v>313.99283437257554</v>
      </c>
      <c r="CU19">
        <f t="shared" ca="1" si="39"/>
        <v>318.87053090861673</v>
      </c>
      <c r="CV19">
        <f t="shared" ca="1" si="4"/>
        <v>98.870530908616729</v>
      </c>
      <c r="CW19">
        <f t="shared" ca="1" si="7"/>
        <v>95.060202720938094</v>
      </c>
    </row>
    <row r="20" spans="5:101" x14ac:dyDescent="0.2">
      <c r="E20">
        <v>222.13</v>
      </c>
      <c r="F20">
        <f t="shared" ref="F20:BQ20" ca="1" si="40">E20*(1+$B$2*$B$4+$B$3*SQRT($B$4)*_xlfn.NORM.S.INV(RAND()))</f>
        <v>224.52074486730169</v>
      </c>
      <c r="G20">
        <f t="shared" ca="1" si="40"/>
        <v>221.85835503128769</v>
      </c>
      <c r="H20">
        <f t="shared" ca="1" si="40"/>
        <v>223.01666059366195</v>
      </c>
      <c r="I20">
        <f t="shared" ca="1" si="40"/>
        <v>225.0258371094468</v>
      </c>
      <c r="J20">
        <f t="shared" ca="1" si="40"/>
        <v>222.2303865614185</v>
      </c>
      <c r="K20">
        <f t="shared" ca="1" si="40"/>
        <v>219.42310345173868</v>
      </c>
      <c r="L20">
        <f t="shared" ca="1" si="40"/>
        <v>222.06079381221014</v>
      </c>
      <c r="M20">
        <f t="shared" ca="1" si="40"/>
        <v>214.74566332081685</v>
      </c>
      <c r="N20">
        <f t="shared" ca="1" si="40"/>
        <v>210.18305609949664</v>
      </c>
      <c r="O20">
        <f t="shared" ca="1" si="40"/>
        <v>221.19458371331456</v>
      </c>
      <c r="P20">
        <f t="shared" ca="1" si="40"/>
        <v>229.09984871789106</v>
      </c>
      <c r="Q20">
        <f t="shared" ca="1" si="40"/>
        <v>240.10516668132632</v>
      </c>
      <c r="R20">
        <f t="shared" ca="1" si="40"/>
        <v>253.55815547582051</v>
      </c>
      <c r="S20">
        <f t="shared" ca="1" si="40"/>
        <v>246.75822184169695</v>
      </c>
      <c r="T20">
        <f t="shared" ca="1" si="40"/>
        <v>245.06550912978557</v>
      </c>
      <c r="U20">
        <f t="shared" ca="1" si="40"/>
        <v>255.86999561747803</v>
      </c>
      <c r="V20">
        <f t="shared" ca="1" si="40"/>
        <v>258.57732024128512</v>
      </c>
      <c r="W20">
        <f t="shared" ca="1" si="40"/>
        <v>250.43520543656086</v>
      </c>
      <c r="X20">
        <f t="shared" ca="1" si="40"/>
        <v>247.98247658341657</v>
      </c>
      <c r="Y20">
        <f t="shared" ca="1" si="40"/>
        <v>257.30106249852162</v>
      </c>
      <c r="Z20">
        <f t="shared" ca="1" si="40"/>
        <v>250.8955103817014</v>
      </c>
      <c r="AA20">
        <f t="shared" ca="1" si="40"/>
        <v>247.90983799983005</v>
      </c>
      <c r="AB20">
        <f t="shared" ca="1" si="40"/>
        <v>245.95401822671002</v>
      </c>
      <c r="AC20">
        <f t="shared" ca="1" si="40"/>
        <v>255.07533588656537</v>
      </c>
      <c r="AD20">
        <f t="shared" ca="1" si="40"/>
        <v>253.58216151475645</v>
      </c>
      <c r="AE20">
        <f t="shared" ca="1" si="40"/>
        <v>245.47362828622161</v>
      </c>
      <c r="AF20">
        <f t="shared" ca="1" si="40"/>
        <v>239.68398418864331</v>
      </c>
      <c r="AG20">
        <f t="shared" ca="1" si="40"/>
        <v>234.8109717182389</v>
      </c>
      <c r="AH20">
        <f t="shared" ca="1" si="40"/>
        <v>235.87381205681024</v>
      </c>
      <c r="AI20">
        <f t="shared" ca="1" si="40"/>
        <v>243.13807858425221</v>
      </c>
      <c r="AJ20">
        <f t="shared" ca="1" si="40"/>
        <v>239.82042482273746</v>
      </c>
      <c r="AK20">
        <f t="shared" ca="1" si="40"/>
        <v>248.61760034184098</v>
      </c>
      <c r="AL20">
        <f t="shared" ca="1" si="40"/>
        <v>252.53427375766447</v>
      </c>
      <c r="AM20">
        <f t="shared" ca="1" si="40"/>
        <v>249.75198740980605</v>
      </c>
      <c r="AN20">
        <f t="shared" ca="1" si="40"/>
        <v>252.91530592776698</v>
      </c>
      <c r="AO20">
        <f t="shared" ca="1" si="40"/>
        <v>259.38488152182043</v>
      </c>
      <c r="AP20">
        <f t="shared" ca="1" si="40"/>
        <v>252.34674753438063</v>
      </c>
      <c r="AQ20">
        <f t="shared" ca="1" si="40"/>
        <v>252.81724009288615</v>
      </c>
      <c r="AR20">
        <f t="shared" ca="1" si="40"/>
        <v>268.81700652288913</v>
      </c>
      <c r="AS20">
        <f t="shared" ca="1" si="40"/>
        <v>275.93243130706196</v>
      </c>
      <c r="AT20">
        <f t="shared" ca="1" si="40"/>
        <v>283.22358489976932</v>
      </c>
      <c r="AU20">
        <f t="shared" ca="1" si="40"/>
        <v>288.5672502094493</v>
      </c>
      <c r="AV20">
        <f t="shared" ca="1" si="40"/>
        <v>286.53084596897372</v>
      </c>
      <c r="AW20">
        <f t="shared" ca="1" si="40"/>
        <v>277.96457488581342</v>
      </c>
      <c r="AX20">
        <f t="shared" ca="1" si="40"/>
        <v>292.48007805533143</v>
      </c>
      <c r="AY20">
        <f t="shared" ca="1" si="40"/>
        <v>288.21268857272605</v>
      </c>
      <c r="AZ20">
        <f t="shared" ca="1" si="40"/>
        <v>278.29222467900269</v>
      </c>
      <c r="BA20">
        <f t="shared" ca="1" si="40"/>
        <v>283.60474036148457</v>
      </c>
      <c r="BB20">
        <f t="shared" ca="1" si="40"/>
        <v>288.06610891883065</v>
      </c>
      <c r="BC20">
        <f t="shared" ca="1" si="40"/>
        <v>298.01164727865455</v>
      </c>
      <c r="BD20">
        <f t="shared" ca="1" si="40"/>
        <v>293.05006262627694</v>
      </c>
      <c r="BE20">
        <f t="shared" ca="1" si="40"/>
        <v>294.44649857857485</v>
      </c>
      <c r="BF20">
        <f t="shared" ca="1" si="40"/>
        <v>292.42066751009378</v>
      </c>
      <c r="BG20">
        <f t="shared" ca="1" si="40"/>
        <v>288.9474840070132</v>
      </c>
      <c r="BH20">
        <f t="shared" ca="1" si="40"/>
        <v>287.97934983706796</v>
      </c>
      <c r="BI20">
        <f t="shared" ca="1" si="40"/>
        <v>288.60464958616558</v>
      </c>
      <c r="BJ20">
        <f t="shared" ca="1" si="40"/>
        <v>284.63912892192957</v>
      </c>
      <c r="BK20">
        <f t="shared" ca="1" si="40"/>
        <v>276.95095524119893</v>
      </c>
      <c r="BL20">
        <f t="shared" ca="1" si="40"/>
        <v>282.33630432685942</v>
      </c>
      <c r="BM20">
        <f t="shared" ca="1" si="40"/>
        <v>291.62990009686661</v>
      </c>
      <c r="BN20">
        <f t="shared" ca="1" si="40"/>
        <v>280.99810224974783</v>
      </c>
      <c r="BO20">
        <f t="shared" ca="1" si="40"/>
        <v>276.6785401505233</v>
      </c>
      <c r="BP20">
        <f t="shared" ca="1" si="40"/>
        <v>278.48392231712012</v>
      </c>
      <c r="BQ20">
        <f t="shared" ca="1" si="40"/>
        <v>270.82045522825371</v>
      </c>
      <c r="BR20">
        <f t="shared" ref="BR20:CU20" ca="1" si="41">BQ20*(1+$B$2*$B$4+$B$3*SQRT($B$4)*_xlfn.NORM.S.INV(RAND()))</f>
        <v>278.11804479523602</v>
      </c>
      <c r="BS20">
        <f t="shared" ca="1" si="41"/>
        <v>285.20146094578985</v>
      </c>
      <c r="BT20">
        <f t="shared" ca="1" si="41"/>
        <v>289.39140193944854</v>
      </c>
      <c r="BU20">
        <f t="shared" ca="1" si="41"/>
        <v>282.27203399074023</v>
      </c>
      <c r="BV20">
        <f t="shared" ca="1" si="41"/>
        <v>274.75752723024306</v>
      </c>
      <c r="BW20">
        <f t="shared" ca="1" si="41"/>
        <v>268.43727458804915</v>
      </c>
      <c r="BX20">
        <f t="shared" ca="1" si="41"/>
        <v>271.10551267451393</v>
      </c>
      <c r="BY20">
        <f t="shared" ca="1" si="41"/>
        <v>259.71649470345193</v>
      </c>
      <c r="BZ20">
        <f t="shared" ca="1" si="41"/>
        <v>256.95884729313298</v>
      </c>
      <c r="CA20">
        <f t="shared" ca="1" si="41"/>
        <v>254.42091227955058</v>
      </c>
      <c r="CB20">
        <f t="shared" ca="1" si="41"/>
        <v>248.74204900117363</v>
      </c>
      <c r="CC20">
        <f t="shared" ca="1" si="41"/>
        <v>249.68876772066804</v>
      </c>
      <c r="CD20">
        <f t="shared" ca="1" si="41"/>
        <v>259.01975989154198</v>
      </c>
      <c r="CE20">
        <f t="shared" ca="1" si="41"/>
        <v>260.99800362186323</v>
      </c>
      <c r="CF20">
        <f t="shared" ca="1" si="41"/>
        <v>255.57084118617109</v>
      </c>
      <c r="CG20">
        <f t="shared" ca="1" si="41"/>
        <v>243.96946572572386</v>
      </c>
      <c r="CH20">
        <f t="shared" ca="1" si="41"/>
        <v>240.08323959718084</v>
      </c>
      <c r="CI20">
        <f t="shared" ca="1" si="41"/>
        <v>239.33796130575439</v>
      </c>
      <c r="CJ20">
        <f t="shared" ca="1" si="41"/>
        <v>242.25408588195083</v>
      </c>
      <c r="CK20">
        <f t="shared" ca="1" si="41"/>
        <v>247.36156603043457</v>
      </c>
      <c r="CL20">
        <f t="shared" ca="1" si="41"/>
        <v>245.30453384854232</v>
      </c>
      <c r="CM20">
        <f t="shared" ca="1" si="41"/>
        <v>239.74820045593285</v>
      </c>
      <c r="CN20">
        <f t="shared" ca="1" si="41"/>
        <v>243.15653006641031</v>
      </c>
      <c r="CO20">
        <f t="shared" ca="1" si="41"/>
        <v>252.06455137578951</v>
      </c>
      <c r="CP20">
        <f t="shared" ca="1" si="41"/>
        <v>252.07409583673928</v>
      </c>
      <c r="CQ20">
        <f t="shared" ca="1" si="41"/>
        <v>252.46199981544214</v>
      </c>
      <c r="CR20">
        <f t="shared" ca="1" si="41"/>
        <v>259.69920184386183</v>
      </c>
      <c r="CS20">
        <f t="shared" ca="1" si="41"/>
        <v>268.35621109060185</v>
      </c>
      <c r="CT20">
        <f t="shared" ca="1" si="41"/>
        <v>263.40837939326326</v>
      </c>
      <c r="CU20">
        <f t="shared" ca="1" si="41"/>
        <v>263.66756945521917</v>
      </c>
      <c r="CV20">
        <f t="shared" ca="1" si="4"/>
        <v>43.667569455219166</v>
      </c>
      <c r="CW20">
        <f t="shared" ca="1" si="7"/>
        <v>41.984684077204726</v>
      </c>
    </row>
    <row r="21" spans="5:101" x14ac:dyDescent="0.2">
      <c r="E21">
        <v>222.13</v>
      </c>
      <c r="F21">
        <f t="shared" ref="F21:BQ21" ca="1" si="42">E21*(1+$B$2*$B$4+$B$3*SQRT($B$4)*_xlfn.NORM.S.INV(RAND()))</f>
        <v>228.70103987773669</v>
      </c>
      <c r="G21">
        <f t="shared" ca="1" si="42"/>
        <v>232.03056723646961</v>
      </c>
      <c r="H21">
        <f t="shared" ca="1" si="42"/>
        <v>233.92989979149203</v>
      </c>
      <c r="I21">
        <f t="shared" ca="1" si="42"/>
        <v>239.9157462643505</v>
      </c>
      <c r="J21">
        <f t="shared" ca="1" si="42"/>
        <v>242.91571438103236</v>
      </c>
      <c r="K21">
        <f t="shared" ca="1" si="42"/>
        <v>247.32438541645726</v>
      </c>
      <c r="L21">
        <f t="shared" ca="1" si="42"/>
        <v>242.54113565433997</v>
      </c>
      <c r="M21">
        <f t="shared" ca="1" si="42"/>
        <v>238.5751861216992</v>
      </c>
      <c r="N21">
        <f t="shared" ca="1" si="42"/>
        <v>239.51099429700548</v>
      </c>
      <c r="O21">
        <f t="shared" ca="1" si="42"/>
        <v>240.62808089963377</v>
      </c>
      <c r="P21">
        <f t="shared" ca="1" si="42"/>
        <v>238.88198927392276</v>
      </c>
      <c r="Q21">
        <f t="shared" ca="1" si="42"/>
        <v>238.57230184881169</v>
      </c>
      <c r="R21">
        <f t="shared" ca="1" si="42"/>
        <v>234.15713877183779</v>
      </c>
      <c r="S21">
        <f t="shared" ca="1" si="42"/>
        <v>236.98778249926829</v>
      </c>
      <c r="T21">
        <f t="shared" ca="1" si="42"/>
        <v>239.73625028621373</v>
      </c>
      <c r="U21">
        <f t="shared" ca="1" si="42"/>
        <v>230.48384708226973</v>
      </c>
      <c r="V21">
        <f t="shared" ca="1" si="42"/>
        <v>230.09947089743994</v>
      </c>
      <c r="W21">
        <f t="shared" ca="1" si="42"/>
        <v>232.61409444859305</v>
      </c>
      <c r="X21">
        <f t="shared" ca="1" si="42"/>
        <v>241.93008389267959</v>
      </c>
      <c r="Y21">
        <f t="shared" ca="1" si="42"/>
        <v>244.86913675614471</v>
      </c>
      <c r="Z21">
        <f t="shared" ca="1" si="42"/>
        <v>231.84712839345815</v>
      </c>
      <c r="AA21">
        <f t="shared" ca="1" si="42"/>
        <v>229.66592073826962</v>
      </c>
      <c r="AB21">
        <f t="shared" ca="1" si="42"/>
        <v>221.59045482737292</v>
      </c>
      <c r="AC21">
        <f t="shared" ca="1" si="42"/>
        <v>226.51597153456009</v>
      </c>
      <c r="AD21">
        <f t="shared" ca="1" si="42"/>
        <v>230.56219202332662</v>
      </c>
      <c r="AE21">
        <f t="shared" ca="1" si="42"/>
        <v>239.78801822543093</v>
      </c>
      <c r="AF21">
        <f t="shared" ca="1" si="42"/>
        <v>235.66289540976916</v>
      </c>
      <c r="AG21">
        <f t="shared" ca="1" si="42"/>
        <v>235.73826224593819</v>
      </c>
      <c r="AH21">
        <f t="shared" ca="1" si="42"/>
        <v>227.99966052966391</v>
      </c>
      <c r="AI21">
        <f t="shared" ca="1" si="42"/>
        <v>226.18532958838827</v>
      </c>
      <c r="AJ21">
        <f t="shared" ca="1" si="42"/>
        <v>219.98148096194723</v>
      </c>
      <c r="AK21">
        <f t="shared" ca="1" si="42"/>
        <v>214.06417121493564</v>
      </c>
      <c r="AL21">
        <f t="shared" ca="1" si="42"/>
        <v>210.3488156676728</v>
      </c>
      <c r="AM21">
        <f t="shared" ca="1" si="42"/>
        <v>212.4794942662468</v>
      </c>
      <c r="AN21">
        <f t="shared" ca="1" si="42"/>
        <v>209.72753818344697</v>
      </c>
      <c r="AO21">
        <f t="shared" ca="1" si="42"/>
        <v>212.54555268584386</v>
      </c>
      <c r="AP21">
        <f t="shared" ca="1" si="42"/>
        <v>208.89444360411798</v>
      </c>
      <c r="AQ21">
        <f t="shared" ca="1" si="42"/>
        <v>211.6526439060209</v>
      </c>
      <c r="AR21">
        <f t="shared" ca="1" si="42"/>
        <v>205.72800162700563</v>
      </c>
      <c r="AS21">
        <f t="shared" ca="1" si="42"/>
        <v>207.23768484181434</v>
      </c>
      <c r="AT21">
        <f t="shared" ca="1" si="42"/>
        <v>211.20883045966528</v>
      </c>
      <c r="AU21">
        <f t="shared" ca="1" si="42"/>
        <v>211.09315576688519</v>
      </c>
      <c r="AV21">
        <f t="shared" ca="1" si="42"/>
        <v>213.4196869759806</v>
      </c>
      <c r="AW21">
        <f t="shared" ca="1" si="42"/>
        <v>204.2215240247408</v>
      </c>
      <c r="AX21">
        <f t="shared" ca="1" si="42"/>
        <v>198.49975867833126</v>
      </c>
      <c r="AY21">
        <f t="shared" ca="1" si="42"/>
        <v>185.66865437351285</v>
      </c>
      <c r="AZ21">
        <f t="shared" ca="1" si="42"/>
        <v>189.08221011684034</v>
      </c>
      <c r="BA21">
        <f t="shared" ca="1" si="42"/>
        <v>181.4292977911187</v>
      </c>
      <c r="BB21">
        <f t="shared" ca="1" si="42"/>
        <v>183.69090296782875</v>
      </c>
      <c r="BC21">
        <f t="shared" ca="1" si="42"/>
        <v>186.2792554785448</v>
      </c>
      <c r="BD21">
        <f t="shared" ca="1" si="42"/>
        <v>191.39505566421477</v>
      </c>
      <c r="BE21">
        <f t="shared" ca="1" si="42"/>
        <v>187.93485841784479</v>
      </c>
      <c r="BF21">
        <f t="shared" ca="1" si="42"/>
        <v>199.26882868468826</v>
      </c>
      <c r="BG21">
        <f t="shared" ca="1" si="42"/>
        <v>193.55835825866578</v>
      </c>
      <c r="BH21">
        <f t="shared" ca="1" si="42"/>
        <v>194.99437418053233</v>
      </c>
      <c r="BI21">
        <f t="shared" ca="1" si="42"/>
        <v>201.51467812013033</v>
      </c>
      <c r="BJ21">
        <f t="shared" ca="1" si="42"/>
        <v>202.39935073899554</v>
      </c>
      <c r="BK21">
        <f t="shared" ca="1" si="42"/>
        <v>206.56660897188112</v>
      </c>
      <c r="BL21">
        <f t="shared" ca="1" si="42"/>
        <v>199.89605054555079</v>
      </c>
      <c r="BM21">
        <f t="shared" ca="1" si="42"/>
        <v>193.61675826383996</v>
      </c>
      <c r="BN21">
        <f t="shared" ca="1" si="42"/>
        <v>200.20550848843783</v>
      </c>
      <c r="BO21">
        <f t="shared" ca="1" si="42"/>
        <v>202.44876602611942</v>
      </c>
      <c r="BP21">
        <f t="shared" ca="1" si="42"/>
        <v>192.46688588024665</v>
      </c>
      <c r="BQ21">
        <f t="shared" ca="1" si="42"/>
        <v>196.33869243732289</v>
      </c>
      <c r="BR21">
        <f t="shared" ref="BR21:CU21" ca="1" si="43">BQ21*(1+$B$2*$B$4+$B$3*SQRT($B$4)*_xlfn.NORM.S.INV(RAND()))</f>
        <v>198.01797893769796</v>
      </c>
      <c r="BS21">
        <f t="shared" ca="1" si="43"/>
        <v>203.91948360741705</v>
      </c>
      <c r="BT21">
        <f t="shared" ca="1" si="43"/>
        <v>201.26488122788911</v>
      </c>
      <c r="BU21">
        <f t="shared" ca="1" si="43"/>
        <v>202.28275228721492</v>
      </c>
      <c r="BV21">
        <f t="shared" ca="1" si="43"/>
        <v>205.74041618547065</v>
      </c>
      <c r="BW21">
        <f t="shared" ca="1" si="43"/>
        <v>198.26618108498192</v>
      </c>
      <c r="BX21">
        <f t="shared" ca="1" si="43"/>
        <v>190.33600591105338</v>
      </c>
      <c r="BY21">
        <f t="shared" ca="1" si="43"/>
        <v>193.30086992608949</v>
      </c>
      <c r="BZ21">
        <f t="shared" ca="1" si="43"/>
        <v>200.82160003880452</v>
      </c>
      <c r="CA21">
        <f t="shared" ca="1" si="43"/>
        <v>207.95525518554888</v>
      </c>
      <c r="CB21">
        <f t="shared" ca="1" si="43"/>
        <v>207.20910213301596</v>
      </c>
      <c r="CC21">
        <f t="shared" ca="1" si="43"/>
        <v>204.81442028035738</v>
      </c>
      <c r="CD21">
        <f t="shared" ca="1" si="43"/>
        <v>214.15969664431785</v>
      </c>
      <c r="CE21">
        <f t="shared" ca="1" si="43"/>
        <v>214.86697796044794</v>
      </c>
      <c r="CF21">
        <f t="shared" ca="1" si="43"/>
        <v>218.3590252736216</v>
      </c>
      <c r="CG21">
        <f t="shared" ca="1" si="43"/>
        <v>218.63642774981432</v>
      </c>
      <c r="CH21">
        <f t="shared" ca="1" si="43"/>
        <v>222.10295436157475</v>
      </c>
      <c r="CI21">
        <f t="shared" ca="1" si="43"/>
        <v>214.93481803073624</v>
      </c>
      <c r="CJ21">
        <f t="shared" ca="1" si="43"/>
        <v>211.3751956250523</v>
      </c>
      <c r="CK21">
        <f t="shared" ca="1" si="43"/>
        <v>212.86581902804411</v>
      </c>
      <c r="CL21">
        <f t="shared" ca="1" si="43"/>
        <v>217.48782205318795</v>
      </c>
      <c r="CM21">
        <f t="shared" ca="1" si="43"/>
        <v>212.61576061655865</v>
      </c>
      <c r="CN21">
        <f t="shared" ca="1" si="43"/>
        <v>219.51438296205976</v>
      </c>
      <c r="CO21">
        <f t="shared" ca="1" si="43"/>
        <v>220.01944997254662</v>
      </c>
      <c r="CP21">
        <f t="shared" ca="1" si="43"/>
        <v>219.94960084599526</v>
      </c>
      <c r="CQ21">
        <f t="shared" ca="1" si="43"/>
        <v>223.60506833083983</v>
      </c>
      <c r="CR21">
        <f t="shared" ca="1" si="43"/>
        <v>220.37897339127727</v>
      </c>
      <c r="CS21">
        <f t="shared" ca="1" si="43"/>
        <v>218.43581931864694</v>
      </c>
      <c r="CT21">
        <f t="shared" ca="1" si="43"/>
        <v>224.8046843485416</v>
      </c>
      <c r="CU21">
        <f t="shared" ca="1" si="43"/>
        <v>230.20040871631622</v>
      </c>
      <c r="CV21">
        <f t="shared" ca="1" si="4"/>
        <v>10.200408716316218</v>
      </c>
      <c r="CW21">
        <f t="shared" ca="1" si="7"/>
        <v>9.8072996220245532</v>
      </c>
    </row>
    <row r="22" spans="5:101" x14ac:dyDescent="0.2">
      <c r="E22">
        <v>222.13</v>
      </c>
      <c r="F22">
        <f t="shared" ref="F22:BQ22" ca="1" si="44">E22*(1+$B$2*$B$4+$B$3*SQRT($B$4)*_xlfn.NORM.S.INV(RAND()))</f>
        <v>216.67903019556411</v>
      </c>
      <c r="G22">
        <f t="shared" ca="1" si="44"/>
        <v>213.24973559971141</v>
      </c>
      <c r="H22">
        <f t="shared" ca="1" si="44"/>
        <v>209.58098510135937</v>
      </c>
      <c r="I22">
        <f t="shared" ca="1" si="44"/>
        <v>204.72264058282155</v>
      </c>
      <c r="J22">
        <f t="shared" ca="1" si="44"/>
        <v>203.70727952434248</v>
      </c>
      <c r="K22">
        <f t="shared" ca="1" si="44"/>
        <v>199.80808802875748</v>
      </c>
      <c r="L22">
        <f t="shared" ca="1" si="44"/>
        <v>197.54668664590471</v>
      </c>
      <c r="M22">
        <f t="shared" ca="1" si="44"/>
        <v>195.62401191350185</v>
      </c>
      <c r="N22">
        <f t="shared" ca="1" si="44"/>
        <v>197.74233048767874</v>
      </c>
      <c r="O22">
        <f t="shared" ca="1" si="44"/>
        <v>197.17488405558154</v>
      </c>
      <c r="P22">
        <f t="shared" ca="1" si="44"/>
        <v>191.85039300257111</v>
      </c>
      <c r="Q22">
        <f t="shared" ca="1" si="44"/>
        <v>190.74747065893948</v>
      </c>
      <c r="R22">
        <f t="shared" ca="1" si="44"/>
        <v>194.80296622773213</v>
      </c>
      <c r="S22">
        <f t="shared" ca="1" si="44"/>
        <v>195.31549635935781</v>
      </c>
      <c r="T22">
        <f t="shared" ca="1" si="44"/>
        <v>189.63760011687012</v>
      </c>
      <c r="U22">
        <f t="shared" ca="1" si="44"/>
        <v>186.94226050523326</v>
      </c>
      <c r="V22">
        <f t="shared" ca="1" si="44"/>
        <v>189.93241154560116</v>
      </c>
      <c r="W22">
        <f t="shared" ca="1" si="44"/>
        <v>192.4247611556342</v>
      </c>
      <c r="X22">
        <f t="shared" ca="1" si="44"/>
        <v>200.8297623487918</v>
      </c>
      <c r="Y22">
        <f t="shared" ca="1" si="44"/>
        <v>199.9099901400823</v>
      </c>
      <c r="Z22">
        <f t="shared" ca="1" si="44"/>
        <v>197.67283277028454</v>
      </c>
      <c r="AA22">
        <f t="shared" ca="1" si="44"/>
        <v>194.62360890130358</v>
      </c>
      <c r="AB22">
        <f t="shared" ca="1" si="44"/>
        <v>188.11964555179279</v>
      </c>
      <c r="AC22">
        <f t="shared" ca="1" si="44"/>
        <v>190.79783327568472</v>
      </c>
      <c r="AD22">
        <f t="shared" ca="1" si="44"/>
        <v>195.78521598220212</v>
      </c>
      <c r="AE22">
        <f t="shared" ca="1" si="44"/>
        <v>194.21134104817995</v>
      </c>
      <c r="AF22">
        <f t="shared" ca="1" si="44"/>
        <v>193.87824335368336</v>
      </c>
      <c r="AG22">
        <f t="shared" ca="1" si="44"/>
        <v>198.02955319878714</v>
      </c>
      <c r="AH22">
        <f t="shared" ca="1" si="44"/>
        <v>198.67920260694626</v>
      </c>
      <c r="AI22">
        <f t="shared" ca="1" si="44"/>
        <v>202.15029682235934</v>
      </c>
      <c r="AJ22">
        <f t="shared" ca="1" si="44"/>
        <v>200.80123133523793</v>
      </c>
      <c r="AK22">
        <f t="shared" ca="1" si="44"/>
        <v>200.81054876793183</v>
      </c>
      <c r="AL22">
        <f t="shared" ca="1" si="44"/>
        <v>206.50899731030307</v>
      </c>
      <c r="AM22">
        <f t="shared" ca="1" si="44"/>
        <v>208.35710690915573</v>
      </c>
      <c r="AN22">
        <f t="shared" ca="1" si="44"/>
        <v>213.71015643892963</v>
      </c>
      <c r="AO22">
        <f t="shared" ca="1" si="44"/>
        <v>217.28916473241546</v>
      </c>
      <c r="AP22">
        <f t="shared" ca="1" si="44"/>
        <v>218.09315889522188</v>
      </c>
      <c r="AQ22">
        <f t="shared" ca="1" si="44"/>
        <v>210.01894336062304</v>
      </c>
      <c r="AR22">
        <f t="shared" ca="1" si="44"/>
        <v>204.57266613451824</v>
      </c>
      <c r="AS22">
        <f t="shared" ca="1" si="44"/>
        <v>197.52934468058862</v>
      </c>
      <c r="AT22">
        <f t="shared" ca="1" si="44"/>
        <v>200.781855552975</v>
      </c>
      <c r="AU22">
        <f t="shared" ca="1" si="44"/>
        <v>201.80184395632065</v>
      </c>
      <c r="AV22">
        <f t="shared" ca="1" si="44"/>
        <v>196.36056026894943</v>
      </c>
      <c r="AW22">
        <f t="shared" ca="1" si="44"/>
        <v>194.58352240980005</v>
      </c>
      <c r="AX22">
        <f t="shared" ca="1" si="44"/>
        <v>197.3609371178521</v>
      </c>
      <c r="AY22">
        <f t="shared" ca="1" si="44"/>
        <v>191.9902861359956</v>
      </c>
      <c r="AZ22">
        <f t="shared" ca="1" si="44"/>
        <v>189.36508381369796</v>
      </c>
      <c r="BA22">
        <f t="shared" ca="1" si="44"/>
        <v>188.01859954153079</v>
      </c>
      <c r="BB22">
        <f t="shared" ca="1" si="44"/>
        <v>183.30930938574076</v>
      </c>
      <c r="BC22">
        <f t="shared" ca="1" si="44"/>
        <v>192.20815386950045</v>
      </c>
      <c r="BD22">
        <f t="shared" ca="1" si="44"/>
        <v>190.86596442089404</v>
      </c>
      <c r="BE22">
        <f t="shared" ca="1" si="44"/>
        <v>196.85587627287646</v>
      </c>
      <c r="BF22">
        <f t="shared" ca="1" si="44"/>
        <v>198.30786487006563</v>
      </c>
      <c r="BG22">
        <f t="shared" ca="1" si="44"/>
        <v>198.8151059025499</v>
      </c>
      <c r="BH22">
        <f t="shared" ca="1" si="44"/>
        <v>193.61636309287016</v>
      </c>
      <c r="BI22">
        <f t="shared" ca="1" si="44"/>
        <v>192.22232583210706</v>
      </c>
      <c r="BJ22">
        <f t="shared" ca="1" si="44"/>
        <v>187.57587015562805</v>
      </c>
      <c r="BK22">
        <f t="shared" ca="1" si="44"/>
        <v>181.54465556884122</v>
      </c>
      <c r="BL22">
        <f t="shared" ca="1" si="44"/>
        <v>181.62966476779351</v>
      </c>
      <c r="BM22">
        <f t="shared" ca="1" si="44"/>
        <v>176.07575815726341</v>
      </c>
      <c r="BN22">
        <f t="shared" ca="1" si="44"/>
        <v>177.69799192944001</v>
      </c>
      <c r="BO22">
        <f t="shared" ca="1" si="44"/>
        <v>174.38648009716124</v>
      </c>
      <c r="BP22">
        <f t="shared" ca="1" si="44"/>
        <v>171.44898551656024</v>
      </c>
      <c r="BQ22">
        <f t="shared" ca="1" si="44"/>
        <v>170.11833189381684</v>
      </c>
      <c r="BR22">
        <f t="shared" ref="BR22:CU22" ca="1" si="45">BQ22*(1+$B$2*$B$4+$B$3*SQRT($B$4)*_xlfn.NORM.S.INV(RAND()))</f>
        <v>173.43902006835575</v>
      </c>
      <c r="BS22">
        <f t="shared" ca="1" si="45"/>
        <v>168.32261265586826</v>
      </c>
      <c r="BT22">
        <f t="shared" ca="1" si="45"/>
        <v>164.75837725838781</v>
      </c>
      <c r="BU22">
        <f t="shared" ca="1" si="45"/>
        <v>167.28044412298874</v>
      </c>
      <c r="BV22">
        <f t="shared" ca="1" si="45"/>
        <v>164.6004427623659</v>
      </c>
      <c r="BW22">
        <f t="shared" ca="1" si="45"/>
        <v>162.66282417733899</v>
      </c>
      <c r="BX22">
        <f t="shared" ca="1" si="45"/>
        <v>162.84262996132688</v>
      </c>
      <c r="BY22">
        <f t="shared" ca="1" si="45"/>
        <v>167.11009778323032</v>
      </c>
      <c r="BZ22">
        <f t="shared" ca="1" si="45"/>
        <v>171.35075212028912</v>
      </c>
      <c r="CA22">
        <f t="shared" ca="1" si="45"/>
        <v>163.88697640174584</v>
      </c>
      <c r="CB22">
        <f t="shared" ca="1" si="45"/>
        <v>162.47887473978588</v>
      </c>
      <c r="CC22">
        <f t="shared" ca="1" si="45"/>
        <v>169.28454819292151</v>
      </c>
      <c r="CD22">
        <f t="shared" ca="1" si="45"/>
        <v>165.28933840045292</v>
      </c>
      <c r="CE22">
        <f t="shared" ca="1" si="45"/>
        <v>161.65298342270856</v>
      </c>
      <c r="CF22">
        <f t="shared" ca="1" si="45"/>
        <v>161.34743314563792</v>
      </c>
      <c r="CG22">
        <f t="shared" ca="1" si="45"/>
        <v>163.95388777277299</v>
      </c>
      <c r="CH22">
        <f t="shared" ca="1" si="45"/>
        <v>166.79084385668128</v>
      </c>
      <c r="CI22">
        <f t="shared" ca="1" si="45"/>
        <v>162.44983749889099</v>
      </c>
      <c r="CJ22">
        <f t="shared" ca="1" si="45"/>
        <v>162.50557217414007</v>
      </c>
      <c r="CK22">
        <f t="shared" ca="1" si="45"/>
        <v>165.61259315615609</v>
      </c>
      <c r="CL22">
        <f t="shared" ca="1" si="45"/>
        <v>167.33719875828254</v>
      </c>
      <c r="CM22">
        <f t="shared" ca="1" si="45"/>
        <v>173.1826280197449</v>
      </c>
      <c r="CN22">
        <f t="shared" ca="1" si="45"/>
        <v>173.08855165516184</v>
      </c>
      <c r="CO22">
        <f t="shared" ca="1" si="45"/>
        <v>182.12004886056997</v>
      </c>
      <c r="CP22">
        <f t="shared" ca="1" si="45"/>
        <v>175.36078543412975</v>
      </c>
      <c r="CQ22">
        <f t="shared" ca="1" si="45"/>
        <v>172.01485742143547</v>
      </c>
      <c r="CR22">
        <f t="shared" ca="1" si="45"/>
        <v>179.4863289303652</v>
      </c>
      <c r="CS22">
        <f t="shared" ca="1" si="45"/>
        <v>181.93005553216571</v>
      </c>
      <c r="CT22">
        <f t="shared" ca="1" si="45"/>
        <v>183.32304453926363</v>
      </c>
      <c r="CU22">
        <f t="shared" ca="1" si="45"/>
        <v>186.67362533983376</v>
      </c>
      <c r="CV22">
        <f t="shared" ca="1" si="4"/>
        <v>0</v>
      </c>
      <c r="CW22">
        <f t="shared" ca="1" si="7"/>
        <v>0</v>
      </c>
    </row>
    <row r="23" spans="5:101" x14ac:dyDescent="0.2">
      <c r="E23">
        <v>222.13</v>
      </c>
      <c r="F23">
        <f t="shared" ref="F23:BQ23" ca="1" si="46">E23*(1+$B$2*$B$4+$B$3*SQRT($B$4)*_xlfn.NORM.S.INV(RAND()))</f>
        <v>223.83885203891364</v>
      </c>
      <c r="G23">
        <f t="shared" ca="1" si="46"/>
        <v>219.57685209703192</v>
      </c>
      <c r="H23">
        <f t="shared" ca="1" si="46"/>
        <v>213.63907943423095</v>
      </c>
      <c r="I23">
        <f t="shared" ca="1" si="46"/>
        <v>213.22053813576429</v>
      </c>
      <c r="J23">
        <f t="shared" ca="1" si="46"/>
        <v>208.89740211938917</v>
      </c>
      <c r="K23">
        <f t="shared" ca="1" si="46"/>
        <v>209.30631664626642</v>
      </c>
      <c r="L23">
        <f t="shared" ca="1" si="46"/>
        <v>214.41904826836392</v>
      </c>
      <c r="M23">
        <f t="shared" ca="1" si="46"/>
        <v>218.08808302960929</v>
      </c>
      <c r="N23">
        <f t="shared" ca="1" si="46"/>
        <v>217.85071437332584</v>
      </c>
      <c r="O23">
        <f t="shared" ca="1" si="46"/>
        <v>213.23317443009245</v>
      </c>
      <c r="P23">
        <f t="shared" ca="1" si="46"/>
        <v>213.25112742539943</v>
      </c>
      <c r="Q23">
        <f t="shared" ca="1" si="46"/>
        <v>205.56819885471896</v>
      </c>
      <c r="R23">
        <f t="shared" ca="1" si="46"/>
        <v>202.4368856237148</v>
      </c>
      <c r="S23">
        <f t="shared" ca="1" si="46"/>
        <v>206.93212732936493</v>
      </c>
      <c r="T23">
        <f t="shared" ca="1" si="46"/>
        <v>202.86323367997616</v>
      </c>
      <c r="U23">
        <f t="shared" ca="1" si="46"/>
        <v>204.03802388629757</v>
      </c>
      <c r="V23">
        <f t="shared" ca="1" si="46"/>
        <v>200.52675901638582</v>
      </c>
      <c r="W23">
        <f t="shared" ca="1" si="46"/>
        <v>202.04390301189281</v>
      </c>
      <c r="X23">
        <f t="shared" ca="1" si="46"/>
        <v>212.58556093787021</v>
      </c>
      <c r="Y23">
        <f t="shared" ca="1" si="46"/>
        <v>213.64073355005672</v>
      </c>
      <c r="Z23">
        <f t="shared" ca="1" si="46"/>
        <v>204.08390590186104</v>
      </c>
      <c r="AA23">
        <f t="shared" ca="1" si="46"/>
        <v>199.14704954133867</v>
      </c>
      <c r="AB23">
        <f t="shared" ca="1" si="46"/>
        <v>202.97849089055114</v>
      </c>
      <c r="AC23">
        <f t="shared" ca="1" si="46"/>
        <v>202.78865961585916</v>
      </c>
      <c r="AD23">
        <f t="shared" ca="1" si="46"/>
        <v>194.88071421218808</v>
      </c>
      <c r="AE23">
        <f t="shared" ca="1" si="46"/>
        <v>197.69263672811692</v>
      </c>
      <c r="AF23">
        <f t="shared" ca="1" si="46"/>
        <v>190.67142817109652</v>
      </c>
      <c r="AG23">
        <f t="shared" ca="1" si="46"/>
        <v>189.82123901228255</v>
      </c>
      <c r="AH23">
        <f t="shared" ca="1" si="46"/>
        <v>186.12787042627394</v>
      </c>
      <c r="AI23">
        <f t="shared" ca="1" si="46"/>
        <v>191.57190000124714</v>
      </c>
      <c r="AJ23">
        <f t="shared" ca="1" si="46"/>
        <v>188.33559666734149</v>
      </c>
      <c r="AK23">
        <f t="shared" ca="1" si="46"/>
        <v>184.61664414275535</v>
      </c>
      <c r="AL23">
        <f t="shared" ca="1" si="46"/>
        <v>187.59182698630985</v>
      </c>
      <c r="AM23">
        <f t="shared" ca="1" si="46"/>
        <v>184.29268187592533</v>
      </c>
      <c r="AN23">
        <f t="shared" ca="1" si="46"/>
        <v>182.34410890748541</v>
      </c>
      <c r="AO23">
        <f t="shared" ca="1" si="46"/>
        <v>182.83566296459708</v>
      </c>
      <c r="AP23">
        <f t="shared" ca="1" si="46"/>
        <v>179.2878605798586</v>
      </c>
      <c r="AQ23">
        <f t="shared" ca="1" si="46"/>
        <v>178.96602988923175</v>
      </c>
      <c r="AR23">
        <f t="shared" ca="1" si="46"/>
        <v>184.12875411246094</v>
      </c>
      <c r="AS23">
        <f t="shared" ca="1" si="46"/>
        <v>183.44046272683164</v>
      </c>
      <c r="AT23">
        <f t="shared" ca="1" si="46"/>
        <v>186.74045001873947</v>
      </c>
      <c r="AU23">
        <f t="shared" ca="1" si="46"/>
        <v>193.42606464342686</v>
      </c>
      <c r="AV23">
        <f t="shared" ca="1" si="46"/>
        <v>195.26352248395835</v>
      </c>
      <c r="AW23">
        <f t="shared" ca="1" si="46"/>
        <v>192.06361920286625</v>
      </c>
      <c r="AX23">
        <f t="shared" ca="1" si="46"/>
        <v>194.55193335640044</v>
      </c>
      <c r="AY23">
        <f t="shared" ca="1" si="46"/>
        <v>192.94854779927729</v>
      </c>
      <c r="AZ23">
        <f t="shared" ca="1" si="46"/>
        <v>200.50101575329586</v>
      </c>
      <c r="BA23">
        <f t="shared" ca="1" si="46"/>
        <v>193.89545610061461</v>
      </c>
      <c r="BB23">
        <f t="shared" ca="1" si="46"/>
        <v>198.50517084102361</v>
      </c>
      <c r="BC23">
        <f t="shared" ca="1" si="46"/>
        <v>198.92443514210797</v>
      </c>
      <c r="BD23">
        <f t="shared" ca="1" si="46"/>
        <v>194.89435187696577</v>
      </c>
      <c r="BE23">
        <f t="shared" ca="1" si="46"/>
        <v>198.23169411111004</v>
      </c>
      <c r="BF23">
        <f t="shared" ca="1" si="46"/>
        <v>205.51823795268714</v>
      </c>
      <c r="BG23">
        <f t="shared" ca="1" si="46"/>
        <v>199.54942910082795</v>
      </c>
      <c r="BH23">
        <f t="shared" ca="1" si="46"/>
        <v>201.6361609478713</v>
      </c>
      <c r="BI23">
        <f t="shared" ca="1" si="46"/>
        <v>200.31818845054715</v>
      </c>
      <c r="BJ23">
        <f t="shared" ca="1" si="46"/>
        <v>196.82152152684773</v>
      </c>
      <c r="BK23">
        <f t="shared" ca="1" si="46"/>
        <v>190.8395646050636</v>
      </c>
      <c r="BL23">
        <f t="shared" ca="1" si="46"/>
        <v>195.90696193727311</v>
      </c>
      <c r="BM23">
        <f t="shared" ca="1" si="46"/>
        <v>200.49126216787033</v>
      </c>
      <c r="BN23">
        <f t="shared" ca="1" si="46"/>
        <v>201.97553868275992</v>
      </c>
      <c r="BO23">
        <f t="shared" ca="1" si="46"/>
        <v>199.32927155412821</v>
      </c>
      <c r="BP23">
        <f t="shared" ca="1" si="46"/>
        <v>208.06074772834143</v>
      </c>
      <c r="BQ23">
        <f t="shared" ca="1" si="46"/>
        <v>209.66519248286568</v>
      </c>
      <c r="BR23">
        <f t="shared" ref="BR23:CU23" ca="1" si="47">BQ23*(1+$B$2*$B$4+$B$3*SQRT($B$4)*_xlfn.NORM.S.INV(RAND()))</f>
        <v>206.13986354906336</v>
      </c>
      <c r="BS23">
        <f t="shared" ca="1" si="47"/>
        <v>216.92662410766496</v>
      </c>
      <c r="BT23">
        <f t="shared" ca="1" si="47"/>
        <v>215.65764490178751</v>
      </c>
      <c r="BU23">
        <f t="shared" ca="1" si="47"/>
        <v>217.50392625123501</v>
      </c>
      <c r="BV23">
        <f t="shared" ca="1" si="47"/>
        <v>218.4109504039165</v>
      </c>
      <c r="BW23">
        <f t="shared" ca="1" si="47"/>
        <v>221.80736191072251</v>
      </c>
      <c r="BX23">
        <f t="shared" ca="1" si="47"/>
        <v>221.43422686824675</v>
      </c>
      <c r="BY23">
        <f t="shared" ca="1" si="47"/>
        <v>228.96412785736263</v>
      </c>
      <c r="BZ23">
        <f t="shared" ca="1" si="47"/>
        <v>225.08471635304957</v>
      </c>
      <c r="CA23">
        <f t="shared" ca="1" si="47"/>
        <v>218.1695802307124</v>
      </c>
      <c r="CB23">
        <f t="shared" ca="1" si="47"/>
        <v>220.20329482813855</v>
      </c>
      <c r="CC23">
        <f t="shared" ca="1" si="47"/>
        <v>225.48053221758698</v>
      </c>
      <c r="CD23">
        <f t="shared" ca="1" si="47"/>
        <v>226.08126231658352</v>
      </c>
      <c r="CE23">
        <f t="shared" ca="1" si="47"/>
        <v>226.49192170800856</v>
      </c>
      <c r="CF23">
        <f t="shared" ca="1" si="47"/>
        <v>232.66850215642611</v>
      </c>
      <c r="CG23">
        <f t="shared" ca="1" si="47"/>
        <v>243.20649064085393</v>
      </c>
      <c r="CH23">
        <f t="shared" ca="1" si="47"/>
        <v>241.29911828239383</v>
      </c>
      <c r="CI23">
        <f t="shared" ca="1" si="47"/>
        <v>241.33351123596219</v>
      </c>
      <c r="CJ23">
        <f t="shared" ca="1" si="47"/>
        <v>248.03750427302768</v>
      </c>
      <c r="CK23">
        <f t="shared" ca="1" si="47"/>
        <v>253.77043344532589</v>
      </c>
      <c r="CL23">
        <f t="shared" ca="1" si="47"/>
        <v>256.80873819516495</v>
      </c>
      <c r="CM23">
        <f t="shared" ca="1" si="47"/>
        <v>256.28032771203289</v>
      </c>
      <c r="CN23">
        <f t="shared" ca="1" si="47"/>
        <v>257.82029922014982</v>
      </c>
      <c r="CO23">
        <f t="shared" ca="1" si="47"/>
        <v>266.23664376487721</v>
      </c>
      <c r="CP23">
        <f t="shared" ca="1" si="47"/>
        <v>257.29599203854474</v>
      </c>
      <c r="CQ23">
        <f t="shared" ca="1" si="47"/>
        <v>261.45399011983142</v>
      </c>
      <c r="CR23">
        <f t="shared" ca="1" si="47"/>
        <v>261.51885705419431</v>
      </c>
      <c r="CS23">
        <f t="shared" ca="1" si="47"/>
        <v>272.49230000099692</v>
      </c>
      <c r="CT23">
        <f t="shared" ca="1" si="47"/>
        <v>271.05447414294508</v>
      </c>
      <c r="CU23">
        <f t="shared" ca="1" si="47"/>
        <v>259.69628416367192</v>
      </c>
      <c r="CV23">
        <f t="shared" ca="1" si="4"/>
        <v>39.696284163671919</v>
      </c>
      <c r="CW23">
        <f t="shared" ca="1" si="7"/>
        <v>38.16644641419385</v>
      </c>
    </row>
    <row r="24" spans="5:101" x14ac:dyDescent="0.2">
      <c r="E24">
        <v>222.13</v>
      </c>
      <c r="F24">
        <f t="shared" ref="F24:BQ24" ca="1" si="48">E24*(1+$B$2*$B$4+$B$3*SQRT($B$4)*_xlfn.NORM.S.INV(RAND()))</f>
        <v>216.08260049754537</v>
      </c>
      <c r="G24">
        <f t="shared" ca="1" si="48"/>
        <v>220.8022406995812</v>
      </c>
      <c r="H24">
        <f t="shared" ca="1" si="48"/>
        <v>214.21573512435862</v>
      </c>
      <c r="I24">
        <f t="shared" ca="1" si="48"/>
        <v>210.30192523602847</v>
      </c>
      <c r="J24">
        <f t="shared" ca="1" si="48"/>
        <v>214.32459071143717</v>
      </c>
      <c r="K24">
        <f t="shared" ca="1" si="48"/>
        <v>214.55811641760346</v>
      </c>
      <c r="L24">
        <f t="shared" ca="1" si="48"/>
        <v>209.82297161599038</v>
      </c>
      <c r="M24">
        <f t="shared" ca="1" si="48"/>
        <v>204.34989780827283</v>
      </c>
      <c r="N24">
        <f t="shared" ca="1" si="48"/>
        <v>210.18635011388665</v>
      </c>
      <c r="O24">
        <f t="shared" ca="1" si="48"/>
        <v>205.02228117849978</v>
      </c>
      <c r="P24">
        <f t="shared" ca="1" si="48"/>
        <v>209.08636463214523</v>
      </c>
      <c r="Q24">
        <f t="shared" ca="1" si="48"/>
        <v>218.6927752235267</v>
      </c>
      <c r="R24">
        <f t="shared" ca="1" si="48"/>
        <v>207.43789018048216</v>
      </c>
      <c r="S24">
        <f t="shared" ca="1" si="48"/>
        <v>204.31421933123875</v>
      </c>
      <c r="T24">
        <f t="shared" ca="1" si="48"/>
        <v>196.22168143957879</v>
      </c>
      <c r="U24">
        <f t="shared" ca="1" si="48"/>
        <v>200.26932395611087</v>
      </c>
      <c r="V24">
        <f t="shared" ca="1" si="48"/>
        <v>197.81251778241153</v>
      </c>
      <c r="W24">
        <f t="shared" ca="1" si="48"/>
        <v>194.8727712145579</v>
      </c>
      <c r="X24">
        <f t="shared" ca="1" si="48"/>
        <v>187.14645296953694</v>
      </c>
      <c r="Y24">
        <f t="shared" ca="1" si="48"/>
        <v>190.74463886182909</v>
      </c>
      <c r="Z24">
        <f t="shared" ca="1" si="48"/>
        <v>188.94268207513349</v>
      </c>
      <c r="AA24">
        <f t="shared" ca="1" si="48"/>
        <v>193.24188118311204</v>
      </c>
      <c r="AB24">
        <f t="shared" ca="1" si="48"/>
        <v>192.84289994190954</v>
      </c>
      <c r="AC24">
        <f t="shared" ca="1" si="48"/>
        <v>194.78402361961028</v>
      </c>
      <c r="AD24">
        <f t="shared" ca="1" si="48"/>
        <v>189.76554911690769</v>
      </c>
      <c r="AE24">
        <f t="shared" ca="1" si="48"/>
        <v>185.69232013999803</v>
      </c>
      <c r="AF24">
        <f t="shared" ca="1" si="48"/>
        <v>185.92244314894563</v>
      </c>
      <c r="AG24">
        <f t="shared" ca="1" si="48"/>
        <v>186.70437943081228</v>
      </c>
      <c r="AH24">
        <f t="shared" ca="1" si="48"/>
        <v>185.76400455244905</v>
      </c>
      <c r="AI24">
        <f t="shared" ca="1" si="48"/>
        <v>182.05039763699529</v>
      </c>
      <c r="AJ24">
        <f t="shared" ca="1" si="48"/>
        <v>176.4254912163845</v>
      </c>
      <c r="AK24">
        <f t="shared" ca="1" si="48"/>
        <v>172.80934906139495</v>
      </c>
      <c r="AL24">
        <f t="shared" ca="1" si="48"/>
        <v>177.57681525357629</v>
      </c>
      <c r="AM24">
        <f t="shared" ca="1" si="48"/>
        <v>169.59802333364479</v>
      </c>
      <c r="AN24">
        <f t="shared" ca="1" si="48"/>
        <v>175.87918307880744</v>
      </c>
      <c r="AO24">
        <f t="shared" ca="1" si="48"/>
        <v>184.75322273069457</v>
      </c>
      <c r="AP24">
        <f t="shared" ca="1" si="48"/>
        <v>186.77138956378468</v>
      </c>
      <c r="AQ24">
        <f t="shared" ca="1" si="48"/>
        <v>187.61386731830191</v>
      </c>
      <c r="AR24">
        <f t="shared" ca="1" si="48"/>
        <v>185.04682188175698</v>
      </c>
      <c r="AS24">
        <f t="shared" ca="1" si="48"/>
        <v>182.31705052873133</v>
      </c>
      <c r="AT24">
        <f t="shared" ca="1" si="48"/>
        <v>182.89277273223351</v>
      </c>
      <c r="AU24">
        <f t="shared" ca="1" si="48"/>
        <v>172.77870002274028</v>
      </c>
      <c r="AV24">
        <f t="shared" ca="1" si="48"/>
        <v>169.11197779332051</v>
      </c>
      <c r="AW24">
        <f t="shared" ca="1" si="48"/>
        <v>171.98153123023459</v>
      </c>
      <c r="AX24">
        <f t="shared" ca="1" si="48"/>
        <v>171.25271550367609</v>
      </c>
      <c r="AY24">
        <f t="shared" ca="1" si="48"/>
        <v>170.77568476152544</v>
      </c>
      <c r="AZ24">
        <f t="shared" ca="1" si="48"/>
        <v>168.57461088065401</v>
      </c>
      <c r="BA24">
        <f t="shared" ca="1" si="48"/>
        <v>169.68602433763525</v>
      </c>
      <c r="BB24">
        <f t="shared" ca="1" si="48"/>
        <v>162.35268308552452</v>
      </c>
      <c r="BC24">
        <f t="shared" ca="1" si="48"/>
        <v>161.86258397041692</v>
      </c>
      <c r="BD24">
        <f t="shared" ca="1" si="48"/>
        <v>157.33499775226119</v>
      </c>
      <c r="BE24">
        <f t="shared" ca="1" si="48"/>
        <v>161.35189301164036</v>
      </c>
      <c r="BF24">
        <f t="shared" ca="1" si="48"/>
        <v>160.78842665230673</v>
      </c>
      <c r="BG24">
        <f t="shared" ca="1" si="48"/>
        <v>158.31122285416615</v>
      </c>
      <c r="BH24">
        <f t="shared" ca="1" si="48"/>
        <v>156.3984597958997</v>
      </c>
      <c r="BI24">
        <f t="shared" ca="1" si="48"/>
        <v>156.43999760649007</v>
      </c>
      <c r="BJ24">
        <f t="shared" ca="1" si="48"/>
        <v>154.06069221151586</v>
      </c>
      <c r="BK24">
        <f t="shared" ca="1" si="48"/>
        <v>155.9647588483374</v>
      </c>
      <c r="BL24">
        <f t="shared" ca="1" si="48"/>
        <v>156.47808869539782</v>
      </c>
      <c r="BM24">
        <f t="shared" ca="1" si="48"/>
        <v>156.38140024385444</v>
      </c>
      <c r="BN24">
        <f t="shared" ca="1" si="48"/>
        <v>153.23032414130731</v>
      </c>
      <c r="BO24">
        <f t="shared" ca="1" si="48"/>
        <v>153.76777173903548</v>
      </c>
      <c r="BP24">
        <f t="shared" ca="1" si="48"/>
        <v>153.17467822674072</v>
      </c>
      <c r="BQ24">
        <f t="shared" ca="1" si="48"/>
        <v>155.38820336624619</v>
      </c>
      <c r="BR24">
        <f t="shared" ref="BR24:CU24" ca="1" si="49">BQ24*(1+$B$2*$B$4+$B$3*SQRT($B$4)*_xlfn.NORM.S.INV(RAND()))</f>
        <v>159.01719470915828</v>
      </c>
      <c r="BS24">
        <f t="shared" ca="1" si="49"/>
        <v>169.05942949201133</v>
      </c>
      <c r="BT24">
        <f t="shared" ca="1" si="49"/>
        <v>174.36112390993028</v>
      </c>
      <c r="BU24">
        <f t="shared" ca="1" si="49"/>
        <v>174.03469085744891</v>
      </c>
      <c r="BV24">
        <f t="shared" ca="1" si="49"/>
        <v>177.21585569848727</v>
      </c>
      <c r="BW24">
        <f t="shared" ca="1" si="49"/>
        <v>177.6292758299731</v>
      </c>
      <c r="BX24">
        <f t="shared" ca="1" si="49"/>
        <v>180.58231536367367</v>
      </c>
      <c r="BY24">
        <f t="shared" ca="1" si="49"/>
        <v>182.0936685604203</v>
      </c>
      <c r="BZ24">
        <f t="shared" ca="1" si="49"/>
        <v>182.54814782025838</v>
      </c>
      <c r="CA24">
        <f t="shared" ca="1" si="49"/>
        <v>173.38415654064389</v>
      </c>
      <c r="CB24">
        <f t="shared" ca="1" si="49"/>
        <v>174.6528187382053</v>
      </c>
      <c r="CC24">
        <f t="shared" ca="1" si="49"/>
        <v>170.7528775903171</v>
      </c>
      <c r="CD24">
        <f t="shared" ca="1" si="49"/>
        <v>166.67488600783696</v>
      </c>
      <c r="CE24">
        <f t="shared" ca="1" si="49"/>
        <v>170.24703400508807</v>
      </c>
      <c r="CF24">
        <f t="shared" ca="1" si="49"/>
        <v>170.85398182248994</v>
      </c>
      <c r="CG24">
        <f t="shared" ca="1" si="49"/>
        <v>164.30179765077776</v>
      </c>
      <c r="CH24">
        <f t="shared" ca="1" si="49"/>
        <v>166.70881943508488</v>
      </c>
      <c r="CI24">
        <f t="shared" ca="1" si="49"/>
        <v>168.76858373390493</v>
      </c>
      <c r="CJ24">
        <f t="shared" ca="1" si="49"/>
        <v>170.04968960079358</v>
      </c>
      <c r="CK24">
        <f t="shared" ca="1" si="49"/>
        <v>168.27060063551326</v>
      </c>
      <c r="CL24">
        <f t="shared" ca="1" si="49"/>
        <v>174.84049667617523</v>
      </c>
      <c r="CM24">
        <f t="shared" ca="1" si="49"/>
        <v>170.16286568927447</v>
      </c>
      <c r="CN24">
        <f t="shared" ca="1" si="49"/>
        <v>169.45260026825139</v>
      </c>
      <c r="CO24">
        <f t="shared" ca="1" si="49"/>
        <v>172.6654091623958</v>
      </c>
      <c r="CP24">
        <f t="shared" ca="1" si="49"/>
        <v>170.17381492484171</v>
      </c>
      <c r="CQ24">
        <f t="shared" ca="1" si="49"/>
        <v>176.09993736543473</v>
      </c>
      <c r="CR24">
        <f t="shared" ca="1" si="49"/>
        <v>177.13158026348691</v>
      </c>
      <c r="CS24">
        <f t="shared" ca="1" si="49"/>
        <v>172.91173655273249</v>
      </c>
      <c r="CT24">
        <f t="shared" ca="1" si="49"/>
        <v>173.21377101816046</v>
      </c>
      <c r="CU24">
        <f t="shared" ca="1" si="49"/>
        <v>175.81072950763229</v>
      </c>
      <c r="CV24">
        <f t="shared" ca="1" si="4"/>
        <v>0</v>
      </c>
      <c r="CW24">
        <f t="shared" ca="1" si="7"/>
        <v>0</v>
      </c>
    </row>
    <row r="25" spans="5:101" x14ac:dyDescent="0.2">
      <c r="E25">
        <v>222.13</v>
      </c>
      <c r="F25">
        <f t="shared" ref="F25:BQ25" ca="1" si="50">E25*(1+$B$2*$B$4+$B$3*SQRT($B$4)*_xlfn.NORM.S.INV(RAND()))</f>
        <v>225.49194973906927</v>
      </c>
      <c r="G25">
        <f t="shared" ca="1" si="50"/>
        <v>221.40262464707939</v>
      </c>
      <c r="H25">
        <f t="shared" ca="1" si="50"/>
        <v>220.15010325306594</v>
      </c>
      <c r="I25">
        <f t="shared" ca="1" si="50"/>
        <v>222.35677472941467</v>
      </c>
      <c r="J25">
        <f t="shared" ca="1" si="50"/>
        <v>226.9259488925085</v>
      </c>
      <c r="K25">
        <f t="shared" ca="1" si="50"/>
        <v>231.88634851428378</v>
      </c>
      <c r="L25">
        <f t="shared" ca="1" si="50"/>
        <v>236.67497185571662</v>
      </c>
      <c r="M25">
        <f t="shared" ca="1" si="50"/>
        <v>241.1990944730139</v>
      </c>
      <c r="N25">
        <f t="shared" ca="1" si="50"/>
        <v>249.49264610955808</v>
      </c>
      <c r="O25">
        <f t="shared" ca="1" si="50"/>
        <v>243.790083958926</v>
      </c>
      <c r="P25">
        <f t="shared" ca="1" si="50"/>
        <v>246.00705492549039</v>
      </c>
      <c r="Q25">
        <f t="shared" ca="1" si="50"/>
        <v>240.51708133495313</v>
      </c>
      <c r="R25">
        <f t="shared" ca="1" si="50"/>
        <v>238.03497768532765</v>
      </c>
      <c r="S25">
        <f t="shared" ca="1" si="50"/>
        <v>238.84585457056826</v>
      </c>
      <c r="T25">
        <f t="shared" ca="1" si="50"/>
        <v>244.71760956658559</v>
      </c>
      <c r="U25">
        <f t="shared" ca="1" si="50"/>
        <v>236.86077280267631</v>
      </c>
      <c r="V25">
        <f t="shared" ca="1" si="50"/>
        <v>237.12598181573676</v>
      </c>
      <c r="W25">
        <f t="shared" ca="1" si="50"/>
        <v>235.27454174695936</v>
      </c>
      <c r="X25">
        <f t="shared" ca="1" si="50"/>
        <v>244.30848140287765</v>
      </c>
      <c r="Y25">
        <f t="shared" ca="1" si="50"/>
        <v>243.87502048741246</v>
      </c>
      <c r="Z25">
        <f t="shared" ca="1" si="50"/>
        <v>241.64193557753057</v>
      </c>
      <c r="AA25">
        <f t="shared" ca="1" si="50"/>
        <v>226.50852356315283</v>
      </c>
      <c r="AB25">
        <f t="shared" ca="1" si="50"/>
        <v>232.02879623977677</v>
      </c>
      <c r="AC25">
        <f t="shared" ca="1" si="50"/>
        <v>227.66047667930999</v>
      </c>
      <c r="AD25">
        <f t="shared" ca="1" si="50"/>
        <v>232.40690237860196</v>
      </c>
      <c r="AE25">
        <f t="shared" ca="1" si="50"/>
        <v>220.12994307053151</v>
      </c>
      <c r="AF25">
        <f t="shared" ca="1" si="50"/>
        <v>216.50486575675231</v>
      </c>
      <c r="AG25">
        <f t="shared" ca="1" si="50"/>
        <v>208.25542776602893</v>
      </c>
      <c r="AH25">
        <f t="shared" ca="1" si="50"/>
        <v>209.77257939625636</v>
      </c>
      <c r="AI25">
        <f t="shared" ca="1" si="50"/>
        <v>217.41639810060374</v>
      </c>
      <c r="AJ25">
        <f t="shared" ca="1" si="50"/>
        <v>214.75683084062857</v>
      </c>
      <c r="AK25">
        <f t="shared" ca="1" si="50"/>
        <v>224.80508681835366</v>
      </c>
      <c r="AL25">
        <f t="shared" ca="1" si="50"/>
        <v>230.91976788244475</v>
      </c>
      <c r="AM25">
        <f t="shared" ca="1" si="50"/>
        <v>233.84147951161532</v>
      </c>
      <c r="AN25">
        <f t="shared" ca="1" si="50"/>
        <v>242.87698072789735</v>
      </c>
      <c r="AO25">
        <f t="shared" ca="1" si="50"/>
        <v>237.65064401992885</v>
      </c>
      <c r="AP25">
        <f t="shared" ca="1" si="50"/>
        <v>242.31599789321868</v>
      </c>
      <c r="AQ25">
        <f t="shared" ca="1" si="50"/>
        <v>238.05038803345573</v>
      </c>
      <c r="AR25">
        <f t="shared" ca="1" si="50"/>
        <v>240.59105098325369</v>
      </c>
      <c r="AS25">
        <f t="shared" ca="1" si="50"/>
        <v>246.18725909561823</v>
      </c>
      <c r="AT25">
        <f t="shared" ca="1" si="50"/>
        <v>250.13710897190015</v>
      </c>
      <c r="AU25">
        <f t="shared" ca="1" si="50"/>
        <v>249.73009422405647</v>
      </c>
      <c r="AV25">
        <f t="shared" ca="1" si="50"/>
        <v>250.315735418168</v>
      </c>
      <c r="AW25">
        <f t="shared" ca="1" si="50"/>
        <v>246.09099150720792</v>
      </c>
      <c r="AX25">
        <f t="shared" ca="1" si="50"/>
        <v>254.51113460547492</v>
      </c>
      <c r="AY25">
        <f t="shared" ca="1" si="50"/>
        <v>250.76925529017203</v>
      </c>
      <c r="AZ25">
        <f t="shared" ca="1" si="50"/>
        <v>258.10048914385237</v>
      </c>
      <c r="BA25">
        <f t="shared" ca="1" si="50"/>
        <v>251.09229421056972</v>
      </c>
      <c r="BB25">
        <f t="shared" ca="1" si="50"/>
        <v>262.85291720695051</v>
      </c>
      <c r="BC25">
        <f t="shared" ca="1" si="50"/>
        <v>260.15606119745809</v>
      </c>
      <c r="BD25">
        <f t="shared" ca="1" si="50"/>
        <v>259.45608085100389</v>
      </c>
      <c r="BE25">
        <f t="shared" ca="1" si="50"/>
        <v>249.58710189770468</v>
      </c>
      <c r="BF25">
        <f t="shared" ca="1" si="50"/>
        <v>239.81712814426791</v>
      </c>
      <c r="BG25">
        <f t="shared" ca="1" si="50"/>
        <v>228.38806162133099</v>
      </c>
      <c r="BH25">
        <f t="shared" ca="1" si="50"/>
        <v>226.85427187245443</v>
      </c>
      <c r="BI25">
        <f t="shared" ca="1" si="50"/>
        <v>234.58085146061131</v>
      </c>
      <c r="BJ25">
        <f t="shared" ca="1" si="50"/>
        <v>242.43171865261445</v>
      </c>
      <c r="BK25">
        <f t="shared" ca="1" si="50"/>
        <v>248.43471030490559</v>
      </c>
      <c r="BL25">
        <f t="shared" ca="1" si="50"/>
        <v>230.68693569446822</v>
      </c>
      <c r="BM25">
        <f t="shared" ca="1" si="50"/>
        <v>243.21131004893243</v>
      </c>
      <c r="BN25">
        <f t="shared" ca="1" si="50"/>
        <v>248.63770763747982</v>
      </c>
      <c r="BO25">
        <f t="shared" ca="1" si="50"/>
        <v>247.82762942616839</v>
      </c>
      <c r="BP25">
        <f t="shared" ca="1" si="50"/>
        <v>252.01347987696153</v>
      </c>
      <c r="BQ25">
        <f t="shared" ca="1" si="50"/>
        <v>247.89966172982014</v>
      </c>
      <c r="BR25">
        <f t="shared" ref="BR25:CU25" ca="1" si="51">BQ25*(1+$B$2*$B$4+$B$3*SQRT($B$4)*_xlfn.NORM.S.INV(RAND()))</f>
        <v>251.65370281124441</v>
      </c>
      <c r="BS25">
        <f t="shared" ca="1" si="51"/>
        <v>245.22868720496075</v>
      </c>
      <c r="BT25">
        <f t="shared" ca="1" si="51"/>
        <v>232.48128278478782</v>
      </c>
      <c r="BU25">
        <f t="shared" ca="1" si="51"/>
        <v>230.28440845649152</v>
      </c>
      <c r="BV25">
        <f t="shared" ca="1" si="51"/>
        <v>234.84187968498574</v>
      </c>
      <c r="BW25">
        <f t="shared" ca="1" si="51"/>
        <v>239.11433123863225</v>
      </c>
      <c r="BX25">
        <f t="shared" ca="1" si="51"/>
        <v>231.29962399984785</v>
      </c>
      <c r="BY25">
        <f t="shared" ca="1" si="51"/>
        <v>224.86291030155846</v>
      </c>
      <c r="BZ25">
        <f t="shared" ca="1" si="51"/>
        <v>226.83880020860138</v>
      </c>
      <c r="CA25">
        <f t="shared" ca="1" si="51"/>
        <v>232.57835157930376</v>
      </c>
      <c r="CB25">
        <f t="shared" ca="1" si="51"/>
        <v>228.43001590327762</v>
      </c>
      <c r="CC25">
        <f t="shared" ca="1" si="51"/>
        <v>223.57824656490266</v>
      </c>
      <c r="CD25">
        <f t="shared" ca="1" si="51"/>
        <v>227.2507415031983</v>
      </c>
      <c r="CE25">
        <f t="shared" ca="1" si="51"/>
        <v>228.60833748923608</v>
      </c>
      <c r="CF25">
        <f t="shared" ca="1" si="51"/>
        <v>215.82733857655145</v>
      </c>
      <c r="CG25">
        <f t="shared" ca="1" si="51"/>
        <v>221.87550823122822</v>
      </c>
      <c r="CH25">
        <f t="shared" ca="1" si="51"/>
        <v>224.39650664991953</v>
      </c>
      <c r="CI25">
        <f t="shared" ca="1" si="51"/>
        <v>220.89090624907811</v>
      </c>
      <c r="CJ25">
        <f t="shared" ca="1" si="51"/>
        <v>224.00914282418145</v>
      </c>
      <c r="CK25">
        <f t="shared" ca="1" si="51"/>
        <v>221.4366755518046</v>
      </c>
      <c r="CL25">
        <f t="shared" ca="1" si="51"/>
        <v>216.73418962264023</v>
      </c>
      <c r="CM25">
        <f t="shared" ca="1" si="51"/>
        <v>219.78291025304662</v>
      </c>
      <c r="CN25">
        <f t="shared" ca="1" si="51"/>
        <v>221.5311184383855</v>
      </c>
      <c r="CO25">
        <f t="shared" ca="1" si="51"/>
        <v>222.94421997756066</v>
      </c>
      <c r="CP25">
        <f t="shared" ca="1" si="51"/>
        <v>229.52575065139726</v>
      </c>
      <c r="CQ25">
        <f t="shared" ca="1" si="51"/>
        <v>233.34580176919212</v>
      </c>
      <c r="CR25">
        <f t="shared" ca="1" si="51"/>
        <v>232.94733629290715</v>
      </c>
      <c r="CS25">
        <f t="shared" ca="1" si="51"/>
        <v>233.46682155654821</v>
      </c>
      <c r="CT25">
        <f t="shared" ca="1" si="51"/>
        <v>230.91685892368275</v>
      </c>
      <c r="CU25">
        <f t="shared" ca="1" si="51"/>
        <v>228.41446322171902</v>
      </c>
      <c r="CV25">
        <f t="shared" ca="1" si="4"/>
        <v>8.4144632217190178</v>
      </c>
      <c r="CW25">
        <f t="shared" ca="1" si="7"/>
        <v>8.0901819004471118</v>
      </c>
    </row>
    <row r="26" spans="5:101" x14ac:dyDescent="0.2">
      <c r="E26">
        <v>222.13</v>
      </c>
      <c r="F26">
        <f t="shared" ref="F26:BQ26" ca="1" si="52">E26*(1+$B$2*$B$4+$B$3*SQRT($B$4)*_xlfn.NORM.S.INV(RAND()))</f>
        <v>225.20991749789741</v>
      </c>
      <c r="G26">
        <f t="shared" ca="1" si="52"/>
        <v>222.24727687752085</v>
      </c>
      <c r="H26">
        <f t="shared" ca="1" si="52"/>
        <v>217.42014855398182</v>
      </c>
      <c r="I26">
        <f t="shared" ca="1" si="52"/>
        <v>212.49674359755531</v>
      </c>
      <c r="J26">
        <f t="shared" ca="1" si="52"/>
        <v>205.0920719762866</v>
      </c>
      <c r="K26">
        <f t="shared" ca="1" si="52"/>
        <v>205.08167522113115</v>
      </c>
      <c r="L26">
        <f t="shared" ca="1" si="52"/>
        <v>212.80472486528151</v>
      </c>
      <c r="M26">
        <f t="shared" ca="1" si="52"/>
        <v>207.88565826364496</v>
      </c>
      <c r="N26">
        <f t="shared" ca="1" si="52"/>
        <v>214.18269862332426</v>
      </c>
      <c r="O26">
        <f t="shared" ca="1" si="52"/>
        <v>212.54348404197216</v>
      </c>
      <c r="P26">
        <f t="shared" ca="1" si="52"/>
        <v>215.00962897002699</v>
      </c>
      <c r="Q26">
        <f t="shared" ca="1" si="52"/>
        <v>223.25535024194494</v>
      </c>
      <c r="R26">
        <f t="shared" ca="1" si="52"/>
        <v>220.33532725573443</v>
      </c>
      <c r="S26">
        <f t="shared" ca="1" si="52"/>
        <v>224.07069811123111</v>
      </c>
      <c r="T26">
        <f t="shared" ca="1" si="52"/>
        <v>226.13417850508543</v>
      </c>
      <c r="U26">
        <f t="shared" ca="1" si="52"/>
        <v>228.79039720120883</v>
      </c>
      <c r="V26">
        <f t="shared" ca="1" si="52"/>
        <v>229.49073800095834</v>
      </c>
      <c r="W26">
        <f t="shared" ca="1" si="52"/>
        <v>231.4392809113026</v>
      </c>
      <c r="X26">
        <f t="shared" ca="1" si="52"/>
        <v>234.68149014391025</v>
      </c>
      <c r="Y26">
        <f t="shared" ca="1" si="52"/>
        <v>242.96170599712312</v>
      </c>
      <c r="Z26">
        <f t="shared" ca="1" si="52"/>
        <v>232.28198084798802</v>
      </c>
      <c r="AA26">
        <f t="shared" ca="1" si="52"/>
        <v>241.78759150509453</v>
      </c>
      <c r="AB26">
        <f t="shared" ca="1" si="52"/>
        <v>241.90426412175179</v>
      </c>
      <c r="AC26">
        <f t="shared" ca="1" si="52"/>
        <v>238.39343939657627</v>
      </c>
      <c r="AD26">
        <f t="shared" ca="1" si="52"/>
        <v>236.75612994958334</v>
      </c>
      <c r="AE26">
        <f t="shared" ca="1" si="52"/>
        <v>240.6798922819539</v>
      </c>
      <c r="AF26">
        <f t="shared" ca="1" si="52"/>
        <v>229.61176462276873</v>
      </c>
      <c r="AG26">
        <f t="shared" ca="1" si="52"/>
        <v>227.39589310398506</v>
      </c>
      <c r="AH26">
        <f t="shared" ca="1" si="52"/>
        <v>225.65942339772593</v>
      </c>
      <c r="AI26">
        <f t="shared" ca="1" si="52"/>
        <v>220.87536016773194</v>
      </c>
      <c r="AJ26">
        <f t="shared" ca="1" si="52"/>
        <v>218.8939769317451</v>
      </c>
      <c r="AK26">
        <f t="shared" ca="1" si="52"/>
        <v>219.64031743683765</v>
      </c>
      <c r="AL26">
        <f t="shared" ca="1" si="52"/>
        <v>213.50303035395913</v>
      </c>
      <c r="AM26">
        <f t="shared" ca="1" si="52"/>
        <v>221.35922713678883</v>
      </c>
      <c r="AN26">
        <f t="shared" ca="1" si="52"/>
        <v>217.37716639944063</v>
      </c>
      <c r="AO26">
        <f t="shared" ca="1" si="52"/>
        <v>218.54573951312611</v>
      </c>
      <c r="AP26">
        <f t="shared" ca="1" si="52"/>
        <v>221.08468905281302</v>
      </c>
      <c r="AQ26">
        <f t="shared" ca="1" si="52"/>
        <v>221.19095102418913</v>
      </c>
      <c r="AR26">
        <f t="shared" ca="1" si="52"/>
        <v>229.83684310103123</v>
      </c>
      <c r="AS26">
        <f t="shared" ca="1" si="52"/>
        <v>225.50753480307836</v>
      </c>
      <c r="AT26">
        <f t="shared" ca="1" si="52"/>
        <v>235.02866333220254</v>
      </c>
      <c r="AU26">
        <f t="shared" ca="1" si="52"/>
        <v>228.62552322850647</v>
      </c>
      <c r="AV26">
        <f t="shared" ca="1" si="52"/>
        <v>228.02820465951172</v>
      </c>
      <c r="AW26">
        <f t="shared" ca="1" si="52"/>
        <v>229.97373950077269</v>
      </c>
      <c r="AX26">
        <f t="shared" ca="1" si="52"/>
        <v>225.3253057439567</v>
      </c>
      <c r="AY26">
        <f t="shared" ca="1" si="52"/>
        <v>223.21651429652479</v>
      </c>
      <c r="AZ26">
        <f t="shared" ca="1" si="52"/>
        <v>222.05602157149607</v>
      </c>
      <c r="BA26">
        <f t="shared" ca="1" si="52"/>
        <v>219.61713887249982</v>
      </c>
      <c r="BB26">
        <f t="shared" ca="1" si="52"/>
        <v>223.83269979140604</v>
      </c>
      <c r="BC26">
        <f t="shared" ca="1" si="52"/>
        <v>221.9894808899293</v>
      </c>
      <c r="BD26">
        <f t="shared" ca="1" si="52"/>
        <v>214.64524918967632</v>
      </c>
      <c r="BE26">
        <f t="shared" ca="1" si="52"/>
        <v>215.63577688322533</v>
      </c>
      <c r="BF26">
        <f t="shared" ca="1" si="52"/>
        <v>217.07990464691005</v>
      </c>
      <c r="BG26">
        <f t="shared" ca="1" si="52"/>
        <v>207.23207116803019</v>
      </c>
      <c r="BH26">
        <f t="shared" ca="1" si="52"/>
        <v>211.32462928855821</v>
      </c>
      <c r="BI26">
        <f t="shared" ca="1" si="52"/>
        <v>210.76127384379441</v>
      </c>
      <c r="BJ26">
        <f t="shared" ca="1" si="52"/>
        <v>217.2533568780768</v>
      </c>
      <c r="BK26">
        <f t="shared" ca="1" si="52"/>
        <v>208.55654518039458</v>
      </c>
      <c r="BL26">
        <f t="shared" ca="1" si="52"/>
        <v>210.74273038420534</v>
      </c>
      <c r="BM26">
        <f t="shared" ca="1" si="52"/>
        <v>205.57479511873223</v>
      </c>
      <c r="BN26">
        <f t="shared" ca="1" si="52"/>
        <v>197.47559967770138</v>
      </c>
      <c r="BO26">
        <f t="shared" ca="1" si="52"/>
        <v>183.28221393561228</v>
      </c>
      <c r="BP26">
        <f t="shared" ca="1" si="52"/>
        <v>186.17054816509159</v>
      </c>
      <c r="BQ26">
        <f t="shared" ca="1" si="52"/>
        <v>192.32890715113689</v>
      </c>
      <c r="BR26">
        <f t="shared" ref="BR26:CU26" ca="1" si="53">BQ26*(1+$B$2*$B$4+$B$3*SQRT($B$4)*_xlfn.NORM.S.INV(RAND()))</f>
        <v>199.17439208162864</v>
      </c>
      <c r="BS26">
        <f t="shared" ca="1" si="53"/>
        <v>198.24159384733915</v>
      </c>
      <c r="BT26">
        <f t="shared" ca="1" si="53"/>
        <v>202.67587659528405</v>
      </c>
      <c r="BU26">
        <f t="shared" ca="1" si="53"/>
        <v>189.80528765547376</v>
      </c>
      <c r="BV26">
        <f t="shared" ca="1" si="53"/>
        <v>191.1408439883061</v>
      </c>
      <c r="BW26">
        <f t="shared" ca="1" si="53"/>
        <v>184.32472356371352</v>
      </c>
      <c r="BX26">
        <f t="shared" ca="1" si="53"/>
        <v>182.46621369269664</v>
      </c>
      <c r="BY26">
        <f t="shared" ca="1" si="53"/>
        <v>181.15945466571364</v>
      </c>
      <c r="BZ26">
        <f t="shared" ca="1" si="53"/>
        <v>180.71615848683223</v>
      </c>
      <c r="CA26">
        <f t="shared" ca="1" si="53"/>
        <v>184.26326697999954</v>
      </c>
      <c r="CB26">
        <f t="shared" ca="1" si="53"/>
        <v>186.22907585834923</v>
      </c>
      <c r="CC26">
        <f t="shared" ca="1" si="53"/>
        <v>178.53027771262487</v>
      </c>
      <c r="CD26">
        <f t="shared" ca="1" si="53"/>
        <v>177.6525517496097</v>
      </c>
      <c r="CE26">
        <f t="shared" ca="1" si="53"/>
        <v>178.57349690642008</v>
      </c>
      <c r="CF26">
        <f t="shared" ca="1" si="53"/>
        <v>171.80131718057831</v>
      </c>
      <c r="CG26">
        <f t="shared" ca="1" si="53"/>
        <v>179.6243383513135</v>
      </c>
      <c r="CH26">
        <f t="shared" ca="1" si="53"/>
        <v>176.31866573819107</v>
      </c>
      <c r="CI26">
        <f t="shared" ca="1" si="53"/>
        <v>182.89033185028958</v>
      </c>
      <c r="CJ26">
        <f t="shared" ca="1" si="53"/>
        <v>186.36278465863705</v>
      </c>
      <c r="CK26">
        <f t="shared" ca="1" si="53"/>
        <v>182.71817673048096</v>
      </c>
      <c r="CL26">
        <f t="shared" ca="1" si="53"/>
        <v>176.9482613416487</v>
      </c>
      <c r="CM26">
        <f t="shared" ca="1" si="53"/>
        <v>173.70037479199632</v>
      </c>
      <c r="CN26">
        <f t="shared" ca="1" si="53"/>
        <v>165.72134820267954</v>
      </c>
      <c r="CO26">
        <f t="shared" ca="1" si="53"/>
        <v>168.07182594455819</v>
      </c>
      <c r="CP26">
        <f t="shared" ca="1" si="53"/>
        <v>171.20670024733121</v>
      </c>
      <c r="CQ26">
        <f t="shared" ca="1" si="53"/>
        <v>168.79758415149396</v>
      </c>
      <c r="CR26">
        <f t="shared" ca="1" si="53"/>
        <v>166.48168574577346</v>
      </c>
      <c r="CS26">
        <f t="shared" ca="1" si="53"/>
        <v>165.85113258203566</v>
      </c>
      <c r="CT26">
        <f t="shared" ca="1" si="53"/>
        <v>161.5272152623468</v>
      </c>
      <c r="CU26">
        <f t="shared" ca="1" si="53"/>
        <v>167.42636356504497</v>
      </c>
      <c r="CV26">
        <f t="shared" ca="1" si="4"/>
        <v>0</v>
      </c>
      <c r="CW26">
        <f t="shared" ca="1" si="7"/>
        <v>0</v>
      </c>
    </row>
    <row r="27" spans="5:101" x14ac:dyDescent="0.2">
      <c r="E27">
        <v>222.13</v>
      </c>
      <c r="F27">
        <f t="shared" ref="F27:BQ27" ca="1" si="54">E27*(1+$B$2*$B$4+$B$3*SQRT($B$4)*_xlfn.NORM.S.INV(RAND()))</f>
        <v>230.28670234677315</v>
      </c>
      <c r="G27">
        <f t="shared" ca="1" si="54"/>
        <v>228.0552531216232</v>
      </c>
      <c r="H27">
        <f t="shared" ca="1" si="54"/>
        <v>226.99449186629374</v>
      </c>
      <c r="I27">
        <f t="shared" ca="1" si="54"/>
        <v>235.28402001358597</v>
      </c>
      <c r="J27">
        <f t="shared" ca="1" si="54"/>
        <v>238.02150402321075</v>
      </c>
      <c r="K27">
        <f t="shared" ca="1" si="54"/>
        <v>240.34232006308423</v>
      </c>
      <c r="L27">
        <f t="shared" ca="1" si="54"/>
        <v>231.85620809459533</v>
      </c>
      <c r="M27">
        <f t="shared" ca="1" si="54"/>
        <v>231.64427779408675</v>
      </c>
      <c r="N27">
        <f t="shared" ca="1" si="54"/>
        <v>233.83691519668702</v>
      </c>
      <c r="O27">
        <f t="shared" ca="1" si="54"/>
        <v>239.22031477181741</v>
      </c>
      <c r="P27">
        <f t="shared" ca="1" si="54"/>
        <v>247.11623041352007</v>
      </c>
      <c r="Q27">
        <f t="shared" ca="1" si="54"/>
        <v>247.93236567256307</v>
      </c>
      <c r="R27">
        <f t="shared" ca="1" si="54"/>
        <v>253.32816139115175</v>
      </c>
      <c r="S27">
        <f t="shared" ca="1" si="54"/>
        <v>253.05252106761836</v>
      </c>
      <c r="T27">
        <f t="shared" ca="1" si="54"/>
        <v>247.31922447518849</v>
      </c>
      <c r="U27">
        <f t="shared" ca="1" si="54"/>
        <v>262.30348737360839</v>
      </c>
      <c r="V27">
        <f t="shared" ca="1" si="54"/>
        <v>249.98920714323205</v>
      </c>
      <c r="W27">
        <f t="shared" ca="1" si="54"/>
        <v>252.44559923105885</v>
      </c>
      <c r="X27">
        <f t="shared" ca="1" si="54"/>
        <v>256.14061173614533</v>
      </c>
      <c r="Y27">
        <f t="shared" ca="1" si="54"/>
        <v>248.5719890546666</v>
      </c>
      <c r="Z27">
        <f t="shared" ca="1" si="54"/>
        <v>259.44641310541493</v>
      </c>
      <c r="AA27">
        <f t="shared" ca="1" si="54"/>
        <v>248.66460657810362</v>
      </c>
      <c r="AB27">
        <f t="shared" ca="1" si="54"/>
        <v>234.54215848743934</v>
      </c>
      <c r="AC27">
        <f t="shared" ca="1" si="54"/>
        <v>226.09098353939021</v>
      </c>
      <c r="AD27">
        <f t="shared" ca="1" si="54"/>
        <v>228.77227566992272</v>
      </c>
      <c r="AE27">
        <f t="shared" ca="1" si="54"/>
        <v>226.12627221292379</v>
      </c>
      <c r="AF27">
        <f t="shared" ca="1" si="54"/>
        <v>223.77943863611983</v>
      </c>
      <c r="AG27">
        <f t="shared" ca="1" si="54"/>
        <v>225.69667556173903</v>
      </c>
      <c r="AH27">
        <f t="shared" ca="1" si="54"/>
        <v>231.75117033261711</v>
      </c>
      <c r="AI27">
        <f t="shared" ca="1" si="54"/>
        <v>225.44255811146962</v>
      </c>
      <c r="AJ27">
        <f t="shared" ca="1" si="54"/>
        <v>220.37704203723717</v>
      </c>
      <c r="AK27">
        <f t="shared" ca="1" si="54"/>
        <v>228.66915854957375</v>
      </c>
      <c r="AL27">
        <f t="shared" ca="1" si="54"/>
        <v>234.84879071285172</v>
      </c>
      <c r="AM27">
        <f t="shared" ca="1" si="54"/>
        <v>238.96221251555824</v>
      </c>
      <c r="AN27">
        <f t="shared" ca="1" si="54"/>
        <v>244.47597153963059</v>
      </c>
      <c r="AO27">
        <f t="shared" ca="1" si="54"/>
        <v>241.23014735603536</v>
      </c>
      <c r="AP27">
        <f t="shared" ca="1" si="54"/>
        <v>237.65403470480359</v>
      </c>
      <c r="AQ27">
        <f t="shared" ca="1" si="54"/>
        <v>233.48276194588462</v>
      </c>
      <c r="AR27">
        <f t="shared" ca="1" si="54"/>
        <v>242.25931597708714</v>
      </c>
      <c r="AS27">
        <f t="shared" ca="1" si="54"/>
        <v>233.56404114591666</v>
      </c>
      <c r="AT27">
        <f t="shared" ca="1" si="54"/>
        <v>219.94537980389268</v>
      </c>
      <c r="AU27">
        <f t="shared" ca="1" si="54"/>
        <v>221.69341386314093</v>
      </c>
      <c r="AV27">
        <f t="shared" ca="1" si="54"/>
        <v>229.09941950484742</v>
      </c>
      <c r="AW27">
        <f t="shared" ca="1" si="54"/>
        <v>222.67632203890631</v>
      </c>
      <c r="AX27">
        <f t="shared" ca="1" si="54"/>
        <v>219.10994008769293</v>
      </c>
      <c r="AY27">
        <f t="shared" ca="1" si="54"/>
        <v>220.6098913429534</v>
      </c>
      <c r="AZ27">
        <f t="shared" ca="1" si="54"/>
        <v>221.72387412684688</v>
      </c>
      <c r="BA27">
        <f t="shared" ca="1" si="54"/>
        <v>218.71472301854399</v>
      </c>
      <c r="BB27">
        <f t="shared" ca="1" si="54"/>
        <v>223.76927120286672</v>
      </c>
      <c r="BC27">
        <f t="shared" ca="1" si="54"/>
        <v>207.94539160915431</v>
      </c>
      <c r="BD27">
        <f t="shared" ca="1" si="54"/>
        <v>204.65598135093825</v>
      </c>
      <c r="BE27">
        <f t="shared" ca="1" si="54"/>
        <v>201.51646835329359</v>
      </c>
      <c r="BF27">
        <f t="shared" ca="1" si="54"/>
        <v>200.53277967475447</v>
      </c>
      <c r="BG27">
        <f t="shared" ca="1" si="54"/>
        <v>208.20241676270706</v>
      </c>
      <c r="BH27">
        <f t="shared" ca="1" si="54"/>
        <v>206.66777574151098</v>
      </c>
      <c r="BI27">
        <f t="shared" ca="1" si="54"/>
        <v>208.30956964778781</v>
      </c>
      <c r="BJ27">
        <f t="shared" ca="1" si="54"/>
        <v>212.7316811469326</v>
      </c>
      <c r="BK27">
        <f t="shared" ca="1" si="54"/>
        <v>210.2169210666778</v>
      </c>
      <c r="BL27">
        <f t="shared" ca="1" si="54"/>
        <v>204.92155163283803</v>
      </c>
      <c r="BM27">
        <f t="shared" ca="1" si="54"/>
        <v>211.46626239811701</v>
      </c>
      <c r="BN27">
        <f t="shared" ca="1" si="54"/>
        <v>199.92825518500416</v>
      </c>
      <c r="BO27">
        <f t="shared" ca="1" si="54"/>
        <v>206.39242366819386</v>
      </c>
      <c r="BP27">
        <f t="shared" ca="1" si="54"/>
        <v>210.72390130264972</v>
      </c>
      <c r="BQ27">
        <f t="shared" ca="1" si="54"/>
        <v>216.70843291169825</v>
      </c>
      <c r="BR27">
        <f t="shared" ref="BR27:CU27" ca="1" si="55">BQ27*(1+$B$2*$B$4+$B$3*SQRT($B$4)*_xlfn.NORM.S.INV(RAND()))</f>
        <v>210.87621074204014</v>
      </c>
      <c r="BS27">
        <f t="shared" ca="1" si="55"/>
        <v>201.79496149904264</v>
      </c>
      <c r="BT27">
        <f t="shared" ca="1" si="55"/>
        <v>202.34601789305762</v>
      </c>
      <c r="BU27">
        <f t="shared" ca="1" si="55"/>
        <v>201.5033420323756</v>
      </c>
      <c r="BV27">
        <f t="shared" ca="1" si="55"/>
        <v>194.43267226179631</v>
      </c>
      <c r="BW27">
        <f t="shared" ca="1" si="55"/>
        <v>198.14524055310343</v>
      </c>
      <c r="BX27">
        <f t="shared" ca="1" si="55"/>
        <v>191.74096379785237</v>
      </c>
      <c r="BY27">
        <f t="shared" ca="1" si="55"/>
        <v>194.45740228151075</v>
      </c>
      <c r="BZ27">
        <f t="shared" ca="1" si="55"/>
        <v>195.08824262188767</v>
      </c>
      <c r="CA27">
        <f t="shared" ca="1" si="55"/>
        <v>192.63343573044841</v>
      </c>
      <c r="CB27">
        <f t="shared" ca="1" si="55"/>
        <v>191.33369178069637</v>
      </c>
      <c r="CC27">
        <f t="shared" ca="1" si="55"/>
        <v>191.34804395198816</v>
      </c>
      <c r="CD27">
        <f t="shared" ca="1" si="55"/>
        <v>193.80253611001439</v>
      </c>
      <c r="CE27">
        <f t="shared" ca="1" si="55"/>
        <v>196.53545901029398</v>
      </c>
      <c r="CF27">
        <f t="shared" ca="1" si="55"/>
        <v>192.51341745816688</v>
      </c>
      <c r="CG27">
        <f t="shared" ca="1" si="55"/>
        <v>194.95643287520204</v>
      </c>
      <c r="CH27">
        <f t="shared" ca="1" si="55"/>
        <v>196.56147453905808</v>
      </c>
      <c r="CI27">
        <f t="shared" ca="1" si="55"/>
        <v>191.37868397507737</v>
      </c>
      <c r="CJ27">
        <f t="shared" ca="1" si="55"/>
        <v>194.20423748392227</v>
      </c>
      <c r="CK27">
        <f t="shared" ca="1" si="55"/>
        <v>196.59382214236928</v>
      </c>
      <c r="CL27">
        <f t="shared" ca="1" si="55"/>
        <v>197.52441069579226</v>
      </c>
      <c r="CM27">
        <f t="shared" ca="1" si="55"/>
        <v>189.83387774720103</v>
      </c>
      <c r="CN27">
        <f t="shared" ca="1" si="55"/>
        <v>192.03762647211869</v>
      </c>
      <c r="CO27">
        <f t="shared" ca="1" si="55"/>
        <v>197.73840108287129</v>
      </c>
      <c r="CP27">
        <f t="shared" ca="1" si="55"/>
        <v>205.84536488057861</v>
      </c>
      <c r="CQ27">
        <f t="shared" ca="1" si="55"/>
        <v>206.7946799184964</v>
      </c>
      <c r="CR27">
        <f t="shared" ca="1" si="55"/>
        <v>201.81772967332927</v>
      </c>
      <c r="CS27">
        <f t="shared" ca="1" si="55"/>
        <v>200.34117279316263</v>
      </c>
      <c r="CT27">
        <f t="shared" ca="1" si="55"/>
        <v>192.81965764314765</v>
      </c>
      <c r="CU27">
        <f t="shared" ca="1" si="55"/>
        <v>197.64917816111338</v>
      </c>
      <c r="CV27">
        <f t="shared" ca="1" si="4"/>
        <v>0</v>
      </c>
      <c r="CW27">
        <f t="shared" ca="1" si="7"/>
        <v>0</v>
      </c>
    </row>
    <row r="28" spans="5:101" x14ac:dyDescent="0.2">
      <c r="E28">
        <v>222.13</v>
      </c>
      <c r="F28">
        <f t="shared" ref="F28:BQ28" ca="1" si="56">E28*(1+$B$2*$B$4+$B$3*SQRT($B$4)*_xlfn.NORM.S.INV(RAND()))</f>
        <v>224.19262154668849</v>
      </c>
      <c r="G28">
        <f t="shared" ca="1" si="56"/>
        <v>227.44606210362434</v>
      </c>
      <c r="H28">
        <f t="shared" ca="1" si="56"/>
        <v>218.56099655027998</v>
      </c>
      <c r="I28">
        <f t="shared" ca="1" si="56"/>
        <v>216.20948522489493</v>
      </c>
      <c r="J28">
        <f t="shared" ca="1" si="56"/>
        <v>222.11666707792406</v>
      </c>
      <c r="K28">
        <f t="shared" ca="1" si="56"/>
        <v>220.91803530030126</v>
      </c>
      <c r="L28">
        <f t="shared" ca="1" si="56"/>
        <v>211.12500184699465</v>
      </c>
      <c r="M28">
        <f t="shared" ca="1" si="56"/>
        <v>215.02279298256587</v>
      </c>
      <c r="N28">
        <f t="shared" ca="1" si="56"/>
        <v>219.27667277031435</v>
      </c>
      <c r="O28">
        <f t="shared" ca="1" si="56"/>
        <v>218.69682338165603</v>
      </c>
      <c r="P28">
        <f t="shared" ca="1" si="56"/>
        <v>228.9914982354961</v>
      </c>
      <c r="Q28">
        <f t="shared" ca="1" si="56"/>
        <v>218.07717685405837</v>
      </c>
      <c r="R28">
        <f t="shared" ca="1" si="56"/>
        <v>221.15915212366369</v>
      </c>
      <c r="S28">
        <f t="shared" ca="1" si="56"/>
        <v>216.30129715157173</v>
      </c>
      <c r="T28">
        <f t="shared" ca="1" si="56"/>
        <v>208.47914890603676</v>
      </c>
      <c r="U28">
        <f t="shared" ca="1" si="56"/>
        <v>203.04468760459736</v>
      </c>
      <c r="V28">
        <f t="shared" ca="1" si="56"/>
        <v>206.02670734268844</v>
      </c>
      <c r="W28">
        <f t="shared" ca="1" si="56"/>
        <v>205.9144696119391</v>
      </c>
      <c r="X28">
        <f t="shared" ca="1" si="56"/>
        <v>206.94712925266654</v>
      </c>
      <c r="Y28">
        <f t="shared" ca="1" si="56"/>
        <v>202.88143932065989</v>
      </c>
      <c r="Z28">
        <f t="shared" ca="1" si="56"/>
        <v>206.36788352807937</v>
      </c>
      <c r="AA28">
        <f t="shared" ca="1" si="56"/>
        <v>204.02690975752532</v>
      </c>
      <c r="AB28">
        <f t="shared" ca="1" si="56"/>
        <v>207.90929543336443</v>
      </c>
      <c r="AC28">
        <f t="shared" ca="1" si="56"/>
        <v>200.92612442011279</v>
      </c>
      <c r="AD28">
        <f t="shared" ca="1" si="56"/>
        <v>199.68725955031951</v>
      </c>
      <c r="AE28">
        <f t="shared" ca="1" si="56"/>
        <v>203.0149541833124</v>
      </c>
      <c r="AF28">
        <f t="shared" ca="1" si="56"/>
        <v>197.75409391170606</v>
      </c>
      <c r="AG28">
        <f t="shared" ca="1" si="56"/>
        <v>192.86850534102069</v>
      </c>
      <c r="AH28">
        <f t="shared" ca="1" si="56"/>
        <v>187.18316698136462</v>
      </c>
      <c r="AI28">
        <f t="shared" ca="1" si="56"/>
        <v>186.70619147438828</v>
      </c>
      <c r="AJ28">
        <f t="shared" ca="1" si="56"/>
        <v>191.00159281797841</v>
      </c>
      <c r="AK28">
        <f t="shared" ca="1" si="56"/>
        <v>198.76589626334112</v>
      </c>
      <c r="AL28">
        <f t="shared" ca="1" si="56"/>
        <v>195.09145473707346</v>
      </c>
      <c r="AM28">
        <f t="shared" ca="1" si="56"/>
        <v>193.69808061399283</v>
      </c>
      <c r="AN28">
        <f t="shared" ca="1" si="56"/>
        <v>190.58331731911497</v>
      </c>
      <c r="AO28">
        <f t="shared" ca="1" si="56"/>
        <v>189.25994917506495</v>
      </c>
      <c r="AP28">
        <f t="shared" ca="1" si="56"/>
        <v>183.26187444144998</v>
      </c>
      <c r="AQ28">
        <f t="shared" ca="1" si="56"/>
        <v>181.50362300515712</v>
      </c>
      <c r="AR28">
        <f t="shared" ca="1" si="56"/>
        <v>178.71208562102481</v>
      </c>
      <c r="AS28">
        <f t="shared" ca="1" si="56"/>
        <v>177.00566329910046</v>
      </c>
      <c r="AT28">
        <f t="shared" ca="1" si="56"/>
        <v>179.09210155164402</v>
      </c>
      <c r="AU28">
        <f t="shared" ca="1" si="56"/>
        <v>185.75528289637839</v>
      </c>
      <c r="AV28">
        <f t="shared" ca="1" si="56"/>
        <v>188.31248322414359</v>
      </c>
      <c r="AW28">
        <f t="shared" ca="1" si="56"/>
        <v>190.19694324320042</v>
      </c>
      <c r="AX28">
        <f t="shared" ca="1" si="56"/>
        <v>191.67768807832266</v>
      </c>
      <c r="AY28">
        <f t="shared" ca="1" si="56"/>
        <v>196.10211809609123</v>
      </c>
      <c r="AZ28">
        <f t="shared" ca="1" si="56"/>
        <v>194.05835146568518</v>
      </c>
      <c r="BA28">
        <f t="shared" ca="1" si="56"/>
        <v>183.85090053118446</v>
      </c>
      <c r="BB28">
        <f t="shared" ca="1" si="56"/>
        <v>180.58749160804288</v>
      </c>
      <c r="BC28">
        <f t="shared" ca="1" si="56"/>
        <v>186.13371326817759</v>
      </c>
      <c r="BD28">
        <f t="shared" ca="1" si="56"/>
        <v>183.42997203669549</v>
      </c>
      <c r="BE28">
        <f t="shared" ca="1" si="56"/>
        <v>179.58809945990788</v>
      </c>
      <c r="BF28">
        <f t="shared" ca="1" si="56"/>
        <v>177.62352478076286</v>
      </c>
      <c r="BG28">
        <f t="shared" ca="1" si="56"/>
        <v>182.91979041339212</v>
      </c>
      <c r="BH28">
        <f t="shared" ca="1" si="56"/>
        <v>180.45491959778533</v>
      </c>
      <c r="BI28">
        <f t="shared" ca="1" si="56"/>
        <v>186.91186709563124</v>
      </c>
      <c r="BJ28">
        <f t="shared" ca="1" si="56"/>
        <v>190.94548965497236</v>
      </c>
      <c r="BK28">
        <f t="shared" ca="1" si="56"/>
        <v>184.02798734631733</v>
      </c>
      <c r="BL28">
        <f t="shared" ca="1" si="56"/>
        <v>187.38724819359066</v>
      </c>
      <c r="BM28">
        <f t="shared" ca="1" si="56"/>
        <v>185.17095496138586</v>
      </c>
      <c r="BN28">
        <f t="shared" ca="1" si="56"/>
        <v>179.89735636742509</v>
      </c>
      <c r="BO28">
        <f t="shared" ca="1" si="56"/>
        <v>182.63897275150504</v>
      </c>
      <c r="BP28">
        <f t="shared" ca="1" si="56"/>
        <v>181.24552460508875</v>
      </c>
      <c r="BQ28">
        <f t="shared" ca="1" si="56"/>
        <v>186.41226272798093</v>
      </c>
      <c r="BR28">
        <f t="shared" ref="BR28:CU28" ca="1" si="57">BQ28*(1+$B$2*$B$4+$B$3*SQRT($B$4)*_xlfn.NORM.S.INV(RAND()))</f>
        <v>184.94317630514576</v>
      </c>
      <c r="BS28">
        <f t="shared" ca="1" si="57"/>
        <v>187.19440727649686</v>
      </c>
      <c r="BT28">
        <f t="shared" ca="1" si="57"/>
        <v>182.47879176943951</v>
      </c>
      <c r="BU28">
        <f t="shared" ca="1" si="57"/>
        <v>186.95462641147822</v>
      </c>
      <c r="BV28">
        <f t="shared" ca="1" si="57"/>
        <v>189.83353242026007</v>
      </c>
      <c r="BW28">
        <f t="shared" ca="1" si="57"/>
        <v>189.62153726028785</v>
      </c>
      <c r="BX28">
        <f t="shared" ca="1" si="57"/>
        <v>186.68141892875275</v>
      </c>
      <c r="BY28">
        <f t="shared" ca="1" si="57"/>
        <v>184.87525598983328</v>
      </c>
      <c r="BZ28">
        <f t="shared" ca="1" si="57"/>
        <v>189.1969942151128</v>
      </c>
      <c r="CA28">
        <f t="shared" ca="1" si="57"/>
        <v>194.15758138187243</v>
      </c>
      <c r="CB28">
        <f t="shared" ca="1" si="57"/>
        <v>195.99305072895481</v>
      </c>
      <c r="CC28">
        <f t="shared" ca="1" si="57"/>
        <v>199.13175511172571</v>
      </c>
      <c r="CD28">
        <f t="shared" ca="1" si="57"/>
        <v>196.18371889476742</v>
      </c>
      <c r="CE28">
        <f t="shared" ca="1" si="57"/>
        <v>195.54709099099549</v>
      </c>
      <c r="CF28">
        <f t="shared" ca="1" si="57"/>
        <v>200.07631887063877</v>
      </c>
      <c r="CG28">
        <f t="shared" ca="1" si="57"/>
        <v>196.60670214579412</v>
      </c>
      <c r="CH28">
        <f t="shared" ca="1" si="57"/>
        <v>193.63541520655576</v>
      </c>
      <c r="CI28">
        <f t="shared" ca="1" si="57"/>
        <v>196.87297219714759</v>
      </c>
      <c r="CJ28">
        <f t="shared" ca="1" si="57"/>
        <v>195.14271385064276</v>
      </c>
      <c r="CK28">
        <f t="shared" ca="1" si="57"/>
        <v>189.12768549275626</v>
      </c>
      <c r="CL28">
        <f t="shared" ca="1" si="57"/>
        <v>192.98325638382221</v>
      </c>
      <c r="CM28">
        <f t="shared" ca="1" si="57"/>
        <v>201.00434769465539</v>
      </c>
      <c r="CN28">
        <f t="shared" ca="1" si="57"/>
        <v>204.12770674010693</v>
      </c>
      <c r="CO28">
        <f t="shared" ca="1" si="57"/>
        <v>201.58094136021595</v>
      </c>
      <c r="CP28">
        <f t="shared" ca="1" si="57"/>
        <v>203.55411296393112</v>
      </c>
      <c r="CQ28">
        <f t="shared" ca="1" si="57"/>
        <v>204.64202514734572</v>
      </c>
      <c r="CR28">
        <f t="shared" ca="1" si="57"/>
        <v>207.03286423565282</v>
      </c>
      <c r="CS28">
        <f t="shared" ca="1" si="57"/>
        <v>205.72597981312421</v>
      </c>
      <c r="CT28">
        <f t="shared" ca="1" si="57"/>
        <v>196.43796850749658</v>
      </c>
      <c r="CU28">
        <f t="shared" ca="1" si="57"/>
        <v>198.69680452712404</v>
      </c>
      <c r="CV28">
        <f t="shared" ca="1" si="4"/>
        <v>0</v>
      </c>
      <c r="CW28">
        <f t="shared" ca="1" si="7"/>
        <v>0</v>
      </c>
    </row>
    <row r="29" spans="5:101" x14ac:dyDescent="0.2">
      <c r="E29">
        <v>222.13</v>
      </c>
      <c r="F29">
        <f t="shared" ref="F29:BQ29" ca="1" si="58">E29*(1+$B$2*$B$4+$B$3*SQRT($B$4)*_xlfn.NORM.S.INV(RAND()))</f>
        <v>225.13638409384558</v>
      </c>
      <c r="G29">
        <f t="shared" ca="1" si="58"/>
        <v>222.41125509437728</v>
      </c>
      <c r="H29">
        <f t="shared" ca="1" si="58"/>
        <v>221.18676922046791</v>
      </c>
      <c r="I29">
        <f t="shared" ca="1" si="58"/>
        <v>221.43139467122572</v>
      </c>
      <c r="J29">
        <f t="shared" ca="1" si="58"/>
        <v>216.90978959016689</v>
      </c>
      <c r="K29">
        <f t="shared" ca="1" si="58"/>
        <v>220.49939709046981</v>
      </c>
      <c r="L29">
        <f t="shared" ca="1" si="58"/>
        <v>220.42371933712093</v>
      </c>
      <c r="M29">
        <f t="shared" ca="1" si="58"/>
        <v>220.24132735636911</v>
      </c>
      <c r="N29">
        <f t="shared" ca="1" si="58"/>
        <v>219.68187977333855</v>
      </c>
      <c r="O29">
        <f t="shared" ca="1" si="58"/>
        <v>220.39585449697915</v>
      </c>
      <c r="P29">
        <f t="shared" ca="1" si="58"/>
        <v>220.49961487972558</v>
      </c>
      <c r="Q29">
        <f t="shared" ca="1" si="58"/>
        <v>230.67460139286146</v>
      </c>
      <c r="R29">
        <f t="shared" ca="1" si="58"/>
        <v>226.81750995833099</v>
      </c>
      <c r="S29">
        <f t="shared" ca="1" si="58"/>
        <v>232.78350908435684</v>
      </c>
      <c r="T29">
        <f t="shared" ca="1" si="58"/>
        <v>241.09277347145607</v>
      </c>
      <c r="U29">
        <f t="shared" ca="1" si="58"/>
        <v>246.30811490175273</v>
      </c>
      <c r="V29">
        <f t="shared" ca="1" si="58"/>
        <v>238.77195283055372</v>
      </c>
      <c r="W29">
        <f t="shared" ca="1" si="58"/>
        <v>245.03699668679698</v>
      </c>
      <c r="X29">
        <f t="shared" ca="1" si="58"/>
        <v>246.49732738121432</v>
      </c>
      <c r="Y29">
        <f t="shared" ca="1" si="58"/>
        <v>245.09571145203341</v>
      </c>
      <c r="Z29">
        <f t="shared" ca="1" si="58"/>
        <v>237.66949462606183</v>
      </c>
      <c r="AA29">
        <f t="shared" ca="1" si="58"/>
        <v>242.6643289811621</v>
      </c>
      <c r="AB29">
        <f t="shared" ca="1" si="58"/>
        <v>236.97312258591074</v>
      </c>
      <c r="AC29">
        <f t="shared" ca="1" si="58"/>
        <v>237.28110838306412</v>
      </c>
      <c r="AD29">
        <f t="shared" ca="1" si="58"/>
        <v>236.29010227632617</v>
      </c>
      <c r="AE29">
        <f t="shared" ca="1" si="58"/>
        <v>235.77394394845714</v>
      </c>
      <c r="AF29">
        <f t="shared" ca="1" si="58"/>
        <v>234.3079284329977</v>
      </c>
      <c r="AG29">
        <f t="shared" ca="1" si="58"/>
        <v>234.03244082352592</v>
      </c>
      <c r="AH29">
        <f t="shared" ca="1" si="58"/>
        <v>235.09952976507418</v>
      </c>
      <c r="AI29">
        <f t="shared" ca="1" si="58"/>
        <v>237.58215733622069</v>
      </c>
      <c r="AJ29">
        <f t="shared" ca="1" si="58"/>
        <v>245.23244956351729</v>
      </c>
      <c r="AK29">
        <f t="shared" ca="1" si="58"/>
        <v>249.90897000005972</v>
      </c>
      <c r="AL29">
        <f t="shared" ca="1" si="58"/>
        <v>254.61157950028692</v>
      </c>
      <c r="AM29">
        <f t="shared" ca="1" si="58"/>
        <v>258.78054277819541</v>
      </c>
      <c r="AN29">
        <f t="shared" ca="1" si="58"/>
        <v>255.04477762781443</v>
      </c>
      <c r="AO29">
        <f t="shared" ca="1" si="58"/>
        <v>260.73866543588196</v>
      </c>
      <c r="AP29">
        <f t="shared" ca="1" si="58"/>
        <v>265.48564931931423</v>
      </c>
      <c r="AQ29">
        <f t="shared" ca="1" si="58"/>
        <v>268.60148774562111</v>
      </c>
      <c r="AR29">
        <f t="shared" ca="1" si="58"/>
        <v>265.96131860695164</v>
      </c>
      <c r="AS29">
        <f t="shared" ca="1" si="58"/>
        <v>263.05982506653362</v>
      </c>
      <c r="AT29">
        <f t="shared" ca="1" si="58"/>
        <v>256.86984547724211</v>
      </c>
      <c r="AU29">
        <f t="shared" ca="1" si="58"/>
        <v>257.82726401598399</v>
      </c>
      <c r="AV29">
        <f t="shared" ca="1" si="58"/>
        <v>266.39393552698203</v>
      </c>
      <c r="AW29">
        <f t="shared" ca="1" si="58"/>
        <v>259.64117585852358</v>
      </c>
      <c r="AX29">
        <f t="shared" ca="1" si="58"/>
        <v>249.27853031859158</v>
      </c>
      <c r="AY29">
        <f t="shared" ca="1" si="58"/>
        <v>260.62986659296848</v>
      </c>
      <c r="AZ29">
        <f t="shared" ca="1" si="58"/>
        <v>264.50313598525912</v>
      </c>
      <c r="BA29">
        <f t="shared" ca="1" si="58"/>
        <v>258.24808055464388</v>
      </c>
      <c r="BB29">
        <f t="shared" ca="1" si="58"/>
        <v>263.60736196719563</v>
      </c>
      <c r="BC29">
        <f t="shared" ca="1" si="58"/>
        <v>264.56762754894305</v>
      </c>
      <c r="BD29">
        <f t="shared" ca="1" si="58"/>
        <v>265.23209961248563</v>
      </c>
      <c r="BE29">
        <f t="shared" ca="1" si="58"/>
        <v>257.21009920288401</v>
      </c>
      <c r="BF29">
        <f t="shared" ca="1" si="58"/>
        <v>261.54648368068854</v>
      </c>
      <c r="BG29">
        <f t="shared" ca="1" si="58"/>
        <v>266.6120710692125</v>
      </c>
      <c r="BH29">
        <f t="shared" ca="1" si="58"/>
        <v>274.69497049742148</v>
      </c>
      <c r="BI29">
        <f t="shared" ca="1" si="58"/>
        <v>276.29942154914596</v>
      </c>
      <c r="BJ29">
        <f t="shared" ca="1" si="58"/>
        <v>287.05020914281346</v>
      </c>
      <c r="BK29">
        <f t="shared" ca="1" si="58"/>
        <v>290.40897680342363</v>
      </c>
      <c r="BL29">
        <f t="shared" ca="1" si="58"/>
        <v>288.30791343169489</v>
      </c>
      <c r="BM29">
        <f t="shared" ca="1" si="58"/>
        <v>272.09943906220764</v>
      </c>
      <c r="BN29">
        <f t="shared" ca="1" si="58"/>
        <v>252.77909494999287</v>
      </c>
      <c r="BO29">
        <f t="shared" ca="1" si="58"/>
        <v>242.07464547056148</v>
      </c>
      <c r="BP29">
        <f t="shared" ca="1" si="58"/>
        <v>229.3819518041158</v>
      </c>
      <c r="BQ29">
        <f t="shared" ca="1" si="58"/>
        <v>235.48297221932714</v>
      </c>
      <c r="BR29">
        <f t="shared" ref="BR29:CU29" ca="1" si="59">BQ29*(1+$B$2*$B$4+$B$3*SQRT($B$4)*_xlfn.NORM.S.INV(RAND()))</f>
        <v>241.97529214614877</v>
      </c>
      <c r="BS29">
        <f t="shared" ca="1" si="59"/>
        <v>245.12648943664598</v>
      </c>
      <c r="BT29">
        <f t="shared" ca="1" si="59"/>
        <v>247.8674510754949</v>
      </c>
      <c r="BU29">
        <f t="shared" ca="1" si="59"/>
        <v>256.86540808519248</v>
      </c>
      <c r="BV29">
        <f t="shared" ca="1" si="59"/>
        <v>253.76050540898316</v>
      </c>
      <c r="BW29">
        <f t="shared" ca="1" si="59"/>
        <v>248.4135556048233</v>
      </c>
      <c r="BX29">
        <f t="shared" ca="1" si="59"/>
        <v>231.13041642830791</v>
      </c>
      <c r="BY29">
        <f t="shared" ca="1" si="59"/>
        <v>242.81190187996842</v>
      </c>
      <c r="BZ29">
        <f t="shared" ca="1" si="59"/>
        <v>243.59425632961359</v>
      </c>
      <c r="CA29">
        <f t="shared" ca="1" si="59"/>
        <v>239.01819870600755</v>
      </c>
      <c r="CB29">
        <f t="shared" ca="1" si="59"/>
        <v>238.04833810088971</v>
      </c>
      <c r="CC29">
        <f t="shared" ca="1" si="59"/>
        <v>230.76772811570257</v>
      </c>
      <c r="CD29">
        <f t="shared" ca="1" si="59"/>
        <v>230.3723925400983</v>
      </c>
      <c r="CE29">
        <f t="shared" ca="1" si="59"/>
        <v>232.22414858510848</v>
      </c>
      <c r="CF29">
        <f t="shared" ca="1" si="59"/>
        <v>232.54853750690737</v>
      </c>
      <c r="CG29">
        <f t="shared" ca="1" si="59"/>
        <v>226.03626187565044</v>
      </c>
      <c r="CH29">
        <f t="shared" ca="1" si="59"/>
        <v>227.09333812510485</v>
      </c>
      <c r="CI29">
        <f t="shared" ca="1" si="59"/>
        <v>226.80514663287374</v>
      </c>
      <c r="CJ29">
        <f t="shared" ca="1" si="59"/>
        <v>222.43966980223055</v>
      </c>
      <c r="CK29">
        <f t="shared" ca="1" si="59"/>
        <v>220.76862563294452</v>
      </c>
      <c r="CL29">
        <f t="shared" ca="1" si="59"/>
        <v>217.08853483236271</v>
      </c>
      <c r="CM29">
        <f t="shared" ca="1" si="59"/>
        <v>214.54032736512201</v>
      </c>
      <c r="CN29">
        <f t="shared" ca="1" si="59"/>
        <v>207.16210688759188</v>
      </c>
      <c r="CO29">
        <f t="shared" ca="1" si="59"/>
        <v>199.82752064465578</v>
      </c>
      <c r="CP29">
        <f t="shared" ca="1" si="59"/>
        <v>201.41299224220748</v>
      </c>
      <c r="CQ29">
        <f t="shared" ca="1" si="59"/>
        <v>202.72644009716612</v>
      </c>
      <c r="CR29">
        <f t="shared" ca="1" si="59"/>
        <v>203.96819838338476</v>
      </c>
      <c r="CS29">
        <f t="shared" ca="1" si="59"/>
        <v>214.1089089456907</v>
      </c>
      <c r="CT29">
        <f t="shared" ca="1" si="59"/>
        <v>214.47464345651724</v>
      </c>
      <c r="CU29">
        <f t="shared" ca="1" si="59"/>
        <v>216.10684007190122</v>
      </c>
      <c r="CV29">
        <f t="shared" ca="1" si="4"/>
        <v>0</v>
      </c>
      <c r="CW29">
        <f t="shared" ca="1" si="7"/>
        <v>0</v>
      </c>
    </row>
    <row r="30" spans="5:101" x14ac:dyDescent="0.2">
      <c r="E30">
        <v>222.13</v>
      </c>
      <c r="F30">
        <f t="shared" ref="F30:BQ30" ca="1" si="60">E30*(1+$B$2*$B$4+$B$3*SQRT($B$4)*_xlfn.NORM.S.INV(RAND()))</f>
        <v>223.85700995021176</v>
      </c>
      <c r="G30">
        <f t="shared" ca="1" si="60"/>
        <v>220.7044359082339</v>
      </c>
      <c r="H30">
        <f t="shared" ca="1" si="60"/>
        <v>214.23459370657136</v>
      </c>
      <c r="I30">
        <f t="shared" ca="1" si="60"/>
        <v>210.83031514482519</v>
      </c>
      <c r="J30">
        <f t="shared" ca="1" si="60"/>
        <v>211.03096398882164</v>
      </c>
      <c r="K30">
        <f t="shared" ca="1" si="60"/>
        <v>210.42500123699472</v>
      </c>
      <c r="L30">
        <f t="shared" ca="1" si="60"/>
        <v>215.32420983453849</v>
      </c>
      <c r="M30">
        <f t="shared" ca="1" si="60"/>
        <v>214.41647418483481</v>
      </c>
      <c r="N30">
        <f t="shared" ca="1" si="60"/>
        <v>216.26484868064384</v>
      </c>
      <c r="O30">
        <f t="shared" ca="1" si="60"/>
        <v>214.93746135853132</v>
      </c>
      <c r="P30">
        <f t="shared" ca="1" si="60"/>
        <v>220.5341218144396</v>
      </c>
      <c r="Q30">
        <f t="shared" ca="1" si="60"/>
        <v>221.32828868340417</v>
      </c>
      <c r="R30">
        <f t="shared" ca="1" si="60"/>
        <v>221.63356650997835</v>
      </c>
      <c r="S30">
        <f t="shared" ca="1" si="60"/>
        <v>218.11419887747343</v>
      </c>
      <c r="T30">
        <f t="shared" ca="1" si="60"/>
        <v>217.05634811379542</v>
      </c>
      <c r="U30">
        <f t="shared" ca="1" si="60"/>
        <v>219.33934365903826</v>
      </c>
      <c r="V30">
        <f t="shared" ca="1" si="60"/>
        <v>211.5335317616684</v>
      </c>
      <c r="W30">
        <f t="shared" ca="1" si="60"/>
        <v>226.5427314998939</v>
      </c>
      <c r="X30">
        <f t="shared" ca="1" si="60"/>
        <v>220.20684591031994</v>
      </c>
      <c r="Y30">
        <f t="shared" ca="1" si="60"/>
        <v>215.21314656803389</v>
      </c>
      <c r="Z30">
        <f t="shared" ca="1" si="60"/>
        <v>220.36389674552913</v>
      </c>
      <c r="AA30">
        <f t="shared" ca="1" si="60"/>
        <v>223.29274709155621</v>
      </c>
      <c r="AB30">
        <f t="shared" ca="1" si="60"/>
        <v>222.8867593590852</v>
      </c>
      <c r="AC30">
        <f t="shared" ca="1" si="60"/>
        <v>212.46670946634342</v>
      </c>
      <c r="AD30">
        <f t="shared" ca="1" si="60"/>
        <v>209.97088992561652</v>
      </c>
      <c r="AE30">
        <f t="shared" ca="1" si="60"/>
        <v>221.38034275446478</v>
      </c>
      <c r="AF30">
        <f t="shared" ca="1" si="60"/>
        <v>222.1640670193151</v>
      </c>
      <c r="AG30">
        <f t="shared" ca="1" si="60"/>
        <v>220.60029224605086</v>
      </c>
      <c r="AH30">
        <f t="shared" ca="1" si="60"/>
        <v>221.18345879475314</v>
      </c>
      <c r="AI30">
        <f t="shared" ca="1" si="60"/>
        <v>222.00148960393037</v>
      </c>
      <c r="AJ30">
        <f t="shared" ca="1" si="60"/>
        <v>221.32143348785954</v>
      </c>
      <c r="AK30">
        <f t="shared" ca="1" si="60"/>
        <v>218.35088643126025</v>
      </c>
      <c r="AL30">
        <f t="shared" ca="1" si="60"/>
        <v>213.96582051311822</v>
      </c>
      <c r="AM30">
        <f t="shared" ca="1" si="60"/>
        <v>213.74618903988249</v>
      </c>
      <c r="AN30">
        <f t="shared" ca="1" si="60"/>
        <v>212.76419753006689</v>
      </c>
      <c r="AO30">
        <f t="shared" ca="1" si="60"/>
        <v>214.97439856350954</v>
      </c>
      <c r="AP30">
        <f t="shared" ca="1" si="60"/>
        <v>219.02256539472378</v>
      </c>
      <c r="AQ30">
        <f t="shared" ca="1" si="60"/>
        <v>224.13701997131875</v>
      </c>
      <c r="AR30">
        <f t="shared" ca="1" si="60"/>
        <v>227.01413656888454</v>
      </c>
      <c r="AS30">
        <f t="shared" ca="1" si="60"/>
        <v>221.17854209787552</v>
      </c>
      <c r="AT30">
        <f t="shared" ca="1" si="60"/>
        <v>223.75470982314167</v>
      </c>
      <c r="AU30">
        <f t="shared" ca="1" si="60"/>
        <v>220.78961373244252</v>
      </c>
      <c r="AV30">
        <f t="shared" ca="1" si="60"/>
        <v>222.79911136645569</v>
      </c>
      <c r="AW30">
        <f t="shared" ca="1" si="60"/>
        <v>220.00779128274635</v>
      </c>
      <c r="AX30">
        <f t="shared" ca="1" si="60"/>
        <v>224.8232670106502</v>
      </c>
      <c r="AY30">
        <f t="shared" ca="1" si="60"/>
        <v>231.22923926476474</v>
      </c>
      <c r="AZ30">
        <f t="shared" ca="1" si="60"/>
        <v>229.11681503837215</v>
      </c>
      <c r="BA30">
        <f t="shared" ca="1" si="60"/>
        <v>226.5133393455769</v>
      </c>
      <c r="BB30">
        <f t="shared" ca="1" si="60"/>
        <v>222.23467087447909</v>
      </c>
      <c r="BC30">
        <f t="shared" ca="1" si="60"/>
        <v>219.62644061336326</v>
      </c>
      <c r="BD30">
        <f t="shared" ca="1" si="60"/>
        <v>219.60546464104439</v>
      </c>
      <c r="BE30">
        <f t="shared" ca="1" si="60"/>
        <v>219.20514543411286</v>
      </c>
      <c r="BF30">
        <f t="shared" ca="1" si="60"/>
        <v>224.94434365494811</v>
      </c>
      <c r="BG30">
        <f t="shared" ca="1" si="60"/>
        <v>220.54815652729218</v>
      </c>
      <c r="BH30">
        <f t="shared" ca="1" si="60"/>
        <v>224.70016332418516</v>
      </c>
      <c r="BI30">
        <f t="shared" ca="1" si="60"/>
        <v>223.70495216165062</v>
      </c>
      <c r="BJ30">
        <f t="shared" ca="1" si="60"/>
        <v>221.52475871694247</v>
      </c>
      <c r="BK30">
        <f t="shared" ca="1" si="60"/>
        <v>215.13497223248532</v>
      </c>
      <c r="BL30">
        <f t="shared" ca="1" si="60"/>
        <v>215.78052306715642</v>
      </c>
      <c r="BM30">
        <f t="shared" ca="1" si="60"/>
        <v>207.6601711624015</v>
      </c>
      <c r="BN30">
        <f t="shared" ca="1" si="60"/>
        <v>202.06629783842561</v>
      </c>
      <c r="BO30">
        <f t="shared" ca="1" si="60"/>
        <v>196.15004642833756</v>
      </c>
      <c r="BP30">
        <f t="shared" ca="1" si="60"/>
        <v>195.64365773494649</v>
      </c>
      <c r="BQ30">
        <f t="shared" ca="1" si="60"/>
        <v>189.65120055830727</v>
      </c>
      <c r="BR30">
        <f t="shared" ref="BR30:CU30" ca="1" si="61">BQ30*(1+$B$2*$B$4+$B$3*SQRT($B$4)*_xlfn.NORM.S.INV(RAND()))</f>
        <v>188.18686924130944</v>
      </c>
      <c r="BS30">
        <f t="shared" ca="1" si="61"/>
        <v>191.50996848719251</v>
      </c>
      <c r="BT30">
        <f t="shared" ca="1" si="61"/>
        <v>200.91242389829355</v>
      </c>
      <c r="BU30">
        <f t="shared" ca="1" si="61"/>
        <v>197.70028050220563</v>
      </c>
      <c r="BV30">
        <f t="shared" ca="1" si="61"/>
        <v>201.74144940206725</v>
      </c>
      <c r="BW30">
        <f t="shared" ca="1" si="61"/>
        <v>205.58210518695358</v>
      </c>
      <c r="BX30">
        <f t="shared" ca="1" si="61"/>
        <v>197.07343348624374</v>
      </c>
      <c r="BY30">
        <f t="shared" ca="1" si="61"/>
        <v>196.23705692261626</v>
      </c>
      <c r="BZ30">
        <f t="shared" ca="1" si="61"/>
        <v>186.01918396678619</v>
      </c>
      <c r="CA30">
        <f t="shared" ca="1" si="61"/>
        <v>190.63332821745345</v>
      </c>
      <c r="CB30">
        <f t="shared" ca="1" si="61"/>
        <v>196.44219452773316</v>
      </c>
      <c r="CC30">
        <f t="shared" ca="1" si="61"/>
        <v>196.53094385066083</v>
      </c>
      <c r="CD30">
        <f t="shared" ca="1" si="61"/>
        <v>205.14904602457017</v>
      </c>
      <c r="CE30">
        <f t="shared" ca="1" si="61"/>
        <v>204.66255086572943</v>
      </c>
      <c r="CF30">
        <f t="shared" ca="1" si="61"/>
        <v>208.34175229289531</v>
      </c>
      <c r="CG30">
        <f t="shared" ca="1" si="61"/>
        <v>210.28530550285288</v>
      </c>
      <c r="CH30">
        <f t="shared" ca="1" si="61"/>
        <v>213.10064534096514</v>
      </c>
      <c r="CI30">
        <f t="shared" ca="1" si="61"/>
        <v>213.98265493396443</v>
      </c>
      <c r="CJ30">
        <f t="shared" ca="1" si="61"/>
        <v>216.25381943722368</v>
      </c>
      <c r="CK30">
        <f t="shared" ca="1" si="61"/>
        <v>207.57559261427616</v>
      </c>
      <c r="CL30">
        <f t="shared" ca="1" si="61"/>
        <v>216.51668333933796</v>
      </c>
      <c r="CM30">
        <f t="shared" ca="1" si="61"/>
        <v>208.79937068694369</v>
      </c>
      <c r="CN30">
        <f t="shared" ca="1" si="61"/>
        <v>216.50940728441515</v>
      </c>
      <c r="CO30">
        <f t="shared" ca="1" si="61"/>
        <v>218.83770988139224</v>
      </c>
      <c r="CP30">
        <f t="shared" ca="1" si="61"/>
        <v>219.96907293471517</v>
      </c>
      <c r="CQ30">
        <f t="shared" ca="1" si="61"/>
        <v>218.37813589578184</v>
      </c>
      <c r="CR30">
        <f t="shared" ca="1" si="61"/>
        <v>221.98079640611274</v>
      </c>
      <c r="CS30">
        <f t="shared" ca="1" si="61"/>
        <v>221.93148158940122</v>
      </c>
      <c r="CT30">
        <f t="shared" ca="1" si="61"/>
        <v>218.91866455997862</v>
      </c>
      <c r="CU30">
        <f t="shared" ca="1" si="61"/>
        <v>215.70965453411316</v>
      </c>
      <c r="CV30">
        <f t="shared" ca="1" si="4"/>
        <v>0</v>
      </c>
      <c r="CW30">
        <f t="shared" ca="1" si="7"/>
        <v>0</v>
      </c>
    </row>
    <row r="31" spans="5:101" x14ac:dyDescent="0.2">
      <c r="E31">
        <v>222.13</v>
      </c>
      <c r="F31">
        <f t="shared" ref="F31:BQ31" ca="1" si="62">E31*(1+$B$2*$B$4+$B$3*SQRT($B$4)*_xlfn.NORM.S.INV(RAND()))</f>
        <v>215.05936461245804</v>
      </c>
      <c r="G31">
        <f t="shared" ca="1" si="62"/>
        <v>220.169119911998</v>
      </c>
      <c r="H31">
        <f t="shared" ca="1" si="62"/>
        <v>211.44343456933058</v>
      </c>
      <c r="I31">
        <f t="shared" ca="1" si="62"/>
        <v>207.03995638130377</v>
      </c>
      <c r="J31">
        <f t="shared" ca="1" si="62"/>
        <v>203.56667078239784</v>
      </c>
      <c r="K31">
        <f t="shared" ca="1" si="62"/>
        <v>205.24468678531917</v>
      </c>
      <c r="L31">
        <f t="shared" ca="1" si="62"/>
        <v>196.1929436029242</v>
      </c>
      <c r="M31">
        <f t="shared" ca="1" si="62"/>
        <v>207.21142564021486</v>
      </c>
      <c r="N31">
        <f t="shared" ca="1" si="62"/>
        <v>206.80503776503426</v>
      </c>
      <c r="O31">
        <f t="shared" ca="1" si="62"/>
        <v>204.37037998778666</v>
      </c>
      <c r="P31">
        <f t="shared" ca="1" si="62"/>
        <v>207.35566758159459</v>
      </c>
      <c r="Q31">
        <f t="shared" ca="1" si="62"/>
        <v>204.04770558319211</v>
      </c>
      <c r="R31">
        <f t="shared" ca="1" si="62"/>
        <v>210.51302542259756</v>
      </c>
      <c r="S31">
        <f t="shared" ca="1" si="62"/>
        <v>208.38144039302259</v>
      </c>
      <c r="T31">
        <f t="shared" ca="1" si="62"/>
        <v>207.4881208537391</v>
      </c>
      <c r="U31">
        <f t="shared" ca="1" si="62"/>
        <v>206.67902371154085</v>
      </c>
      <c r="V31">
        <f t="shared" ca="1" si="62"/>
        <v>214.96257425205539</v>
      </c>
      <c r="W31">
        <f t="shared" ca="1" si="62"/>
        <v>212.81409515808946</v>
      </c>
      <c r="X31">
        <f t="shared" ca="1" si="62"/>
        <v>209.4195585239554</v>
      </c>
      <c r="Y31">
        <f t="shared" ca="1" si="62"/>
        <v>207.35619873379136</v>
      </c>
      <c r="Z31">
        <f t="shared" ca="1" si="62"/>
        <v>204.02785411951203</v>
      </c>
      <c r="AA31">
        <f t="shared" ca="1" si="62"/>
        <v>203.39955777963706</v>
      </c>
      <c r="AB31">
        <f t="shared" ca="1" si="62"/>
        <v>209.38363939839746</v>
      </c>
      <c r="AC31">
        <f t="shared" ca="1" si="62"/>
        <v>204.76846505650414</v>
      </c>
      <c r="AD31">
        <f t="shared" ca="1" si="62"/>
        <v>207.67145738293493</v>
      </c>
      <c r="AE31">
        <f t="shared" ca="1" si="62"/>
        <v>219.13305202228017</v>
      </c>
      <c r="AF31">
        <f t="shared" ca="1" si="62"/>
        <v>217.51171000591913</v>
      </c>
      <c r="AG31">
        <f t="shared" ca="1" si="62"/>
        <v>211.44715277741059</v>
      </c>
      <c r="AH31">
        <f t="shared" ca="1" si="62"/>
        <v>211.38520323938212</v>
      </c>
      <c r="AI31">
        <f t="shared" ca="1" si="62"/>
        <v>213.63497723148981</v>
      </c>
      <c r="AJ31">
        <f t="shared" ca="1" si="62"/>
        <v>213.93104561664251</v>
      </c>
      <c r="AK31">
        <f t="shared" ca="1" si="62"/>
        <v>206.66060566367557</v>
      </c>
      <c r="AL31">
        <f t="shared" ca="1" si="62"/>
        <v>210.37247378308942</v>
      </c>
      <c r="AM31">
        <f t="shared" ca="1" si="62"/>
        <v>213.13817505152744</v>
      </c>
      <c r="AN31">
        <f t="shared" ca="1" si="62"/>
        <v>208.65073249825238</v>
      </c>
      <c r="AO31">
        <f t="shared" ca="1" si="62"/>
        <v>206.77803554577343</v>
      </c>
      <c r="AP31">
        <f t="shared" ca="1" si="62"/>
        <v>209.49875789600839</v>
      </c>
      <c r="AQ31">
        <f t="shared" ca="1" si="62"/>
        <v>210.62411874000153</v>
      </c>
      <c r="AR31">
        <f t="shared" ca="1" si="62"/>
        <v>206.527635068553</v>
      </c>
      <c r="AS31">
        <f t="shared" ca="1" si="62"/>
        <v>212.51906224945756</v>
      </c>
      <c r="AT31">
        <f t="shared" ca="1" si="62"/>
        <v>214.70227391697347</v>
      </c>
      <c r="AU31">
        <f t="shared" ca="1" si="62"/>
        <v>211.50220760304774</v>
      </c>
      <c r="AV31">
        <f t="shared" ca="1" si="62"/>
        <v>194.94320538092819</v>
      </c>
      <c r="AW31">
        <f t="shared" ca="1" si="62"/>
        <v>197.96339200881286</v>
      </c>
      <c r="AX31">
        <f t="shared" ca="1" si="62"/>
        <v>196.71815792592207</v>
      </c>
      <c r="AY31">
        <f t="shared" ca="1" si="62"/>
        <v>201.33198338060961</v>
      </c>
      <c r="AZ31">
        <f t="shared" ca="1" si="62"/>
        <v>200.56980644146432</v>
      </c>
      <c r="BA31">
        <f t="shared" ca="1" si="62"/>
        <v>205.77256004441909</v>
      </c>
      <c r="BB31">
        <f t="shared" ca="1" si="62"/>
        <v>205.79008652044143</v>
      </c>
      <c r="BC31">
        <f t="shared" ca="1" si="62"/>
        <v>209.08823580460327</v>
      </c>
      <c r="BD31">
        <f t="shared" ca="1" si="62"/>
        <v>209.61264483593013</v>
      </c>
      <c r="BE31">
        <f t="shared" ca="1" si="62"/>
        <v>209.43373978932007</v>
      </c>
      <c r="BF31">
        <f t="shared" ca="1" si="62"/>
        <v>212.19651301505473</v>
      </c>
      <c r="BG31">
        <f t="shared" ca="1" si="62"/>
        <v>208.12940948791612</v>
      </c>
      <c r="BH31">
        <f t="shared" ca="1" si="62"/>
        <v>202.68395517688765</v>
      </c>
      <c r="BI31">
        <f t="shared" ca="1" si="62"/>
        <v>204.85707120312117</v>
      </c>
      <c r="BJ31">
        <f t="shared" ca="1" si="62"/>
        <v>207.45303141662279</v>
      </c>
      <c r="BK31">
        <f t="shared" ca="1" si="62"/>
        <v>200.56255104308758</v>
      </c>
      <c r="BL31">
        <f t="shared" ca="1" si="62"/>
        <v>203.49042408210636</v>
      </c>
      <c r="BM31">
        <f t="shared" ca="1" si="62"/>
        <v>200.48721558473792</v>
      </c>
      <c r="BN31">
        <f t="shared" ca="1" si="62"/>
        <v>210.70245565876579</v>
      </c>
      <c r="BO31">
        <f t="shared" ca="1" si="62"/>
        <v>207.06927017835764</v>
      </c>
      <c r="BP31">
        <f t="shared" ca="1" si="62"/>
        <v>211.35484580160525</v>
      </c>
      <c r="BQ31">
        <f t="shared" ca="1" si="62"/>
        <v>219.90886985902139</v>
      </c>
      <c r="BR31">
        <f t="shared" ref="BR31:CU31" ca="1" si="63">BQ31*(1+$B$2*$B$4+$B$3*SQRT($B$4)*_xlfn.NORM.S.INV(RAND()))</f>
        <v>218.1837908914757</v>
      </c>
      <c r="BS31">
        <f t="shared" ca="1" si="63"/>
        <v>214.35777128486095</v>
      </c>
      <c r="BT31">
        <f t="shared" ca="1" si="63"/>
        <v>216.95684055513433</v>
      </c>
      <c r="BU31">
        <f t="shared" ca="1" si="63"/>
        <v>210.83720609665428</v>
      </c>
      <c r="BV31">
        <f t="shared" ca="1" si="63"/>
        <v>214.67413262348137</v>
      </c>
      <c r="BW31">
        <f t="shared" ca="1" si="63"/>
        <v>214.39723936980658</v>
      </c>
      <c r="BX31">
        <f t="shared" ca="1" si="63"/>
        <v>205.98372634751746</v>
      </c>
      <c r="BY31">
        <f t="shared" ca="1" si="63"/>
        <v>199.06541852145571</v>
      </c>
      <c r="BZ31">
        <f t="shared" ca="1" si="63"/>
        <v>194.90354208543593</v>
      </c>
      <c r="CA31">
        <f t="shared" ca="1" si="63"/>
        <v>196.73484792541976</v>
      </c>
      <c r="CB31">
        <f t="shared" ca="1" si="63"/>
        <v>210.37381984387451</v>
      </c>
      <c r="CC31">
        <f t="shared" ca="1" si="63"/>
        <v>219.80171305111131</v>
      </c>
      <c r="CD31">
        <f t="shared" ca="1" si="63"/>
        <v>218.26412563057593</v>
      </c>
      <c r="CE31">
        <f t="shared" ca="1" si="63"/>
        <v>214.89066374929916</v>
      </c>
      <c r="CF31">
        <f t="shared" ca="1" si="63"/>
        <v>215.03364504778932</v>
      </c>
      <c r="CG31">
        <f t="shared" ca="1" si="63"/>
        <v>228.09783769796226</v>
      </c>
      <c r="CH31">
        <f t="shared" ca="1" si="63"/>
        <v>225.45825104892032</v>
      </c>
      <c r="CI31">
        <f t="shared" ca="1" si="63"/>
        <v>233.44709069533769</v>
      </c>
      <c r="CJ31">
        <f t="shared" ca="1" si="63"/>
        <v>246.2720231874103</v>
      </c>
      <c r="CK31">
        <f t="shared" ca="1" si="63"/>
        <v>241.65468136081284</v>
      </c>
      <c r="CL31">
        <f t="shared" ca="1" si="63"/>
        <v>243.71234922328932</v>
      </c>
      <c r="CM31">
        <f t="shared" ca="1" si="63"/>
        <v>246.43092516357422</v>
      </c>
      <c r="CN31">
        <f t="shared" ca="1" si="63"/>
        <v>248.38774926860856</v>
      </c>
      <c r="CO31">
        <f t="shared" ca="1" si="63"/>
        <v>241.51400939086557</v>
      </c>
      <c r="CP31">
        <f t="shared" ca="1" si="63"/>
        <v>244.24092624673793</v>
      </c>
      <c r="CQ31">
        <f t="shared" ca="1" si="63"/>
        <v>248.94637370140845</v>
      </c>
      <c r="CR31">
        <f t="shared" ca="1" si="63"/>
        <v>251.09449511306119</v>
      </c>
      <c r="CS31">
        <f t="shared" ca="1" si="63"/>
        <v>259.53028028802294</v>
      </c>
      <c r="CT31">
        <f t="shared" ca="1" si="63"/>
        <v>262.75166740212774</v>
      </c>
      <c r="CU31">
        <f t="shared" ca="1" si="63"/>
        <v>262.38294292819222</v>
      </c>
      <c r="CV31">
        <f t="shared" ca="1" si="4"/>
        <v>42.382942928192222</v>
      </c>
      <c r="CW31">
        <f t="shared" ca="1" si="7"/>
        <v>40.749565210565429</v>
      </c>
    </row>
    <row r="32" spans="5:101" x14ac:dyDescent="0.2">
      <c r="E32">
        <v>222.13</v>
      </c>
      <c r="F32">
        <f t="shared" ref="F32:BQ32" ca="1" si="64">E32*(1+$B$2*$B$4+$B$3*SQRT($B$4)*_xlfn.NORM.S.INV(RAND()))</f>
        <v>216.39394647634253</v>
      </c>
      <c r="G32">
        <f t="shared" ca="1" si="64"/>
        <v>215.23733378975905</v>
      </c>
      <c r="H32">
        <f t="shared" ca="1" si="64"/>
        <v>211.3048382159501</v>
      </c>
      <c r="I32">
        <f t="shared" ca="1" si="64"/>
        <v>208.92237120716104</v>
      </c>
      <c r="J32">
        <f t="shared" ca="1" si="64"/>
        <v>206.88512566080954</v>
      </c>
      <c r="K32">
        <f t="shared" ca="1" si="64"/>
        <v>201.57916023657918</v>
      </c>
      <c r="L32">
        <f t="shared" ca="1" si="64"/>
        <v>199.13422371398127</v>
      </c>
      <c r="M32">
        <f t="shared" ca="1" si="64"/>
        <v>202.03671488901728</v>
      </c>
      <c r="N32">
        <f t="shared" ca="1" si="64"/>
        <v>203.99688992509641</v>
      </c>
      <c r="O32">
        <f t="shared" ca="1" si="64"/>
        <v>201.37315415166105</v>
      </c>
      <c r="P32">
        <f t="shared" ca="1" si="64"/>
        <v>203.83525168543142</v>
      </c>
      <c r="Q32">
        <f t="shared" ca="1" si="64"/>
        <v>213.17969067966274</v>
      </c>
      <c r="R32">
        <f t="shared" ca="1" si="64"/>
        <v>205.0249016168944</v>
      </c>
      <c r="S32">
        <f t="shared" ca="1" si="64"/>
        <v>206.97510157906873</v>
      </c>
      <c r="T32">
        <f t="shared" ca="1" si="64"/>
        <v>196.48184588525956</v>
      </c>
      <c r="U32">
        <f t="shared" ca="1" si="64"/>
        <v>192.04686108427606</v>
      </c>
      <c r="V32">
        <f t="shared" ca="1" si="64"/>
        <v>185.69676957299342</v>
      </c>
      <c r="W32">
        <f t="shared" ca="1" si="64"/>
        <v>193.33583029420919</v>
      </c>
      <c r="X32">
        <f t="shared" ca="1" si="64"/>
        <v>198.34129385577239</v>
      </c>
      <c r="Y32">
        <f t="shared" ca="1" si="64"/>
        <v>194.30984705702059</v>
      </c>
      <c r="Z32">
        <f t="shared" ca="1" si="64"/>
        <v>194.46939195139171</v>
      </c>
      <c r="AA32">
        <f t="shared" ca="1" si="64"/>
        <v>193.56320553728466</v>
      </c>
      <c r="AB32">
        <f t="shared" ca="1" si="64"/>
        <v>193.53220595128241</v>
      </c>
      <c r="AC32">
        <f t="shared" ca="1" si="64"/>
        <v>198.22224471847412</v>
      </c>
      <c r="AD32">
        <f t="shared" ca="1" si="64"/>
        <v>201.09322793401842</v>
      </c>
      <c r="AE32">
        <f t="shared" ca="1" si="64"/>
        <v>197.27525509712956</v>
      </c>
      <c r="AF32">
        <f t="shared" ca="1" si="64"/>
        <v>192.65462545955049</v>
      </c>
      <c r="AG32">
        <f t="shared" ca="1" si="64"/>
        <v>191.97599315333295</v>
      </c>
      <c r="AH32">
        <f t="shared" ca="1" si="64"/>
        <v>191.62648339800813</v>
      </c>
      <c r="AI32">
        <f t="shared" ca="1" si="64"/>
        <v>193.45279775304135</v>
      </c>
      <c r="AJ32">
        <f t="shared" ca="1" si="64"/>
        <v>195.41959318553893</v>
      </c>
      <c r="AK32">
        <f t="shared" ca="1" si="64"/>
        <v>189.56008403071627</v>
      </c>
      <c r="AL32">
        <f t="shared" ca="1" si="64"/>
        <v>189.08203375591319</v>
      </c>
      <c r="AM32">
        <f t="shared" ca="1" si="64"/>
        <v>188.17024237389893</v>
      </c>
      <c r="AN32">
        <f t="shared" ca="1" si="64"/>
        <v>180.70824714295492</v>
      </c>
      <c r="AO32">
        <f t="shared" ca="1" si="64"/>
        <v>185.61685626560543</v>
      </c>
      <c r="AP32">
        <f t="shared" ca="1" si="64"/>
        <v>189.6347849104026</v>
      </c>
      <c r="AQ32">
        <f t="shared" ca="1" si="64"/>
        <v>187.45968668311755</v>
      </c>
      <c r="AR32">
        <f t="shared" ca="1" si="64"/>
        <v>181.89990365315128</v>
      </c>
      <c r="AS32">
        <f t="shared" ca="1" si="64"/>
        <v>182.2776695666829</v>
      </c>
      <c r="AT32">
        <f t="shared" ca="1" si="64"/>
        <v>183.82608621973426</v>
      </c>
      <c r="AU32">
        <f t="shared" ca="1" si="64"/>
        <v>177.62762596378968</v>
      </c>
      <c r="AV32">
        <f t="shared" ca="1" si="64"/>
        <v>180.77398521026603</v>
      </c>
      <c r="AW32">
        <f t="shared" ca="1" si="64"/>
        <v>174.15433208797361</v>
      </c>
      <c r="AX32">
        <f t="shared" ca="1" si="64"/>
        <v>172.8577358389517</v>
      </c>
      <c r="AY32">
        <f t="shared" ca="1" si="64"/>
        <v>177.78925675770989</v>
      </c>
      <c r="AZ32">
        <f t="shared" ca="1" si="64"/>
        <v>179.68906878927206</v>
      </c>
      <c r="BA32">
        <f t="shared" ca="1" si="64"/>
        <v>177.65271346312258</v>
      </c>
      <c r="BB32">
        <f t="shared" ca="1" si="64"/>
        <v>173.3967485605456</v>
      </c>
      <c r="BC32">
        <f t="shared" ca="1" si="64"/>
        <v>176.45660050243447</v>
      </c>
      <c r="BD32">
        <f t="shared" ca="1" si="64"/>
        <v>171.3503287658061</v>
      </c>
      <c r="BE32">
        <f t="shared" ca="1" si="64"/>
        <v>166.70249008293791</v>
      </c>
      <c r="BF32">
        <f t="shared" ca="1" si="64"/>
        <v>170.58667548131643</v>
      </c>
      <c r="BG32">
        <f t="shared" ca="1" si="64"/>
        <v>176.00536390749548</v>
      </c>
      <c r="BH32">
        <f t="shared" ca="1" si="64"/>
        <v>180.33928022617457</v>
      </c>
      <c r="BI32">
        <f t="shared" ca="1" si="64"/>
        <v>179.86151326019672</v>
      </c>
      <c r="BJ32">
        <f t="shared" ca="1" si="64"/>
        <v>180.49892158430674</v>
      </c>
      <c r="BK32">
        <f t="shared" ca="1" si="64"/>
        <v>178.05064466162042</v>
      </c>
      <c r="BL32">
        <f t="shared" ca="1" si="64"/>
        <v>175.3634551419965</v>
      </c>
      <c r="BM32">
        <f t="shared" ca="1" si="64"/>
        <v>176.34815955433157</v>
      </c>
      <c r="BN32">
        <f t="shared" ca="1" si="64"/>
        <v>181.84195040602188</v>
      </c>
      <c r="BO32">
        <f t="shared" ca="1" si="64"/>
        <v>178.33894862846174</v>
      </c>
      <c r="BP32">
        <f t="shared" ca="1" si="64"/>
        <v>183.39900062180152</v>
      </c>
      <c r="BQ32">
        <f t="shared" ca="1" si="64"/>
        <v>184.94920518602797</v>
      </c>
      <c r="BR32">
        <f t="shared" ref="BR32:CU32" ca="1" si="65">BQ32*(1+$B$2*$B$4+$B$3*SQRT($B$4)*_xlfn.NORM.S.INV(RAND()))</f>
        <v>183.1920296743821</v>
      </c>
      <c r="BS32">
        <f t="shared" ca="1" si="65"/>
        <v>180.73681770984786</v>
      </c>
      <c r="BT32">
        <f t="shared" ca="1" si="65"/>
        <v>187.90432877536861</v>
      </c>
      <c r="BU32">
        <f t="shared" ca="1" si="65"/>
        <v>188.16314993226752</v>
      </c>
      <c r="BV32">
        <f t="shared" ca="1" si="65"/>
        <v>191.74598998544403</v>
      </c>
      <c r="BW32">
        <f t="shared" ca="1" si="65"/>
        <v>203.18477649050595</v>
      </c>
      <c r="BX32">
        <f t="shared" ca="1" si="65"/>
        <v>212.28911332986576</v>
      </c>
      <c r="BY32">
        <f t="shared" ca="1" si="65"/>
        <v>210.64202062177407</v>
      </c>
      <c r="BZ32">
        <f t="shared" ca="1" si="65"/>
        <v>208.00867825931581</v>
      </c>
      <c r="CA32">
        <f t="shared" ca="1" si="65"/>
        <v>209.98113133337279</v>
      </c>
      <c r="CB32">
        <f t="shared" ca="1" si="65"/>
        <v>204.73851468853815</v>
      </c>
      <c r="CC32">
        <f t="shared" ca="1" si="65"/>
        <v>205.74896267208871</v>
      </c>
      <c r="CD32">
        <f t="shared" ca="1" si="65"/>
        <v>205.65985846468979</v>
      </c>
      <c r="CE32">
        <f t="shared" ca="1" si="65"/>
        <v>204.10811234370166</v>
      </c>
      <c r="CF32">
        <f t="shared" ca="1" si="65"/>
        <v>199.65508841698252</v>
      </c>
      <c r="CG32">
        <f t="shared" ca="1" si="65"/>
        <v>198.3978746392676</v>
      </c>
      <c r="CH32">
        <f t="shared" ca="1" si="65"/>
        <v>205.69873960630198</v>
      </c>
      <c r="CI32">
        <f t="shared" ca="1" si="65"/>
        <v>206.81617489723081</v>
      </c>
      <c r="CJ32">
        <f t="shared" ca="1" si="65"/>
        <v>203.99427410826624</v>
      </c>
      <c r="CK32">
        <f t="shared" ca="1" si="65"/>
        <v>197.6669856219026</v>
      </c>
      <c r="CL32">
        <f t="shared" ca="1" si="65"/>
        <v>191.32788291173208</v>
      </c>
      <c r="CM32">
        <f t="shared" ca="1" si="65"/>
        <v>191.07209809643641</v>
      </c>
      <c r="CN32">
        <f t="shared" ca="1" si="65"/>
        <v>194.09679234716288</v>
      </c>
      <c r="CO32">
        <f t="shared" ca="1" si="65"/>
        <v>195.44035409471184</v>
      </c>
      <c r="CP32">
        <f t="shared" ca="1" si="65"/>
        <v>210.03508091143959</v>
      </c>
      <c r="CQ32">
        <f t="shared" ca="1" si="65"/>
        <v>212.52584319049319</v>
      </c>
      <c r="CR32">
        <f t="shared" ca="1" si="65"/>
        <v>217.89548936080055</v>
      </c>
      <c r="CS32">
        <f t="shared" ca="1" si="65"/>
        <v>219.70644140871119</v>
      </c>
      <c r="CT32">
        <f t="shared" ca="1" si="65"/>
        <v>225.0401850879384</v>
      </c>
      <c r="CU32">
        <f t="shared" ca="1" si="65"/>
        <v>229.25659457597507</v>
      </c>
      <c r="CV32">
        <f t="shared" ca="1" si="4"/>
        <v>9.2565945759750718</v>
      </c>
      <c r="CW32">
        <f t="shared" ca="1" si="7"/>
        <v>8.8998587224238186</v>
      </c>
    </row>
    <row r="33" spans="5:101" x14ac:dyDescent="0.2">
      <c r="E33">
        <v>222.13</v>
      </c>
      <c r="F33">
        <f t="shared" ref="F33:BQ33" ca="1" si="66">E33*(1+$B$2*$B$4+$B$3*SQRT($B$4)*_xlfn.NORM.S.INV(RAND()))</f>
        <v>226.8588357738293</v>
      </c>
      <c r="G33">
        <f t="shared" ca="1" si="66"/>
        <v>228.13866936133627</v>
      </c>
      <c r="H33">
        <f t="shared" ca="1" si="66"/>
        <v>230.75158061079591</v>
      </c>
      <c r="I33">
        <f t="shared" ca="1" si="66"/>
        <v>245.09350028842539</v>
      </c>
      <c r="J33">
        <f t="shared" ca="1" si="66"/>
        <v>249.76012591817758</v>
      </c>
      <c r="K33">
        <f t="shared" ca="1" si="66"/>
        <v>244.17791290106234</v>
      </c>
      <c r="L33">
        <f t="shared" ca="1" si="66"/>
        <v>237.34593025518529</v>
      </c>
      <c r="M33">
        <f t="shared" ca="1" si="66"/>
        <v>234.23162045463124</v>
      </c>
      <c r="N33">
        <f t="shared" ca="1" si="66"/>
        <v>241.27333953298071</v>
      </c>
      <c r="O33">
        <f t="shared" ca="1" si="66"/>
        <v>237.16162534849403</v>
      </c>
      <c r="P33">
        <f t="shared" ca="1" si="66"/>
        <v>229.69378204990983</v>
      </c>
      <c r="Q33">
        <f t="shared" ca="1" si="66"/>
        <v>230.45348107858391</v>
      </c>
      <c r="R33">
        <f t="shared" ca="1" si="66"/>
        <v>232.18103864159548</v>
      </c>
      <c r="S33">
        <f t="shared" ca="1" si="66"/>
        <v>229.97212934562384</v>
      </c>
      <c r="T33">
        <f t="shared" ca="1" si="66"/>
        <v>220.77814690031087</v>
      </c>
      <c r="U33">
        <f t="shared" ca="1" si="66"/>
        <v>216.7513021949365</v>
      </c>
      <c r="V33">
        <f t="shared" ca="1" si="66"/>
        <v>212.19715136231258</v>
      </c>
      <c r="W33">
        <f t="shared" ca="1" si="66"/>
        <v>209.86761984884063</v>
      </c>
      <c r="X33">
        <f t="shared" ca="1" si="66"/>
        <v>210.82597528722596</v>
      </c>
      <c r="Y33">
        <f t="shared" ca="1" si="66"/>
        <v>210.7970927900659</v>
      </c>
      <c r="Z33">
        <f t="shared" ca="1" si="66"/>
        <v>215.39860409696857</v>
      </c>
      <c r="AA33">
        <f t="shared" ca="1" si="66"/>
        <v>214.06650568572275</v>
      </c>
      <c r="AB33">
        <f t="shared" ca="1" si="66"/>
        <v>210.15475451590618</v>
      </c>
      <c r="AC33">
        <f t="shared" ca="1" si="66"/>
        <v>209.81867723646232</v>
      </c>
      <c r="AD33">
        <f t="shared" ca="1" si="66"/>
        <v>208.40550872101593</v>
      </c>
      <c r="AE33">
        <f t="shared" ca="1" si="66"/>
        <v>213.49431590677955</v>
      </c>
      <c r="AF33">
        <f t="shared" ca="1" si="66"/>
        <v>217.95494360142527</v>
      </c>
      <c r="AG33">
        <f t="shared" ca="1" si="66"/>
        <v>217.1600144258052</v>
      </c>
      <c r="AH33">
        <f t="shared" ca="1" si="66"/>
        <v>215.95396989070042</v>
      </c>
      <c r="AI33">
        <f t="shared" ca="1" si="66"/>
        <v>220.07768014633933</v>
      </c>
      <c r="AJ33">
        <f t="shared" ca="1" si="66"/>
        <v>220.62267370175925</v>
      </c>
      <c r="AK33">
        <f t="shared" ca="1" si="66"/>
        <v>216.39310782895728</v>
      </c>
      <c r="AL33">
        <f t="shared" ca="1" si="66"/>
        <v>225.36981539032729</v>
      </c>
      <c r="AM33">
        <f t="shared" ca="1" si="66"/>
        <v>224.6382539986173</v>
      </c>
      <c r="AN33">
        <f t="shared" ca="1" si="66"/>
        <v>218.53060328579895</v>
      </c>
      <c r="AO33">
        <f t="shared" ca="1" si="66"/>
        <v>225.08888296593744</v>
      </c>
      <c r="AP33">
        <f t="shared" ca="1" si="66"/>
        <v>222.07420304081046</v>
      </c>
      <c r="AQ33">
        <f t="shared" ca="1" si="66"/>
        <v>223.47813593361502</v>
      </c>
      <c r="AR33">
        <f t="shared" ca="1" si="66"/>
        <v>225.3530221844552</v>
      </c>
      <c r="AS33">
        <f t="shared" ca="1" si="66"/>
        <v>223.56242940675006</v>
      </c>
      <c r="AT33">
        <f t="shared" ca="1" si="66"/>
        <v>217.19833586124321</v>
      </c>
      <c r="AU33">
        <f t="shared" ca="1" si="66"/>
        <v>218.65381247467812</v>
      </c>
      <c r="AV33">
        <f t="shared" ca="1" si="66"/>
        <v>221.60701547028523</v>
      </c>
      <c r="AW33">
        <f t="shared" ca="1" si="66"/>
        <v>226.46196635316426</v>
      </c>
      <c r="AX33">
        <f t="shared" ca="1" si="66"/>
        <v>218.98416698373848</v>
      </c>
      <c r="AY33">
        <f t="shared" ca="1" si="66"/>
        <v>213.5078084280583</v>
      </c>
      <c r="AZ33">
        <f t="shared" ca="1" si="66"/>
        <v>217.62828636420994</v>
      </c>
      <c r="BA33">
        <f t="shared" ca="1" si="66"/>
        <v>215.40051479294019</v>
      </c>
      <c r="BB33">
        <f t="shared" ca="1" si="66"/>
        <v>204.84690271714481</v>
      </c>
      <c r="BC33">
        <f t="shared" ca="1" si="66"/>
        <v>200.60568348014718</v>
      </c>
      <c r="BD33">
        <f t="shared" ca="1" si="66"/>
        <v>196.73597257792349</v>
      </c>
      <c r="BE33">
        <f t="shared" ca="1" si="66"/>
        <v>197.08535579891134</v>
      </c>
      <c r="BF33">
        <f t="shared" ca="1" si="66"/>
        <v>200.5530073126458</v>
      </c>
      <c r="BG33">
        <f t="shared" ca="1" si="66"/>
        <v>202.66551861423187</v>
      </c>
      <c r="BH33">
        <f t="shared" ca="1" si="66"/>
        <v>195.45159586167563</v>
      </c>
      <c r="BI33">
        <f t="shared" ca="1" si="66"/>
        <v>193.18459799549709</v>
      </c>
      <c r="BJ33">
        <f t="shared" ca="1" si="66"/>
        <v>192.45289461711516</v>
      </c>
      <c r="BK33">
        <f t="shared" ca="1" si="66"/>
        <v>185.8196599423934</v>
      </c>
      <c r="BL33">
        <f t="shared" ca="1" si="66"/>
        <v>192.86882914831162</v>
      </c>
      <c r="BM33">
        <f t="shared" ca="1" si="66"/>
        <v>192.09960926007054</v>
      </c>
      <c r="BN33">
        <f t="shared" ca="1" si="66"/>
        <v>195.9615944832083</v>
      </c>
      <c r="BO33">
        <f t="shared" ca="1" si="66"/>
        <v>199.73837296832826</v>
      </c>
      <c r="BP33">
        <f t="shared" ca="1" si="66"/>
        <v>194.3499561680749</v>
      </c>
      <c r="BQ33">
        <f t="shared" ca="1" si="66"/>
        <v>189.60397667886454</v>
      </c>
      <c r="BR33">
        <f t="shared" ref="BR33:CU33" ca="1" si="67">BQ33*(1+$B$2*$B$4+$B$3*SQRT($B$4)*_xlfn.NORM.S.INV(RAND()))</f>
        <v>195.16120652910632</v>
      </c>
      <c r="BS33">
        <f t="shared" ca="1" si="67"/>
        <v>203.00222853873612</v>
      </c>
      <c r="BT33">
        <f t="shared" ca="1" si="67"/>
        <v>196.16503752320713</v>
      </c>
      <c r="BU33">
        <f t="shared" ca="1" si="67"/>
        <v>197.19537809710081</v>
      </c>
      <c r="BV33">
        <f t="shared" ca="1" si="67"/>
        <v>203.61192983255856</v>
      </c>
      <c r="BW33">
        <f t="shared" ca="1" si="67"/>
        <v>204.55635295682148</v>
      </c>
      <c r="BX33">
        <f t="shared" ca="1" si="67"/>
        <v>205.00400383637387</v>
      </c>
      <c r="BY33">
        <f t="shared" ca="1" si="67"/>
        <v>201.24750913358241</v>
      </c>
      <c r="BZ33">
        <f t="shared" ca="1" si="67"/>
        <v>207.53505354687309</v>
      </c>
      <c r="CA33">
        <f t="shared" ca="1" si="67"/>
        <v>211.97335081033975</v>
      </c>
      <c r="CB33">
        <f t="shared" ca="1" si="67"/>
        <v>218.62919867163055</v>
      </c>
      <c r="CC33">
        <f t="shared" ca="1" si="67"/>
        <v>223.69259830055424</v>
      </c>
      <c r="CD33">
        <f t="shared" ca="1" si="67"/>
        <v>225.23633196814811</v>
      </c>
      <c r="CE33">
        <f t="shared" ca="1" si="67"/>
        <v>224.087719776829</v>
      </c>
      <c r="CF33">
        <f t="shared" ca="1" si="67"/>
        <v>223.80850264747536</v>
      </c>
      <c r="CG33">
        <f t="shared" ca="1" si="67"/>
        <v>225.98779743041254</v>
      </c>
      <c r="CH33">
        <f t="shared" ca="1" si="67"/>
        <v>230.47311606343393</v>
      </c>
      <c r="CI33">
        <f t="shared" ca="1" si="67"/>
        <v>238.83283485221355</v>
      </c>
      <c r="CJ33">
        <f t="shared" ca="1" si="67"/>
        <v>243.33876429629362</v>
      </c>
      <c r="CK33">
        <f t="shared" ca="1" si="67"/>
        <v>243.90806863396372</v>
      </c>
      <c r="CL33">
        <f t="shared" ca="1" si="67"/>
        <v>245.56939455454216</v>
      </c>
      <c r="CM33">
        <f t="shared" ca="1" si="67"/>
        <v>250.77688464831164</v>
      </c>
      <c r="CN33">
        <f t="shared" ca="1" si="67"/>
        <v>249.17603202667573</v>
      </c>
      <c r="CO33">
        <f t="shared" ca="1" si="67"/>
        <v>246.50722399719535</v>
      </c>
      <c r="CP33">
        <f t="shared" ca="1" si="67"/>
        <v>245.88921278118008</v>
      </c>
      <c r="CQ33">
        <f t="shared" ca="1" si="67"/>
        <v>252.31684531744781</v>
      </c>
      <c r="CR33">
        <f t="shared" ca="1" si="67"/>
        <v>248.38868490992951</v>
      </c>
      <c r="CS33">
        <f t="shared" ca="1" si="67"/>
        <v>259.67252673183094</v>
      </c>
      <c r="CT33">
        <f t="shared" ca="1" si="67"/>
        <v>271.24803086698392</v>
      </c>
      <c r="CU33">
        <f t="shared" ca="1" si="67"/>
        <v>268.68503816661212</v>
      </c>
      <c r="CV33">
        <f t="shared" ca="1" si="4"/>
        <v>48.685038166612117</v>
      </c>
      <c r="CW33">
        <f t="shared" ca="1" si="7"/>
        <v>46.808786754389907</v>
      </c>
    </row>
    <row r="34" spans="5:101" x14ac:dyDescent="0.2">
      <c r="E34">
        <v>222.13</v>
      </c>
      <c r="F34">
        <f t="shared" ref="F34:BQ34" ca="1" si="68">E34*(1+$B$2*$B$4+$B$3*SQRT($B$4)*_xlfn.NORM.S.INV(RAND()))</f>
        <v>223.16242822471122</v>
      </c>
      <c r="G34">
        <f t="shared" ca="1" si="68"/>
        <v>219.96879874130789</v>
      </c>
      <c r="H34">
        <f t="shared" ca="1" si="68"/>
        <v>224.7313565137886</v>
      </c>
      <c r="I34">
        <f t="shared" ca="1" si="68"/>
        <v>223.6775564813635</v>
      </c>
      <c r="J34">
        <f t="shared" ca="1" si="68"/>
        <v>228.18713736421714</v>
      </c>
      <c r="K34">
        <f t="shared" ca="1" si="68"/>
        <v>230.39197525806406</v>
      </c>
      <c r="L34">
        <f t="shared" ca="1" si="68"/>
        <v>224.80670242281593</v>
      </c>
      <c r="M34">
        <f t="shared" ca="1" si="68"/>
        <v>226.78974150079728</v>
      </c>
      <c r="N34">
        <f t="shared" ca="1" si="68"/>
        <v>225.9888121884178</v>
      </c>
      <c r="O34">
        <f t="shared" ca="1" si="68"/>
        <v>225.00110829824763</v>
      </c>
      <c r="P34">
        <f t="shared" ca="1" si="68"/>
        <v>230.54152829743452</v>
      </c>
      <c r="Q34">
        <f t="shared" ca="1" si="68"/>
        <v>220.99404393164141</v>
      </c>
      <c r="R34">
        <f t="shared" ca="1" si="68"/>
        <v>223.759945490625</v>
      </c>
      <c r="S34">
        <f t="shared" ca="1" si="68"/>
        <v>213.23577809948233</v>
      </c>
      <c r="T34">
        <f t="shared" ca="1" si="68"/>
        <v>218.31337121919861</v>
      </c>
      <c r="U34">
        <f t="shared" ca="1" si="68"/>
        <v>220.79613166086364</v>
      </c>
      <c r="V34">
        <f t="shared" ca="1" si="68"/>
        <v>227.81853990592089</v>
      </c>
      <c r="W34">
        <f t="shared" ca="1" si="68"/>
        <v>227.52082963347087</v>
      </c>
      <c r="X34">
        <f t="shared" ca="1" si="68"/>
        <v>235.77805505925988</v>
      </c>
      <c r="Y34">
        <f t="shared" ca="1" si="68"/>
        <v>225.80367584734768</v>
      </c>
      <c r="Z34">
        <f t="shared" ca="1" si="68"/>
        <v>227.74766839276143</v>
      </c>
      <c r="AA34">
        <f t="shared" ca="1" si="68"/>
        <v>232.42669569393345</v>
      </c>
      <c r="AB34">
        <f t="shared" ca="1" si="68"/>
        <v>236.74496973121563</v>
      </c>
      <c r="AC34">
        <f t="shared" ca="1" si="68"/>
        <v>240.32633278366251</v>
      </c>
      <c r="AD34">
        <f t="shared" ca="1" si="68"/>
        <v>236.70696116455298</v>
      </c>
      <c r="AE34">
        <f t="shared" ca="1" si="68"/>
        <v>235.53067040236769</v>
      </c>
      <c r="AF34">
        <f t="shared" ca="1" si="68"/>
        <v>245.29950589258129</v>
      </c>
      <c r="AG34">
        <f t="shared" ca="1" si="68"/>
        <v>252.78220364383915</v>
      </c>
      <c r="AH34">
        <f t="shared" ca="1" si="68"/>
        <v>246.25919926050213</v>
      </c>
      <c r="AI34">
        <f t="shared" ca="1" si="68"/>
        <v>241.03077179263846</v>
      </c>
      <c r="AJ34">
        <f t="shared" ca="1" si="68"/>
        <v>244.12970404014467</v>
      </c>
      <c r="AK34">
        <f t="shared" ca="1" si="68"/>
        <v>255.88500682034694</v>
      </c>
      <c r="AL34">
        <f t="shared" ca="1" si="68"/>
        <v>266.4744856817386</v>
      </c>
      <c r="AM34">
        <f t="shared" ca="1" si="68"/>
        <v>259.31048811580331</v>
      </c>
      <c r="AN34">
        <f t="shared" ca="1" si="68"/>
        <v>253.90380863924062</v>
      </c>
      <c r="AO34">
        <f t="shared" ca="1" si="68"/>
        <v>259.98114207376767</v>
      </c>
      <c r="AP34">
        <f t="shared" ca="1" si="68"/>
        <v>264.8716945153331</v>
      </c>
      <c r="AQ34">
        <f t="shared" ca="1" si="68"/>
        <v>261.544863792336</v>
      </c>
      <c r="AR34">
        <f t="shared" ca="1" si="68"/>
        <v>270.61522604874642</v>
      </c>
      <c r="AS34">
        <f t="shared" ca="1" si="68"/>
        <v>274.20679105054256</v>
      </c>
      <c r="AT34">
        <f t="shared" ca="1" si="68"/>
        <v>271.1823337470712</v>
      </c>
      <c r="AU34">
        <f t="shared" ca="1" si="68"/>
        <v>269.67928259945086</v>
      </c>
      <c r="AV34">
        <f t="shared" ca="1" si="68"/>
        <v>285.95194851139473</v>
      </c>
      <c r="AW34">
        <f t="shared" ca="1" si="68"/>
        <v>294.20983143113676</v>
      </c>
      <c r="AX34">
        <f t="shared" ca="1" si="68"/>
        <v>297.82386864538296</v>
      </c>
      <c r="AY34">
        <f t="shared" ca="1" si="68"/>
        <v>307.56712255240029</v>
      </c>
      <c r="AZ34">
        <f t="shared" ca="1" si="68"/>
        <v>316.66916121737785</v>
      </c>
      <c r="BA34">
        <f t="shared" ca="1" si="68"/>
        <v>320.25354678283486</v>
      </c>
      <c r="BB34">
        <f t="shared" ca="1" si="68"/>
        <v>315.60963152207256</v>
      </c>
      <c r="BC34">
        <f t="shared" ca="1" si="68"/>
        <v>313.00098554016108</v>
      </c>
      <c r="BD34">
        <f t="shared" ca="1" si="68"/>
        <v>307.96187616136382</v>
      </c>
      <c r="BE34">
        <f t="shared" ca="1" si="68"/>
        <v>306.33963748712671</v>
      </c>
      <c r="BF34">
        <f t="shared" ca="1" si="68"/>
        <v>304.27431874085909</v>
      </c>
      <c r="BG34">
        <f t="shared" ca="1" si="68"/>
        <v>306.12744483388349</v>
      </c>
      <c r="BH34">
        <f t="shared" ca="1" si="68"/>
        <v>304.00242612770319</v>
      </c>
      <c r="BI34">
        <f t="shared" ca="1" si="68"/>
        <v>309.23015682463819</v>
      </c>
      <c r="BJ34">
        <f t="shared" ca="1" si="68"/>
        <v>303.15100476861898</v>
      </c>
      <c r="BK34">
        <f t="shared" ca="1" si="68"/>
        <v>317.59935229923747</v>
      </c>
      <c r="BL34">
        <f t="shared" ca="1" si="68"/>
        <v>323.98209821739005</v>
      </c>
      <c r="BM34">
        <f t="shared" ca="1" si="68"/>
        <v>319.16612963220729</v>
      </c>
      <c r="BN34">
        <f t="shared" ca="1" si="68"/>
        <v>316.56763635821699</v>
      </c>
      <c r="BO34">
        <f t="shared" ca="1" si="68"/>
        <v>314.88934798787346</v>
      </c>
      <c r="BP34">
        <f t="shared" ca="1" si="68"/>
        <v>312.89302914452531</v>
      </c>
      <c r="BQ34">
        <f t="shared" ca="1" si="68"/>
        <v>318.7561833968976</v>
      </c>
      <c r="BR34">
        <f t="shared" ref="BR34:CU34" ca="1" si="69">BQ34*(1+$B$2*$B$4+$B$3*SQRT($B$4)*_xlfn.NORM.S.INV(RAND()))</f>
        <v>307.0263242803174</v>
      </c>
      <c r="BS34">
        <f t="shared" ca="1" si="69"/>
        <v>327.65581216137372</v>
      </c>
      <c r="BT34">
        <f t="shared" ca="1" si="69"/>
        <v>329.52925183687637</v>
      </c>
      <c r="BU34">
        <f t="shared" ca="1" si="69"/>
        <v>320.30414037484906</v>
      </c>
      <c r="BV34">
        <f t="shared" ca="1" si="69"/>
        <v>302.19527215274746</v>
      </c>
      <c r="BW34">
        <f t="shared" ca="1" si="69"/>
        <v>304.58860616477733</v>
      </c>
      <c r="BX34">
        <f t="shared" ca="1" si="69"/>
        <v>300.96540979091526</v>
      </c>
      <c r="BY34">
        <f t="shared" ca="1" si="69"/>
        <v>304.85430888684266</v>
      </c>
      <c r="BZ34">
        <f t="shared" ca="1" si="69"/>
        <v>310.03597786249696</v>
      </c>
      <c r="CA34">
        <f t="shared" ca="1" si="69"/>
        <v>311.63729607164203</v>
      </c>
      <c r="CB34">
        <f t="shared" ca="1" si="69"/>
        <v>309.48538465226886</v>
      </c>
      <c r="CC34">
        <f t="shared" ca="1" si="69"/>
        <v>307.49613509639357</v>
      </c>
      <c r="CD34">
        <f t="shared" ca="1" si="69"/>
        <v>303.46835778858241</v>
      </c>
      <c r="CE34">
        <f t="shared" ca="1" si="69"/>
        <v>296.57548185943557</v>
      </c>
      <c r="CF34">
        <f t="shared" ca="1" si="69"/>
        <v>295.36846370391714</v>
      </c>
      <c r="CG34">
        <f t="shared" ca="1" si="69"/>
        <v>292.67360850096856</v>
      </c>
      <c r="CH34">
        <f t="shared" ca="1" si="69"/>
        <v>300.714749193008</v>
      </c>
      <c r="CI34">
        <f t="shared" ca="1" si="69"/>
        <v>296.34094532076256</v>
      </c>
      <c r="CJ34">
        <f t="shared" ca="1" si="69"/>
        <v>300.54828617640953</v>
      </c>
      <c r="CK34">
        <f t="shared" ca="1" si="69"/>
        <v>301.79941493014468</v>
      </c>
      <c r="CL34">
        <f t="shared" ca="1" si="69"/>
        <v>310.00814396921726</v>
      </c>
      <c r="CM34">
        <f t="shared" ca="1" si="69"/>
        <v>313.06652476059645</v>
      </c>
      <c r="CN34">
        <f t="shared" ca="1" si="69"/>
        <v>317.00962906400099</v>
      </c>
      <c r="CO34">
        <f t="shared" ca="1" si="69"/>
        <v>320.62539071821647</v>
      </c>
      <c r="CP34">
        <f t="shared" ca="1" si="69"/>
        <v>331.78777095011276</v>
      </c>
      <c r="CQ34">
        <f t="shared" ca="1" si="69"/>
        <v>320.53034949590483</v>
      </c>
      <c r="CR34">
        <f t="shared" ca="1" si="69"/>
        <v>319.37302715529802</v>
      </c>
      <c r="CS34">
        <f t="shared" ca="1" si="69"/>
        <v>324.12733094024088</v>
      </c>
      <c r="CT34">
        <f t="shared" ca="1" si="69"/>
        <v>335.79139662018588</v>
      </c>
      <c r="CU34">
        <f t="shared" ca="1" si="69"/>
        <v>342.08632249720864</v>
      </c>
      <c r="CV34">
        <f t="shared" ref="CV34:CV65" ca="1" si="70">MAX(CU34-$CU$102,0)</f>
        <v>122.08632249720864</v>
      </c>
      <c r="CW34">
        <f t="shared" ca="1" si="7"/>
        <v>117.38129106199668</v>
      </c>
    </row>
    <row r="35" spans="5:101" x14ac:dyDescent="0.2">
      <c r="E35">
        <v>222.13</v>
      </c>
      <c r="F35">
        <f t="shared" ref="F35:BQ35" ca="1" si="71">E35*(1+$B$2*$B$4+$B$3*SQRT($B$4)*_xlfn.NORM.S.INV(RAND()))</f>
        <v>219.24364048365896</v>
      </c>
      <c r="G35">
        <f t="shared" ca="1" si="71"/>
        <v>218.83953552073655</v>
      </c>
      <c r="H35">
        <f t="shared" ca="1" si="71"/>
        <v>216.01346753150676</v>
      </c>
      <c r="I35">
        <f t="shared" ca="1" si="71"/>
        <v>205.62344546762313</v>
      </c>
      <c r="J35">
        <f t="shared" ca="1" si="71"/>
        <v>207.36058358745734</v>
      </c>
      <c r="K35">
        <f t="shared" ca="1" si="71"/>
        <v>209.12346423048595</v>
      </c>
      <c r="L35">
        <f t="shared" ca="1" si="71"/>
        <v>208.86055497037086</v>
      </c>
      <c r="M35">
        <f t="shared" ca="1" si="71"/>
        <v>210.30613749594909</v>
      </c>
      <c r="N35">
        <f t="shared" ca="1" si="71"/>
        <v>213.70747269410822</v>
      </c>
      <c r="O35">
        <f t="shared" ca="1" si="71"/>
        <v>206.75478627873679</v>
      </c>
      <c r="P35">
        <f t="shared" ca="1" si="71"/>
        <v>208.66680421435208</v>
      </c>
      <c r="Q35">
        <f t="shared" ca="1" si="71"/>
        <v>204.10608762717919</v>
      </c>
      <c r="R35">
        <f t="shared" ca="1" si="71"/>
        <v>202.23707511543822</v>
      </c>
      <c r="S35">
        <f t="shared" ca="1" si="71"/>
        <v>201.37786486077206</v>
      </c>
      <c r="T35">
        <f t="shared" ca="1" si="71"/>
        <v>203.3223904064991</v>
      </c>
      <c r="U35">
        <f t="shared" ca="1" si="71"/>
        <v>207.762658772013</v>
      </c>
      <c r="V35">
        <f t="shared" ca="1" si="71"/>
        <v>204.86006776141215</v>
      </c>
      <c r="W35">
        <f t="shared" ca="1" si="71"/>
        <v>215.62964771495706</v>
      </c>
      <c r="X35">
        <f t="shared" ca="1" si="71"/>
        <v>214.49723940467743</v>
      </c>
      <c r="Y35">
        <f t="shared" ca="1" si="71"/>
        <v>207.71887373399608</v>
      </c>
      <c r="Z35">
        <f t="shared" ca="1" si="71"/>
        <v>208.9851577222436</v>
      </c>
      <c r="AA35">
        <f t="shared" ca="1" si="71"/>
        <v>205.22725023170079</v>
      </c>
      <c r="AB35">
        <f t="shared" ca="1" si="71"/>
        <v>198.20404319698127</v>
      </c>
      <c r="AC35">
        <f t="shared" ca="1" si="71"/>
        <v>203.69157845740028</v>
      </c>
      <c r="AD35">
        <f t="shared" ca="1" si="71"/>
        <v>207.12587254402246</v>
      </c>
      <c r="AE35">
        <f t="shared" ca="1" si="71"/>
        <v>212.37166297081188</v>
      </c>
      <c r="AF35">
        <f t="shared" ca="1" si="71"/>
        <v>207.37586254459589</v>
      </c>
      <c r="AG35">
        <f t="shared" ca="1" si="71"/>
        <v>201.29536269025016</v>
      </c>
      <c r="AH35">
        <f t="shared" ca="1" si="71"/>
        <v>208.88346285334561</v>
      </c>
      <c r="AI35">
        <f t="shared" ca="1" si="71"/>
        <v>210.93113256882077</v>
      </c>
      <c r="AJ35">
        <f t="shared" ca="1" si="71"/>
        <v>214.19362375246914</v>
      </c>
      <c r="AK35">
        <f t="shared" ca="1" si="71"/>
        <v>223.38727541638733</v>
      </c>
      <c r="AL35">
        <f t="shared" ca="1" si="71"/>
        <v>220.96541969605479</v>
      </c>
      <c r="AM35">
        <f t="shared" ca="1" si="71"/>
        <v>234.08878331073166</v>
      </c>
      <c r="AN35">
        <f t="shared" ca="1" si="71"/>
        <v>234.02172527513093</v>
      </c>
      <c r="AO35">
        <f t="shared" ca="1" si="71"/>
        <v>226.64601726425178</v>
      </c>
      <c r="AP35">
        <f t="shared" ca="1" si="71"/>
        <v>231.85550935503932</v>
      </c>
      <c r="AQ35">
        <f t="shared" ca="1" si="71"/>
        <v>231.12031364480092</v>
      </c>
      <c r="AR35">
        <f t="shared" ca="1" si="71"/>
        <v>224.32799974062863</v>
      </c>
      <c r="AS35">
        <f t="shared" ca="1" si="71"/>
        <v>229.16952867866013</v>
      </c>
      <c r="AT35">
        <f t="shared" ca="1" si="71"/>
        <v>232.1855890922912</v>
      </c>
      <c r="AU35">
        <f t="shared" ca="1" si="71"/>
        <v>229.22210014345981</v>
      </c>
      <c r="AV35">
        <f t="shared" ca="1" si="71"/>
        <v>229.90237765217219</v>
      </c>
      <c r="AW35">
        <f t="shared" ca="1" si="71"/>
        <v>232.01089989119143</v>
      </c>
      <c r="AX35">
        <f t="shared" ca="1" si="71"/>
        <v>226.05106206252827</v>
      </c>
      <c r="AY35">
        <f t="shared" ca="1" si="71"/>
        <v>233.43736061649051</v>
      </c>
      <c r="AZ35">
        <f t="shared" ca="1" si="71"/>
        <v>239.51865931996267</v>
      </c>
      <c r="BA35">
        <f t="shared" ca="1" si="71"/>
        <v>237.08584603116654</v>
      </c>
      <c r="BB35">
        <f t="shared" ca="1" si="71"/>
        <v>224.92310225545813</v>
      </c>
      <c r="BC35">
        <f t="shared" ca="1" si="71"/>
        <v>225.64118003449934</v>
      </c>
      <c r="BD35">
        <f t="shared" ca="1" si="71"/>
        <v>230.85661251329535</v>
      </c>
      <c r="BE35">
        <f t="shared" ca="1" si="71"/>
        <v>229.33944866423309</v>
      </c>
      <c r="BF35">
        <f t="shared" ca="1" si="71"/>
        <v>228.275572111716</v>
      </c>
      <c r="BG35">
        <f t="shared" ca="1" si="71"/>
        <v>227.90499198753614</v>
      </c>
      <c r="BH35">
        <f t="shared" ca="1" si="71"/>
        <v>227.99882530017715</v>
      </c>
      <c r="BI35">
        <f t="shared" ca="1" si="71"/>
        <v>229.27145083290455</v>
      </c>
      <c r="BJ35">
        <f t="shared" ca="1" si="71"/>
        <v>224.06478592033275</v>
      </c>
      <c r="BK35">
        <f t="shared" ca="1" si="71"/>
        <v>233.58529643286846</v>
      </c>
      <c r="BL35">
        <f t="shared" ca="1" si="71"/>
        <v>240.56765998546723</v>
      </c>
      <c r="BM35">
        <f t="shared" ca="1" si="71"/>
        <v>248.27942034751217</v>
      </c>
      <c r="BN35">
        <f t="shared" ca="1" si="71"/>
        <v>255.85496959619965</v>
      </c>
      <c r="BO35">
        <f t="shared" ca="1" si="71"/>
        <v>258.46013982739242</v>
      </c>
      <c r="BP35">
        <f t="shared" ca="1" si="71"/>
        <v>259.06115298641726</v>
      </c>
      <c r="BQ35">
        <f t="shared" ca="1" si="71"/>
        <v>245.47549189555065</v>
      </c>
      <c r="BR35">
        <f t="shared" ref="BR35:CU35" ca="1" si="72">BQ35*(1+$B$2*$B$4+$B$3*SQRT($B$4)*_xlfn.NORM.S.INV(RAND()))</f>
        <v>239.6409430045131</v>
      </c>
      <c r="BS35">
        <f t="shared" ca="1" si="72"/>
        <v>238.22491024595485</v>
      </c>
      <c r="BT35">
        <f t="shared" ca="1" si="72"/>
        <v>237.59594883981282</v>
      </c>
      <c r="BU35">
        <f t="shared" ca="1" si="72"/>
        <v>241.12489064662779</v>
      </c>
      <c r="BV35">
        <f t="shared" ca="1" si="72"/>
        <v>242.08732273963943</v>
      </c>
      <c r="BW35">
        <f t="shared" ca="1" si="72"/>
        <v>232.83317978055422</v>
      </c>
      <c r="BX35">
        <f t="shared" ca="1" si="72"/>
        <v>227.75397980172559</v>
      </c>
      <c r="BY35">
        <f t="shared" ca="1" si="72"/>
        <v>226.70131183061929</v>
      </c>
      <c r="BZ35">
        <f t="shared" ca="1" si="72"/>
        <v>232.22054405974581</v>
      </c>
      <c r="CA35">
        <f t="shared" ca="1" si="72"/>
        <v>230.57780326400206</v>
      </c>
      <c r="CB35">
        <f t="shared" ca="1" si="72"/>
        <v>234.06672548302467</v>
      </c>
      <c r="CC35">
        <f t="shared" ca="1" si="72"/>
        <v>235.62842935621447</v>
      </c>
      <c r="CD35">
        <f t="shared" ca="1" si="72"/>
        <v>239.7267746902387</v>
      </c>
      <c r="CE35">
        <f t="shared" ca="1" si="72"/>
        <v>249.11027244921675</v>
      </c>
      <c r="CF35">
        <f t="shared" ca="1" si="72"/>
        <v>236.06134895798687</v>
      </c>
      <c r="CG35">
        <f t="shared" ca="1" si="72"/>
        <v>228.7137927052361</v>
      </c>
      <c r="CH35">
        <f t="shared" ca="1" si="72"/>
        <v>233.0623771888485</v>
      </c>
      <c r="CI35">
        <f t="shared" ca="1" si="72"/>
        <v>229.40191571810988</v>
      </c>
      <c r="CJ35">
        <f t="shared" ca="1" si="72"/>
        <v>230.48558808786498</v>
      </c>
      <c r="CK35">
        <f t="shared" ca="1" si="72"/>
        <v>224.33416588403176</v>
      </c>
      <c r="CL35">
        <f t="shared" ca="1" si="72"/>
        <v>225.11442010248061</v>
      </c>
      <c r="CM35">
        <f t="shared" ca="1" si="72"/>
        <v>217.52152279866732</v>
      </c>
      <c r="CN35">
        <f t="shared" ca="1" si="72"/>
        <v>219.42958384581308</v>
      </c>
      <c r="CO35">
        <f t="shared" ca="1" si="72"/>
        <v>218.80897519477475</v>
      </c>
      <c r="CP35">
        <f t="shared" ca="1" si="72"/>
        <v>214.8814271597771</v>
      </c>
      <c r="CQ35">
        <f t="shared" ca="1" si="72"/>
        <v>217.29215718492893</v>
      </c>
      <c r="CR35">
        <f t="shared" ca="1" si="72"/>
        <v>224.88255893198368</v>
      </c>
      <c r="CS35">
        <f t="shared" ca="1" si="72"/>
        <v>235.18626313386946</v>
      </c>
      <c r="CT35">
        <f t="shared" ca="1" si="72"/>
        <v>233.89949710668725</v>
      </c>
      <c r="CU35">
        <f t="shared" ca="1" si="72"/>
        <v>236.45326999330783</v>
      </c>
      <c r="CV35">
        <f t="shared" ca="1" si="70"/>
        <v>16.453269993307828</v>
      </c>
      <c r="CW35">
        <f t="shared" ca="1" si="7"/>
        <v>15.819184610546683</v>
      </c>
    </row>
    <row r="36" spans="5:101" x14ac:dyDescent="0.2">
      <c r="E36">
        <v>222.13</v>
      </c>
      <c r="F36">
        <f t="shared" ref="F36:BQ36" ca="1" si="73">E36*(1+$B$2*$B$4+$B$3*SQRT($B$4)*_xlfn.NORM.S.INV(RAND()))</f>
        <v>216.8621265323992</v>
      </c>
      <c r="G36">
        <f t="shared" ca="1" si="73"/>
        <v>216.82990587948069</v>
      </c>
      <c r="H36">
        <f t="shared" ca="1" si="73"/>
        <v>223.57124804787506</v>
      </c>
      <c r="I36">
        <f t="shared" ca="1" si="73"/>
        <v>223.76961554294749</v>
      </c>
      <c r="J36">
        <f t="shared" ca="1" si="73"/>
        <v>218.38052651682841</v>
      </c>
      <c r="K36">
        <f t="shared" ca="1" si="73"/>
        <v>217.31337525225732</v>
      </c>
      <c r="L36">
        <f t="shared" ca="1" si="73"/>
        <v>215.23776303710278</v>
      </c>
      <c r="M36">
        <f t="shared" ca="1" si="73"/>
        <v>215.96413928740725</v>
      </c>
      <c r="N36">
        <f t="shared" ca="1" si="73"/>
        <v>220.66782675060801</v>
      </c>
      <c r="O36">
        <f t="shared" ca="1" si="73"/>
        <v>215.68809127025511</v>
      </c>
      <c r="P36">
        <f t="shared" ca="1" si="73"/>
        <v>214.18125261791502</v>
      </c>
      <c r="Q36">
        <f t="shared" ca="1" si="73"/>
        <v>207.51535060717708</v>
      </c>
      <c r="R36">
        <f t="shared" ca="1" si="73"/>
        <v>205.66704693134383</v>
      </c>
      <c r="S36">
        <f t="shared" ca="1" si="73"/>
        <v>209.16861855485519</v>
      </c>
      <c r="T36">
        <f t="shared" ca="1" si="73"/>
        <v>205.59027463625881</v>
      </c>
      <c r="U36">
        <f t="shared" ca="1" si="73"/>
        <v>212.18814550422218</v>
      </c>
      <c r="V36">
        <f t="shared" ca="1" si="73"/>
        <v>205.25580903791618</v>
      </c>
      <c r="W36">
        <f t="shared" ca="1" si="73"/>
        <v>198.3620469560492</v>
      </c>
      <c r="X36">
        <f t="shared" ca="1" si="73"/>
        <v>195.1040889895892</v>
      </c>
      <c r="Y36">
        <f t="shared" ca="1" si="73"/>
        <v>201.81168685443717</v>
      </c>
      <c r="Z36">
        <f t="shared" ca="1" si="73"/>
        <v>207.37597780501054</v>
      </c>
      <c r="AA36">
        <f t="shared" ca="1" si="73"/>
        <v>213.10172349055912</v>
      </c>
      <c r="AB36">
        <f t="shared" ca="1" si="73"/>
        <v>207.63785715023752</v>
      </c>
      <c r="AC36">
        <f t="shared" ca="1" si="73"/>
        <v>210.47648660711812</v>
      </c>
      <c r="AD36">
        <f t="shared" ca="1" si="73"/>
        <v>218.11829457636355</v>
      </c>
      <c r="AE36">
        <f t="shared" ca="1" si="73"/>
        <v>224.19172008905491</v>
      </c>
      <c r="AF36">
        <f t="shared" ca="1" si="73"/>
        <v>221.04245897193246</v>
      </c>
      <c r="AG36">
        <f t="shared" ca="1" si="73"/>
        <v>217.85973005152667</v>
      </c>
      <c r="AH36">
        <f t="shared" ca="1" si="73"/>
        <v>210.37356341986799</v>
      </c>
      <c r="AI36">
        <f t="shared" ca="1" si="73"/>
        <v>211.32554170595122</v>
      </c>
      <c r="AJ36">
        <f t="shared" ca="1" si="73"/>
        <v>216.57935421983339</v>
      </c>
      <c r="AK36">
        <f t="shared" ca="1" si="73"/>
        <v>214.43588350415814</v>
      </c>
      <c r="AL36">
        <f t="shared" ca="1" si="73"/>
        <v>216.12774769708511</v>
      </c>
      <c r="AM36">
        <f t="shared" ca="1" si="73"/>
        <v>211.56008120304688</v>
      </c>
      <c r="AN36">
        <f t="shared" ca="1" si="73"/>
        <v>206.5594868085912</v>
      </c>
      <c r="AO36">
        <f t="shared" ca="1" si="73"/>
        <v>198.22074338025124</v>
      </c>
      <c r="AP36">
        <f t="shared" ca="1" si="73"/>
        <v>194.75122492936347</v>
      </c>
      <c r="AQ36">
        <f t="shared" ca="1" si="73"/>
        <v>187.78698593430869</v>
      </c>
      <c r="AR36">
        <f t="shared" ca="1" si="73"/>
        <v>191.72619147676588</v>
      </c>
      <c r="AS36">
        <f t="shared" ca="1" si="73"/>
        <v>196.87379405762735</v>
      </c>
      <c r="AT36">
        <f t="shared" ca="1" si="73"/>
        <v>190.7808092448046</v>
      </c>
      <c r="AU36">
        <f t="shared" ca="1" si="73"/>
        <v>184.36939603224101</v>
      </c>
      <c r="AV36">
        <f t="shared" ca="1" si="73"/>
        <v>181.26182843603817</v>
      </c>
      <c r="AW36">
        <f t="shared" ca="1" si="73"/>
        <v>180.24004358170947</v>
      </c>
      <c r="AX36">
        <f t="shared" ca="1" si="73"/>
        <v>180.62111006546073</v>
      </c>
      <c r="AY36">
        <f t="shared" ca="1" si="73"/>
        <v>174.93244853982389</v>
      </c>
      <c r="AZ36">
        <f t="shared" ca="1" si="73"/>
        <v>174.20175292236465</v>
      </c>
      <c r="BA36">
        <f t="shared" ca="1" si="73"/>
        <v>179.06486995402352</v>
      </c>
      <c r="BB36">
        <f t="shared" ca="1" si="73"/>
        <v>176.25892014180388</v>
      </c>
      <c r="BC36">
        <f t="shared" ca="1" si="73"/>
        <v>175.18274851216452</v>
      </c>
      <c r="BD36">
        <f t="shared" ca="1" si="73"/>
        <v>178.19218349516066</v>
      </c>
      <c r="BE36">
        <f t="shared" ca="1" si="73"/>
        <v>178.71790429240028</v>
      </c>
      <c r="BF36">
        <f t="shared" ca="1" si="73"/>
        <v>178.13218962267894</v>
      </c>
      <c r="BG36">
        <f t="shared" ca="1" si="73"/>
        <v>171.79870023261384</v>
      </c>
      <c r="BH36">
        <f t="shared" ca="1" si="73"/>
        <v>171.50379654187611</v>
      </c>
      <c r="BI36">
        <f t="shared" ca="1" si="73"/>
        <v>170.81988214127179</v>
      </c>
      <c r="BJ36">
        <f t="shared" ca="1" si="73"/>
        <v>171.06845846171379</v>
      </c>
      <c r="BK36">
        <f t="shared" ca="1" si="73"/>
        <v>176.71447165781905</v>
      </c>
      <c r="BL36">
        <f t="shared" ca="1" si="73"/>
        <v>170.6314077198443</v>
      </c>
      <c r="BM36">
        <f t="shared" ca="1" si="73"/>
        <v>174.15553196376027</v>
      </c>
      <c r="BN36">
        <f t="shared" ca="1" si="73"/>
        <v>175.05311449033974</v>
      </c>
      <c r="BO36">
        <f t="shared" ca="1" si="73"/>
        <v>174.62463513558328</v>
      </c>
      <c r="BP36">
        <f t="shared" ca="1" si="73"/>
        <v>178.62803598245102</v>
      </c>
      <c r="BQ36">
        <f t="shared" ca="1" si="73"/>
        <v>176.93126894220859</v>
      </c>
      <c r="BR36">
        <f t="shared" ref="BR36:CU36" ca="1" si="74">BQ36*(1+$B$2*$B$4+$B$3*SQRT($B$4)*_xlfn.NORM.S.INV(RAND()))</f>
        <v>181.65164050214227</v>
      </c>
      <c r="BS36">
        <f t="shared" ca="1" si="74"/>
        <v>181.47202435530096</v>
      </c>
      <c r="BT36">
        <f t="shared" ca="1" si="74"/>
        <v>181.56242724959264</v>
      </c>
      <c r="BU36">
        <f t="shared" ca="1" si="74"/>
        <v>181.2010858627126</v>
      </c>
      <c r="BV36">
        <f t="shared" ca="1" si="74"/>
        <v>183.35457568972922</v>
      </c>
      <c r="BW36">
        <f t="shared" ca="1" si="74"/>
        <v>177.41502776498069</v>
      </c>
      <c r="BX36">
        <f t="shared" ca="1" si="74"/>
        <v>175.89102855590164</v>
      </c>
      <c r="BY36">
        <f t="shared" ca="1" si="74"/>
        <v>176.134105348291</v>
      </c>
      <c r="BZ36">
        <f t="shared" ca="1" si="74"/>
        <v>172.01785374544113</v>
      </c>
      <c r="CA36">
        <f t="shared" ca="1" si="74"/>
        <v>167.63794318352177</v>
      </c>
      <c r="CB36">
        <f t="shared" ca="1" si="74"/>
        <v>159.17361140110683</v>
      </c>
      <c r="CC36">
        <f t="shared" ca="1" si="74"/>
        <v>155.12307174737597</v>
      </c>
      <c r="CD36">
        <f t="shared" ca="1" si="74"/>
        <v>155.33403121924718</v>
      </c>
      <c r="CE36">
        <f t="shared" ca="1" si="74"/>
        <v>158.40078662390158</v>
      </c>
      <c r="CF36">
        <f t="shared" ca="1" si="74"/>
        <v>151.13738039021996</v>
      </c>
      <c r="CG36">
        <f t="shared" ca="1" si="74"/>
        <v>141.36735531662947</v>
      </c>
      <c r="CH36">
        <f t="shared" ca="1" si="74"/>
        <v>138.57406975772318</v>
      </c>
      <c r="CI36">
        <f t="shared" ca="1" si="74"/>
        <v>137.6524873139148</v>
      </c>
      <c r="CJ36">
        <f t="shared" ca="1" si="74"/>
        <v>138.3730084463441</v>
      </c>
      <c r="CK36">
        <f t="shared" ca="1" si="74"/>
        <v>139.4956984065258</v>
      </c>
      <c r="CL36">
        <f t="shared" ca="1" si="74"/>
        <v>138.17521809940624</v>
      </c>
      <c r="CM36">
        <f t="shared" ca="1" si="74"/>
        <v>136.57366967627189</v>
      </c>
      <c r="CN36">
        <f t="shared" ca="1" si="74"/>
        <v>128.11796502513752</v>
      </c>
      <c r="CO36">
        <f t="shared" ca="1" si="74"/>
        <v>130.50515801772539</v>
      </c>
      <c r="CP36">
        <f t="shared" ca="1" si="74"/>
        <v>130.08558247168594</v>
      </c>
      <c r="CQ36">
        <f t="shared" ca="1" si="74"/>
        <v>129.88564042865877</v>
      </c>
      <c r="CR36">
        <f t="shared" ca="1" si="74"/>
        <v>125.35596126612555</v>
      </c>
      <c r="CS36">
        <f t="shared" ca="1" si="74"/>
        <v>123.43504301084435</v>
      </c>
      <c r="CT36">
        <f t="shared" ca="1" si="74"/>
        <v>124.57173156768737</v>
      </c>
      <c r="CU36">
        <f t="shared" ca="1" si="74"/>
        <v>123.6149283355698</v>
      </c>
      <c r="CV36">
        <f t="shared" ca="1" si="70"/>
        <v>0</v>
      </c>
      <c r="CW36">
        <f t="shared" ca="1" si="7"/>
        <v>0</v>
      </c>
    </row>
    <row r="37" spans="5:101" x14ac:dyDescent="0.2">
      <c r="E37">
        <v>222.13</v>
      </c>
      <c r="F37">
        <f t="shared" ref="F37:BQ37" ca="1" si="75">E37*(1+$B$2*$B$4+$B$3*SQRT($B$4)*_xlfn.NORM.S.INV(RAND()))</f>
        <v>225.65984721625333</v>
      </c>
      <c r="G37">
        <f t="shared" ca="1" si="75"/>
        <v>229.23111739844794</v>
      </c>
      <c r="H37">
        <f t="shared" ca="1" si="75"/>
        <v>222.68466982871362</v>
      </c>
      <c r="I37">
        <f t="shared" ca="1" si="75"/>
        <v>218.70704666298201</v>
      </c>
      <c r="J37">
        <f t="shared" ca="1" si="75"/>
        <v>213.2531845541773</v>
      </c>
      <c r="K37">
        <f t="shared" ca="1" si="75"/>
        <v>207.60218001205692</v>
      </c>
      <c r="L37">
        <f t="shared" ca="1" si="75"/>
        <v>211.45211963948526</v>
      </c>
      <c r="M37">
        <f t="shared" ca="1" si="75"/>
        <v>215.12153390439664</v>
      </c>
      <c r="N37">
        <f t="shared" ca="1" si="75"/>
        <v>215.52461745929003</v>
      </c>
      <c r="O37">
        <f t="shared" ca="1" si="75"/>
        <v>215.18985493090148</v>
      </c>
      <c r="P37">
        <f t="shared" ca="1" si="75"/>
        <v>215.61667581702056</v>
      </c>
      <c r="Q37">
        <f t="shared" ca="1" si="75"/>
        <v>213.620654784984</v>
      </c>
      <c r="R37">
        <f t="shared" ca="1" si="75"/>
        <v>213.73831714129926</v>
      </c>
      <c r="S37">
        <f t="shared" ca="1" si="75"/>
        <v>214.08938222460162</v>
      </c>
      <c r="T37">
        <f t="shared" ca="1" si="75"/>
        <v>207.63035570147781</v>
      </c>
      <c r="U37">
        <f t="shared" ca="1" si="75"/>
        <v>217.89144436967882</v>
      </c>
      <c r="V37">
        <f t="shared" ca="1" si="75"/>
        <v>222.81502441967908</v>
      </c>
      <c r="W37">
        <f t="shared" ca="1" si="75"/>
        <v>223.36300560706536</v>
      </c>
      <c r="X37">
        <f t="shared" ca="1" si="75"/>
        <v>227.85924120348389</v>
      </c>
      <c r="Y37">
        <f t="shared" ca="1" si="75"/>
        <v>228.47251886830122</v>
      </c>
      <c r="Z37">
        <f t="shared" ca="1" si="75"/>
        <v>226.1932026064944</v>
      </c>
      <c r="AA37">
        <f t="shared" ca="1" si="75"/>
        <v>219.32770457948467</v>
      </c>
      <c r="AB37">
        <f t="shared" ca="1" si="75"/>
        <v>215.81045778386587</v>
      </c>
      <c r="AC37">
        <f t="shared" ca="1" si="75"/>
        <v>216.95984065489381</v>
      </c>
      <c r="AD37">
        <f t="shared" ca="1" si="75"/>
        <v>217.58087950867505</v>
      </c>
      <c r="AE37">
        <f t="shared" ca="1" si="75"/>
        <v>213.53850907647768</v>
      </c>
      <c r="AF37">
        <f t="shared" ca="1" si="75"/>
        <v>209.66902222188182</v>
      </c>
      <c r="AG37">
        <f t="shared" ca="1" si="75"/>
        <v>212.64154011541726</v>
      </c>
      <c r="AH37">
        <f t="shared" ca="1" si="75"/>
        <v>212.65393764217299</v>
      </c>
      <c r="AI37">
        <f t="shared" ca="1" si="75"/>
        <v>211.32313713688541</v>
      </c>
      <c r="AJ37">
        <f t="shared" ca="1" si="75"/>
        <v>211.797686409367</v>
      </c>
      <c r="AK37">
        <f t="shared" ca="1" si="75"/>
        <v>215.25976691710957</v>
      </c>
      <c r="AL37">
        <f t="shared" ca="1" si="75"/>
        <v>209.15913348223964</v>
      </c>
      <c r="AM37">
        <f t="shared" ca="1" si="75"/>
        <v>200.35982584471782</v>
      </c>
      <c r="AN37">
        <f t="shared" ca="1" si="75"/>
        <v>203.16697207121976</v>
      </c>
      <c r="AO37">
        <f t="shared" ca="1" si="75"/>
        <v>203.52975291322451</v>
      </c>
      <c r="AP37">
        <f t="shared" ca="1" si="75"/>
        <v>208.51521507135175</v>
      </c>
      <c r="AQ37">
        <f t="shared" ca="1" si="75"/>
        <v>203.27678028207291</v>
      </c>
      <c r="AR37">
        <f t="shared" ca="1" si="75"/>
        <v>206.00396469653751</v>
      </c>
      <c r="AS37">
        <f t="shared" ca="1" si="75"/>
        <v>208.04261891877306</v>
      </c>
      <c r="AT37">
        <f t="shared" ca="1" si="75"/>
        <v>205.07642151078167</v>
      </c>
      <c r="AU37">
        <f t="shared" ca="1" si="75"/>
        <v>205.53777558988602</v>
      </c>
      <c r="AV37">
        <f t="shared" ca="1" si="75"/>
        <v>198.9821035637417</v>
      </c>
      <c r="AW37">
        <f t="shared" ca="1" si="75"/>
        <v>208.79048131490049</v>
      </c>
      <c r="AX37">
        <f t="shared" ca="1" si="75"/>
        <v>219.15211244468514</v>
      </c>
      <c r="AY37">
        <f t="shared" ca="1" si="75"/>
        <v>220.39147564046476</v>
      </c>
      <c r="AZ37">
        <f t="shared" ca="1" si="75"/>
        <v>223.09049314359902</v>
      </c>
      <c r="BA37">
        <f t="shared" ca="1" si="75"/>
        <v>224.61078550733887</v>
      </c>
      <c r="BB37">
        <f t="shared" ca="1" si="75"/>
        <v>225.62008751104611</v>
      </c>
      <c r="BC37">
        <f t="shared" ca="1" si="75"/>
        <v>223.33059270806856</v>
      </c>
      <c r="BD37">
        <f t="shared" ca="1" si="75"/>
        <v>232.69431719411051</v>
      </c>
      <c r="BE37">
        <f t="shared" ca="1" si="75"/>
        <v>230.68454999554501</v>
      </c>
      <c r="BF37">
        <f t="shared" ca="1" si="75"/>
        <v>229.28915858740049</v>
      </c>
      <c r="BG37">
        <f t="shared" ca="1" si="75"/>
        <v>227.52381298129723</v>
      </c>
      <c r="BH37">
        <f t="shared" ca="1" si="75"/>
        <v>231.85489800945905</v>
      </c>
      <c r="BI37">
        <f t="shared" ca="1" si="75"/>
        <v>233.85806397820397</v>
      </c>
      <c r="BJ37">
        <f t="shared" ca="1" si="75"/>
        <v>236.22856909106457</v>
      </c>
      <c r="BK37">
        <f t="shared" ca="1" si="75"/>
        <v>236.86315975483905</v>
      </c>
      <c r="BL37">
        <f t="shared" ca="1" si="75"/>
        <v>224.68180930488199</v>
      </c>
      <c r="BM37">
        <f t="shared" ca="1" si="75"/>
        <v>223.43788088551358</v>
      </c>
      <c r="BN37">
        <f t="shared" ca="1" si="75"/>
        <v>220.28972111574276</v>
      </c>
      <c r="BO37">
        <f t="shared" ca="1" si="75"/>
        <v>223.62369526764749</v>
      </c>
      <c r="BP37">
        <f t="shared" ca="1" si="75"/>
        <v>226.0044789484221</v>
      </c>
      <c r="BQ37">
        <f t="shared" ca="1" si="75"/>
        <v>223.26755615935991</v>
      </c>
      <c r="BR37">
        <f t="shared" ref="BR37:CU37" ca="1" si="76">BQ37*(1+$B$2*$B$4+$B$3*SQRT($B$4)*_xlfn.NORM.S.INV(RAND()))</f>
        <v>224.6811157816617</v>
      </c>
      <c r="BS37">
        <f t="shared" ca="1" si="76"/>
        <v>231.17319591533308</v>
      </c>
      <c r="BT37">
        <f t="shared" ca="1" si="76"/>
        <v>223.33416637134488</v>
      </c>
      <c r="BU37">
        <f t="shared" ca="1" si="76"/>
        <v>228.92746573533205</v>
      </c>
      <c r="BV37">
        <f t="shared" ca="1" si="76"/>
        <v>232.22284599788767</v>
      </c>
      <c r="BW37">
        <f t="shared" ca="1" si="76"/>
        <v>233.81283903061669</v>
      </c>
      <c r="BX37">
        <f t="shared" ca="1" si="76"/>
        <v>236.03954616750246</v>
      </c>
      <c r="BY37">
        <f t="shared" ca="1" si="76"/>
        <v>226.14433950988013</v>
      </c>
      <c r="BZ37">
        <f t="shared" ca="1" si="76"/>
        <v>226.25247430265128</v>
      </c>
      <c r="CA37">
        <f t="shared" ca="1" si="76"/>
        <v>216.08458881138506</v>
      </c>
      <c r="CB37">
        <f t="shared" ca="1" si="76"/>
        <v>208.6710222973314</v>
      </c>
      <c r="CC37">
        <f t="shared" ca="1" si="76"/>
        <v>199.13093605462518</v>
      </c>
      <c r="CD37">
        <f t="shared" ca="1" si="76"/>
        <v>196.06227770235932</v>
      </c>
      <c r="CE37">
        <f t="shared" ca="1" si="76"/>
        <v>200.02139045919589</v>
      </c>
      <c r="CF37">
        <f t="shared" ca="1" si="76"/>
        <v>201.75262046683494</v>
      </c>
      <c r="CG37">
        <f t="shared" ca="1" si="76"/>
        <v>208.43522685964857</v>
      </c>
      <c r="CH37">
        <f t="shared" ca="1" si="76"/>
        <v>209.0927452799659</v>
      </c>
      <c r="CI37">
        <f t="shared" ca="1" si="76"/>
        <v>214.82224734152831</v>
      </c>
      <c r="CJ37">
        <f t="shared" ca="1" si="76"/>
        <v>209.21246806762707</v>
      </c>
      <c r="CK37">
        <f t="shared" ca="1" si="76"/>
        <v>210.39869591961332</v>
      </c>
      <c r="CL37">
        <f t="shared" ca="1" si="76"/>
        <v>204.22555598862596</v>
      </c>
      <c r="CM37">
        <f t="shared" ca="1" si="76"/>
        <v>206.87341279460239</v>
      </c>
      <c r="CN37">
        <f t="shared" ca="1" si="76"/>
        <v>210.50862727082551</v>
      </c>
      <c r="CO37">
        <f t="shared" ca="1" si="76"/>
        <v>211.0584518657561</v>
      </c>
      <c r="CP37">
        <f t="shared" ca="1" si="76"/>
        <v>216.0068112322144</v>
      </c>
      <c r="CQ37">
        <f t="shared" ca="1" si="76"/>
        <v>213.50835480035062</v>
      </c>
      <c r="CR37">
        <f t="shared" ca="1" si="76"/>
        <v>220.91568901283298</v>
      </c>
      <c r="CS37">
        <f t="shared" ca="1" si="76"/>
        <v>215.15020390081568</v>
      </c>
      <c r="CT37">
        <f t="shared" ca="1" si="76"/>
        <v>217.92912799872499</v>
      </c>
      <c r="CU37">
        <f t="shared" ca="1" si="76"/>
        <v>226.41013612372305</v>
      </c>
      <c r="CV37">
        <f t="shared" ca="1" si="70"/>
        <v>6.4101361237230492</v>
      </c>
      <c r="CW37">
        <f t="shared" ca="1" si="7"/>
        <v>6.1630986886590655</v>
      </c>
    </row>
    <row r="38" spans="5:101" x14ac:dyDescent="0.2">
      <c r="E38">
        <v>222.13</v>
      </c>
      <c r="F38">
        <f t="shared" ref="F38:BQ38" ca="1" si="77">E38*(1+$B$2*$B$4+$B$3*SQRT($B$4)*_xlfn.NORM.S.INV(RAND()))</f>
        <v>220.03236311057481</v>
      </c>
      <c r="G38">
        <f t="shared" ca="1" si="77"/>
        <v>226.21588527965008</v>
      </c>
      <c r="H38">
        <f t="shared" ca="1" si="77"/>
        <v>222.41635206867099</v>
      </c>
      <c r="I38">
        <f t="shared" ca="1" si="77"/>
        <v>220.91700363489022</v>
      </c>
      <c r="J38">
        <f t="shared" ca="1" si="77"/>
        <v>222.78791330234833</v>
      </c>
      <c r="K38">
        <f t="shared" ca="1" si="77"/>
        <v>220.50703810432088</v>
      </c>
      <c r="L38">
        <f t="shared" ca="1" si="77"/>
        <v>218.41864942663221</v>
      </c>
      <c r="M38">
        <f t="shared" ca="1" si="77"/>
        <v>222.2981216112546</v>
      </c>
      <c r="N38">
        <f t="shared" ca="1" si="77"/>
        <v>217.13719251217145</v>
      </c>
      <c r="O38">
        <f t="shared" ca="1" si="77"/>
        <v>219.21257661768269</v>
      </c>
      <c r="P38">
        <f t="shared" ca="1" si="77"/>
        <v>222.41866840385765</v>
      </c>
      <c r="Q38">
        <f t="shared" ca="1" si="77"/>
        <v>228.56037661901766</v>
      </c>
      <c r="R38">
        <f t="shared" ca="1" si="77"/>
        <v>225.24992545237123</v>
      </c>
      <c r="S38">
        <f t="shared" ca="1" si="77"/>
        <v>220.65347568744463</v>
      </c>
      <c r="T38">
        <f t="shared" ca="1" si="77"/>
        <v>226.78017445394519</v>
      </c>
      <c r="U38">
        <f t="shared" ca="1" si="77"/>
        <v>229.91351160122773</v>
      </c>
      <c r="V38">
        <f t="shared" ca="1" si="77"/>
        <v>233.08026151989932</v>
      </c>
      <c r="W38">
        <f t="shared" ca="1" si="77"/>
        <v>247.90310726493431</v>
      </c>
      <c r="X38">
        <f t="shared" ca="1" si="77"/>
        <v>254.48414835134867</v>
      </c>
      <c r="Y38">
        <f t="shared" ca="1" si="77"/>
        <v>254.36219927335847</v>
      </c>
      <c r="Z38">
        <f t="shared" ca="1" si="77"/>
        <v>258.72669255565989</v>
      </c>
      <c r="AA38">
        <f t="shared" ca="1" si="77"/>
        <v>255.61869803783526</v>
      </c>
      <c r="AB38">
        <f t="shared" ca="1" si="77"/>
        <v>266.34985939618593</v>
      </c>
      <c r="AC38">
        <f t="shared" ca="1" si="77"/>
        <v>262.47139990643541</v>
      </c>
      <c r="AD38">
        <f t="shared" ca="1" si="77"/>
        <v>256.19895169699305</v>
      </c>
      <c r="AE38">
        <f t="shared" ca="1" si="77"/>
        <v>255.51727760157232</v>
      </c>
      <c r="AF38">
        <f t="shared" ca="1" si="77"/>
        <v>246.22406262686562</v>
      </c>
      <c r="AG38">
        <f t="shared" ca="1" si="77"/>
        <v>244.2116945907008</v>
      </c>
      <c r="AH38">
        <f t="shared" ca="1" si="77"/>
        <v>246.69188894120407</v>
      </c>
      <c r="AI38">
        <f t="shared" ca="1" si="77"/>
        <v>242.25007031120907</v>
      </c>
      <c r="AJ38">
        <f t="shared" ca="1" si="77"/>
        <v>236.98544473777403</v>
      </c>
      <c r="AK38">
        <f t="shared" ca="1" si="77"/>
        <v>234.0649745818784</v>
      </c>
      <c r="AL38">
        <f t="shared" ca="1" si="77"/>
        <v>239.14189720317077</v>
      </c>
      <c r="AM38">
        <f t="shared" ca="1" si="77"/>
        <v>250.04587886646246</v>
      </c>
      <c r="AN38">
        <f t="shared" ca="1" si="77"/>
        <v>243.42229656945253</v>
      </c>
      <c r="AO38">
        <f t="shared" ca="1" si="77"/>
        <v>245.83294807734836</v>
      </c>
      <c r="AP38">
        <f t="shared" ca="1" si="77"/>
        <v>245.84669579435652</v>
      </c>
      <c r="AQ38">
        <f t="shared" ca="1" si="77"/>
        <v>247.52424005560141</v>
      </c>
      <c r="AR38">
        <f t="shared" ca="1" si="77"/>
        <v>253.26124225148178</v>
      </c>
      <c r="AS38">
        <f t="shared" ca="1" si="77"/>
        <v>252.42758213019914</v>
      </c>
      <c r="AT38">
        <f t="shared" ca="1" si="77"/>
        <v>256.13430452493355</v>
      </c>
      <c r="AU38">
        <f t="shared" ca="1" si="77"/>
        <v>254.13535325391683</v>
      </c>
      <c r="AV38">
        <f t="shared" ca="1" si="77"/>
        <v>270.32077750021347</v>
      </c>
      <c r="AW38">
        <f t="shared" ca="1" si="77"/>
        <v>272.03137614891125</v>
      </c>
      <c r="AX38">
        <f t="shared" ca="1" si="77"/>
        <v>270.46216031658543</v>
      </c>
      <c r="AY38">
        <f t="shared" ca="1" si="77"/>
        <v>266.62373200345405</v>
      </c>
      <c r="AZ38">
        <f t="shared" ca="1" si="77"/>
        <v>275.48225758151375</v>
      </c>
      <c r="BA38">
        <f t="shared" ca="1" si="77"/>
        <v>277.19589030961816</v>
      </c>
      <c r="BB38">
        <f t="shared" ca="1" si="77"/>
        <v>271.64293353034537</v>
      </c>
      <c r="BC38">
        <f t="shared" ca="1" si="77"/>
        <v>268.88722934540726</v>
      </c>
      <c r="BD38">
        <f t="shared" ca="1" si="77"/>
        <v>273.27158646944105</v>
      </c>
      <c r="BE38">
        <f t="shared" ca="1" si="77"/>
        <v>268.09135051590619</v>
      </c>
      <c r="BF38">
        <f t="shared" ca="1" si="77"/>
        <v>270.47783271288938</v>
      </c>
      <c r="BG38">
        <f t="shared" ca="1" si="77"/>
        <v>270.6625916824899</v>
      </c>
      <c r="BH38">
        <f t="shared" ca="1" si="77"/>
        <v>260.61247994202409</v>
      </c>
      <c r="BI38">
        <f t="shared" ca="1" si="77"/>
        <v>251.15749718458281</v>
      </c>
      <c r="BJ38">
        <f t="shared" ca="1" si="77"/>
        <v>238.22346066519904</v>
      </c>
      <c r="BK38">
        <f t="shared" ca="1" si="77"/>
        <v>244.39143952253249</v>
      </c>
      <c r="BL38">
        <f t="shared" ca="1" si="77"/>
        <v>247.82693779092574</v>
      </c>
      <c r="BM38">
        <f t="shared" ca="1" si="77"/>
        <v>246.54782633803939</v>
      </c>
      <c r="BN38">
        <f t="shared" ca="1" si="77"/>
        <v>249.75212352041322</v>
      </c>
      <c r="BO38">
        <f t="shared" ca="1" si="77"/>
        <v>248.87428229076144</v>
      </c>
      <c r="BP38">
        <f t="shared" ca="1" si="77"/>
        <v>252.06629601326452</v>
      </c>
      <c r="BQ38">
        <f t="shared" ca="1" si="77"/>
        <v>262.2647844051877</v>
      </c>
      <c r="BR38">
        <f t="shared" ref="BR38:CU38" ca="1" si="78">BQ38*(1+$B$2*$B$4+$B$3*SQRT($B$4)*_xlfn.NORM.S.INV(RAND()))</f>
        <v>265.92008862866294</v>
      </c>
      <c r="BS38">
        <f t="shared" ca="1" si="78"/>
        <v>265.57326331714449</v>
      </c>
      <c r="BT38">
        <f t="shared" ca="1" si="78"/>
        <v>269.22451067497292</v>
      </c>
      <c r="BU38">
        <f t="shared" ca="1" si="78"/>
        <v>275.9172658577229</v>
      </c>
      <c r="BV38">
        <f t="shared" ca="1" si="78"/>
        <v>286.97602230783252</v>
      </c>
      <c r="BW38">
        <f t="shared" ca="1" si="78"/>
        <v>283.10092364325914</v>
      </c>
      <c r="BX38">
        <f t="shared" ca="1" si="78"/>
        <v>284.45730846748972</v>
      </c>
      <c r="BY38">
        <f t="shared" ca="1" si="78"/>
        <v>289.6354544545112</v>
      </c>
      <c r="BZ38">
        <f t="shared" ca="1" si="78"/>
        <v>303.2322140081659</v>
      </c>
      <c r="CA38">
        <f t="shared" ca="1" si="78"/>
        <v>302.12385687932971</v>
      </c>
      <c r="CB38">
        <f t="shared" ca="1" si="78"/>
        <v>302.29715709324068</v>
      </c>
      <c r="CC38">
        <f t="shared" ca="1" si="78"/>
        <v>308.05483267393441</v>
      </c>
      <c r="CD38">
        <f t="shared" ca="1" si="78"/>
        <v>312.70729345811714</v>
      </c>
      <c r="CE38">
        <f t="shared" ca="1" si="78"/>
        <v>320.72037094411797</v>
      </c>
      <c r="CF38">
        <f t="shared" ca="1" si="78"/>
        <v>313.51065713264188</v>
      </c>
      <c r="CG38">
        <f t="shared" ca="1" si="78"/>
        <v>314.93552968283109</v>
      </c>
      <c r="CH38">
        <f t="shared" ca="1" si="78"/>
        <v>317.3089836060978</v>
      </c>
      <c r="CI38">
        <f t="shared" ca="1" si="78"/>
        <v>340.25322839594901</v>
      </c>
      <c r="CJ38">
        <f t="shared" ca="1" si="78"/>
        <v>336.10471035310604</v>
      </c>
      <c r="CK38">
        <f t="shared" ca="1" si="78"/>
        <v>337.80911254559385</v>
      </c>
      <c r="CL38">
        <f t="shared" ca="1" si="78"/>
        <v>324.51510241711054</v>
      </c>
      <c r="CM38">
        <f t="shared" ca="1" si="78"/>
        <v>333.83397923503202</v>
      </c>
      <c r="CN38">
        <f t="shared" ca="1" si="78"/>
        <v>328.12372945844521</v>
      </c>
      <c r="CO38">
        <f t="shared" ca="1" si="78"/>
        <v>321.76287086794014</v>
      </c>
      <c r="CP38">
        <f t="shared" ca="1" si="78"/>
        <v>327.3834662561149</v>
      </c>
      <c r="CQ38">
        <f t="shared" ca="1" si="78"/>
        <v>319.42300727149672</v>
      </c>
      <c r="CR38">
        <f t="shared" ca="1" si="78"/>
        <v>330.52284108059297</v>
      </c>
      <c r="CS38">
        <f t="shared" ca="1" si="78"/>
        <v>328.69712490399985</v>
      </c>
      <c r="CT38">
        <f t="shared" ca="1" si="78"/>
        <v>331.74836120016113</v>
      </c>
      <c r="CU38">
        <f t="shared" ca="1" si="78"/>
        <v>336.76596774243887</v>
      </c>
      <c r="CV38">
        <f t="shared" ca="1" si="70"/>
        <v>116.76596774243887</v>
      </c>
      <c r="CW38">
        <f t="shared" ca="1" si="7"/>
        <v>112.26597513430964</v>
      </c>
    </row>
    <row r="39" spans="5:101" x14ac:dyDescent="0.2">
      <c r="E39">
        <v>222.13</v>
      </c>
      <c r="F39">
        <f t="shared" ref="F39:BQ39" ca="1" si="79">E39*(1+$B$2*$B$4+$B$3*SQRT($B$4)*_xlfn.NORM.S.INV(RAND()))</f>
        <v>219.85247811743452</v>
      </c>
      <c r="G39">
        <f t="shared" ca="1" si="79"/>
        <v>217.57692614222714</v>
      </c>
      <c r="H39">
        <f t="shared" ca="1" si="79"/>
        <v>215.77055789159641</v>
      </c>
      <c r="I39">
        <f t="shared" ca="1" si="79"/>
        <v>210.12286132002052</v>
      </c>
      <c r="J39">
        <f t="shared" ca="1" si="79"/>
        <v>212.78460543804155</v>
      </c>
      <c r="K39">
        <f t="shared" ca="1" si="79"/>
        <v>207.50543035528523</v>
      </c>
      <c r="L39">
        <f t="shared" ca="1" si="79"/>
        <v>212.99394121589276</v>
      </c>
      <c r="M39">
        <f t="shared" ca="1" si="79"/>
        <v>212.04225275440888</v>
      </c>
      <c r="N39">
        <f t="shared" ca="1" si="79"/>
        <v>213.78602399138219</v>
      </c>
      <c r="O39">
        <f t="shared" ca="1" si="79"/>
        <v>214.09333442298009</v>
      </c>
      <c r="P39">
        <f t="shared" ca="1" si="79"/>
        <v>223.91661783373331</v>
      </c>
      <c r="Q39">
        <f t="shared" ca="1" si="79"/>
        <v>217.35885227737219</v>
      </c>
      <c r="R39">
        <f t="shared" ca="1" si="79"/>
        <v>217.57789839177497</v>
      </c>
      <c r="S39">
        <f t="shared" ca="1" si="79"/>
        <v>222.38002410745412</v>
      </c>
      <c r="T39">
        <f t="shared" ca="1" si="79"/>
        <v>224.62178318062789</v>
      </c>
      <c r="U39">
        <f t="shared" ca="1" si="79"/>
        <v>231.29450922581077</v>
      </c>
      <c r="V39">
        <f t="shared" ca="1" si="79"/>
        <v>231.15203401752089</v>
      </c>
      <c r="W39">
        <f t="shared" ca="1" si="79"/>
        <v>224.09240398491892</v>
      </c>
      <c r="X39">
        <f t="shared" ca="1" si="79"/>
        <v>224.20534653819703</v>
      </c>
      <c r="Y39">
        <f t="shared" ca="1" si="79"/>
        <v>222.05855951138631</v>
      </c>
      <c r="Z39">
        <f t="shared" ca="1" si="79"/>
        <v>231.20923986767576</v>
      </c>
      <c r="AA39">
        <f t="shared" ca="1" si="79"/>
        <v>233.41675338910576</v>
      </c>
      <c r="AB39">
        <f t="shared" ca="1" si="79"/>
        <v>233.11395505428564</v>
      </c>
      <c r="AC39">
        <f t="shared" ca="1" si="79"/>
        <v>231.97571207420049</v>
      </c>
      <c r="AD39">
        <f t="shared" ca="1" si="79"/>
        <v>221.52181478904976</v>
      </c>
      <c r="AE39">
        <f t="shared" ca="1" si="79"/>
        <v>219.97147010634998</v>
      </c>
      <c r="AF39">
        <f t="shared" ca="1" si="79"/>
        <v>215.89135694582453</v>
      </c>
      <c r="AG39">
        <f t="shared" ca="1" si="79"/>
        <v>217.86408726976424</v>
      </c>
      <c r="AH39">
        <f t="shared" ca="1" si="79"/>
        <v>221.63106771937927</v>
      </c>
      <c r="AI39">
        <f t="shared" ca="1" si="79"/>
        <v>227.45462423380874</v>
      </c>
      <c r="AJ39">
        <f t="shared" ca="1" si="79"/>
        <v>232.22909528512182</v>
      </c>
      <c r="AK39">
        <f t="shared" ca="1" si="79"/>
        <v>234.692467376005</v>
      </c>
      <c r="AL39">
        <f t="shared" ca="1" si="79"/>
        <v>242.83792016931687</v>
      </c>
      <c r="AM39">
        <f t="shared" ca="1" si="79"/>
        <v>242.15477472581577</v>
      </c>
      <c r="AN39">
        <f t="shared" ca="1" si="79"/>
        <v>239.96854936955398</v>
      </c>
      <c r="AO39">
        <f t="shared" ca="1" si="79"/>
        <v>241.3279702696118</v>
      </c>
      <c r="AP39">
        <f t="shared" ca="1" si="79"/>
        <v>237.86397370460318</v>
      </c>
      <c r="AQ39">
        <f t="shared" ca="1" si="79"/>
        <v>244.83328265943126</v>
      </c>
      <c r="AR39">
        <f t="shared" ca="1" si="79"/>
        <v>241.94965160971884</v>
      </c>
      <c r="AS39">
        <f t="shared" ca="1" si="79"/>
        <v>238.93281754454213</v>
      </c>
      <c r="AT39">
        <f t="shared" ca="1" si="79"/>
        <v>240.0605463501372</v>
      </c>
      <c r="AU39">
        <f t="shared" ca="1" si="79"/>
        <v>247.45594689300933</v>
      </c>
      <c r="AV39">
        <f t="shared" ca="1" si="79"/>
        <v>248.21230157953914</v>
      </c>
      <c r="AW39">
        <f t="shared" ca="1" si="79"/>
        <v>250.07504605041629</v>
      </c>
      <c r="AX39">
        <f t="shared" ca="1" si="79"/>
        <v>258.05109351041659</v>
      </c>
      <c r="AY39">
        <f t="shared" ca="1" si="79"/>
        <v>257.678524283108</v>
      </c>
      <c r="AZ39">
        <f t="shared" ca="1" si="79"/>
        <v>250.74471486881797</v>
      </c>
      <c r="BA39">
        <f t="shared" ca="1" si="79"/>
        <v>249.8174920671502</v>
      </c>
      <c r="BB39">
        <f t="shared" ca="1" si="79"/>
        <v>251.65281865981439</v>
      </c>
      <c r="BC39">
        <f t="shared" ca="1" si="79"/>
        <v>255.06245781018924</v>
      </c>
      <c r="BD39">
        <f t="shared" ca="1" si="79"/>
        <v>256.44693542600265</v>
      </c>
      <c r="BE39">
        <f t="shared" ca="1" si="79"/>
        <v>258.89569816289537</v>
      </c>
      <c r="BF39">
        <f t="shared" ca="1" si="79"/>
        <v>258.4190553663899</v>
      </c>
      <c r="BG39">
        <f t="shared" ca="1" si="79"/>
        <v>253.19668603278984</v>
      </c>
      <c r="BH39">
        <f t="shared" ca="1" si="79"/>
        <v>256.75135611154172</v>
      </c>
      <c r="BI39">
        <f t="shared" ca="1" si="79"/>
        <v>255.41525211649653</v>
      </c>
      <c r="BJ39">
        <f t="shared" ca="1" si="79"/>
        <v>253.75207677650144</v>
      </c>
      <c r="BK39">
        <f t="shared" ca="1" si="79"/>
        <v>261.6146491696158</v>
      </c>
      <c r="BL39">
        <f t="shared" ca="1" si="79"/>
        <v>260.14758723673179</v>
      </c>
      <c r="BM39">
        <f t="shared" ca="1" si="79"/>
        <v>252.60859171766364</v>
      </c>
      <c r="BN39">
        <f t="shared" ca="1" si="79"/>
        <v>262.35975330698426</v>
      </c>
      <c r="BO39">
        <f t="shared" ca="1" si="79"/>
        <v>262.2447508662529</v>
      </c>
      <c r="BP39">
        <f t="shared" ca="1" si="79"/>
        <v>254.92723207340973</v>
      </c>
      <c r="BQ39">
        <f t="shared" ca="1" si="79"/>
        <v>236.43171452747376</v>
      </c>
      <c r="BR39">
        <f t="shared" ref="BR39:CU39" ca="1" si="80">BQ39*(1+$B$2*$B$4+$B$3*SQRT($B$4)*_xlfn.NORM.S.INV(RAND()))</f>
        <v>244.13543555651472</v>
      </c>
      <c r="BS39">
        <f t="shared" ca="1" si="80"/>
        <v>240.72059134324851</v>
      </c>
      <c r="BT39">
        <f t="shared" ca="1" si="80"/>
        <v>244.07193889307271</v>
      </c>
      <c r="BU39">
        <f t="shared" ca="1" si="80"/>
        <v>247.86705380198836</v>
      </c>
      <c r="BV39">
        <f t="shared" ca="1" si="80"/>
        <v>253.18435233869712</v>
      </c>
      <c r="BW39">
        <f t="shared" ca="1" si="80"/>
        <v>263.99733974131243</v>
      </c>
      <c r="BX39">
        <f t="shared" ca="1" si="80"/>
        <v>271.01184831535801</v>
      </c>
      <c r="BY39">
        <f t="shared" ca="1" si="80"/>
        <v>267.35285047523763</v>
      </c>
      <c r="BZ39">
        <f t="shared" ca="1" si="80"/>
        <v>267.83616475879791</v>
      </c>
      <c r="CA39">
        <f t="shared" ca="1" si="80"/>
        <v>268.03774943674563</v>
      </c>
      <c r="CB39">
        <f t="shared" ca="1" si="80"/>
        <v>266.44995183343991</v>
      </c>
      <c r="CC39">
        <f t="shared" ca="1" si="80"/>
        <v>264.75205870434587</v>
      </c>
      <c r="CD39">
        <f t="shared" ca="1" si="80"/>
        <v>265.84481338747224</v>
      </c>
      <c r="CE39">
        <f t="shared" ca="1" si="80"/>
        <v>273.75655726967074</v>
      </c>
      <c r="CF39">
        <f t="shared" ca="1" si="80"/>
        <v>273.4963475460674</v>
      </c>
      <c r="CG39">
        <f t="shared" ca="1" si="80"/>
        <v>275.52689564614343</v>
      </c>
      <c r="CH39">
        <f t="shared" ca="1" si="80"/>
        <v>274.89137363107534</v>
      </c>
      <c r="CI39">
        <f t="shared" ca="1" si="80"/>
        <v>280.83693169159693</v>
      </c>
      <c r="CJ39">
        <f t="shared" ca="1" si="80"/>
        <v>271.37530131591404</v>
      </c>
      <c r="CK39">
        <f t="shared" ca="1" si="80"/>
        <v>270.304733814195</v>
      </c>
      <c r="CL39">
        <f t="shared" ca="1" si="80"/>
        <v>266.73079908493639</v>
      </c>
      <c r="CM39">
        <f t="shared" ca="1" si="80"/>
        <v>255.7046371384757</v>
      </c>
      <c r="CN39">
        <f t="shared" ca="1" si="80"/>
        <v>260.75543585376613</v>
      </c>
      <c r="CO39">
        <f t="shared" ca="1" si="80"/>
        <v>259.45967757456759</v>
      </c>
      <c r="CP39">
        <f t="shared" ca="1" si="80"/>
        <v>253.22912166020217</v>
      </c>
      <c r="CQ39">
        <f t="shared" ca="1" si="80"/>
        <v>260.28000047636596</v>
      </c>
      <c r="CR39">
        <f t="shared" ca="1" si="80"/>
        <v>266.45724926229389</v>
      </c>
      <c r="CS39">
        <f t="shared" ca="1" si="80"/>
        <v>264.83658161370545</v>
      </c>
      <c r="CT39">
        <f t="shared" ca="1" si="80"/>
        <v>265.90037364944101</v>
      </c>
      <c r="CU39">
        <f t="shared" ca="1" si="80"/>
        <v>271.68275709287639</v>
      </c>
      <c r="CV39">
        <f t="shared" ca="1" si="70"/>
        <v>51.682757092876386</v>
      </c>
      <c r="CW39">
        <f t="shared" ca="1" si="7"/>
        <v>49.690977900854548</v>
      </c>
    </row>
    <row r="40" spans="5:101" x14ac:dyDescent="0.2">
      <c r="E40">
        <v>222.13</v>
      </c>
      <c r="F40">
        <f t="shared" ref="F40:BQ40" ca="1" si="81">E40*(1+$B$2*$B$4+$B$3*SQRT($B$4)*_xlfn.NORM.S.INV(RAND()))</f>
        <v>217.70612865945895</v>
      </c>
      <c r="G40">
        <f t="shared" ca="1" si="81"/>
        <v>221.73132274362598</v>
      </c>
      <c r="H40">
        <f t="shared" ca="1" si="81"/>
        <v>216.13100290011727</v>
      </c>
      <c r="I40">
        <f t="shared" ca="1" si="81"/>
        <v>220.91301146256475</v>
      </c>
      <c r="J40">
        <f t="shared" ca="1" si="81"/>
        <v>220.39376380853776</v>
      </c>
      <c r="K40">
        <f t="shared" ca="1" si="81"/>
        <v>211.15655648044779</v>
      </c>
      <c r="L40">
        <f t="shared" ca="1" si="81"/>
        <v>205.32029107290663</v>
      </c>
      <c r="M40">
        <f t="shared" ca="1" si="81"/>
        <v>193.87634044512208</v>
      </c>
      <c r="N40">
        <f t="shared" ca="1" si="81"/>
        <v>195.97454672052481</v>
      </c>
      <c r="O40">
        <f t="shared" ca="1" si="81"/>
        <v>203.80213829972394</v>
      </c>
      <c r="P40">
        <f t="shared" ca="1" si="81"/>
        <v>201.37610195207512</v>
      </c>
      <c r="Q40">
        <f t="shared" ca="1" si="81"/>
        <v>202.82823377247854</v>
      </c>
      <c r="R40">
        <f t="shared" ca="1" si="81"/>
        <v>204.86834314901043</v>
      </c>
      <c r="S40">
        <f t="shared" ca="1" si="81"/>
        <v>203.35380880733186</v>
      </c>
      <c r="T40">
        <f t="shared" ca="1" si="81"/>
        <v>204.51317701967361</v>
      </c>
      <c r="U40">
        <f t="shared" ca="1" si="81"/>
        <v>210.76870535091382</v>
      </c>
      <c r="V40">
        <f t="shared" ca="1" si="81"/>
        <v>219.088396310467</v>
      </c>
      <c r="W40">
        <f t="shared" ca="1" si="81"/>
        <v>222.77770125711174</v>
      </c>
      <c r="X40">
        <f t="shared" ca="1" si="81"/>
        <v>225.38760539782436</v>
      </c>
      <c r="Y40">
        <f t="shared" ca="1" si="81"/>
        <v>226.87767715723123</v>
      </c>
      <c r="Z40">
        <f t="shared" ca="1" si="81"/>
        <v>220.87272429074469</v>
      </c>
      <c r="AA40">
        <f t="shared" ca="1" si="81"/>
        <v>226.78647843457244</v>
      </c>
      <c r="AB40">
        <f t="shared" ca="1" si="81"/>
        <v>221.68769108086525</v>
      </c>
      <c r="AC40">
        <f t="shared" ca="1" si="81"/>
        <v>217.64251420714442</v>
      </c>
      <c r="AD40">
        <f t="shared" ca="1" si="81"/>
        <v>209.89213437615766</v>
      </c>
      <c r="AE40">
        <f t="shared" ca="1" si="81"/>
        <v>210.84525269072691</v>
      </c>
      <c r="AF40">
        <f t="shared" ca="1" si="81"/>
        <v>202.84195314330393</v>
      </c>
      <c r="AG40">
        <f t="shared" ca="1" si="81"/>
        <v>200.2142214746217</v>
      </c>
      <c r="AH40">
        <f t="shared" ca="1" si="81"/>
        <v>210.78515970578974</v>
      </c>
      <c r="AI40">
        <f t="shared" ca="1" si="81"/>
        <v>211.48199496022534</v>
      </c>
      <c r="AJ40">
        <f t="shared" ca="1" si="81"/>
        <v>208.40674683452957</v>
      </c>
      <c r="AK40">
        <f t="shared" ca="1" si="81"/>
        <v>200.66607332107768</v>
      </c>
      <c r="AL40">
        <f t="shared" ca="1" si="81"/>
        <v>204.70058402418545</v>
      </c>
      <c r="AM40">
        <f t="shared" ca="1" si="81"/>
        <v>205.15747153082913</v>
      </c>
      <c r="AN40">
        <f t="shared" ca="1" si="81"/>
        <v>209.37203161861379</v>
      </c>
      <c r="AO40">
        <f t="shared" ca="1" si="81"/>
        <v>205.22290735873</v>
      </c>
      <c r="AP40">
        <f t="shared" ca="1" si="81"/>
        <v>208.87900584785245</v>
      </c>
      <c r="AQ40">
        <f t="shared" ca="1" si="81"/>
        <v>206.51875422612278</v>
      </c>
      <c r="AR40">
        <f t="shared" ca="1" si="81"/>
        <v>210.97883001694953</v>
      </c>
      <c r="AS40">
        <f t="shared" ca="1" si="81"/>
        <v>218.19969121044775</v>
      </c>
      <c r="AT40">
        <f t="shared" ca="1" si="81"/>
        <v>214.80619879585876</v>
      </c>
      <c r="AU40">
        <f t="shared" ca="1" si="81"/>
        <v>218.28443195103213</v>
      </c>
      <c r="AV40">
        <f t="shared" ca="1" si="81"/>
        <v>230.15096659015595</v>
      </c>
      <c r="AW40">
        <f t="shared" ca="1" si="81"/>
        <v>222.14326035018047</v>
      </c>
      <c r="AX40">
        <f t="shared" ca="1" si="81"/>
        <v>224.66043180457021</v>
      </c>
      <c r="AY40">
        <f t="shared" ca="1" si="81"/>
        <v>220.70559895463887</v>
      </c>
      <c r="AZ40">
        <f t="shared" ca="1" si="81"/>
        <v>220.78685095821206</v>
      </c>
      <c r="BA40">
        <f t="shared" ca="1" si="81"/>
        <v>223.29952818438136</v>
      </c>
      <c r="BB40">
        <f t="shared" ca="1" si="81"/>
        <v>226.63015041826026</v>
      </c>
      <c r="BC40">
        <f t="shared" ca="1" si="81"/>
        <v>232.18081547420192</v>
      </c>
      <c r="BD40">
        <f t="shared" ca="1" si="81"/>
        <v>230.43530244944654</v>
      </c>
      <c r="BE40">
        <f t="shared" ca="1" si="81"/>
        <v>235.31053708643822</v>
      </c>
      <c r="BF40">
        <f t="shared" ca="1" si="81"/>
        <v>237.89240028514894</v>
      </c>
      <c r="BG40">
        <f t="shared" ca="1" si="81"/>
        <v>244.80469020508659</v>
      </c>
      <c r="BH40">
        <f t="shared" ca="1" si="81"/>
        <v>245.498690468051</v>
      </c>
      <c r="BI40">
        <f t="shared" ca="1" si="81"/>
        <v>239.48402193026138</v>
      </c>
      <c r="BJ40">
        <f t="shared" ca="1" si="81"/>
        <v>239.03737731619717</v>
      </c>
      <c r="BK40">
        <f t="shared" ca="1" si="81"/>
        <v>236.49699280220858</v>
      </c>
      <c r="BL40">
        <f t="shared" ca="1" si="81"/>
        <v>230.99230392685411</v>
      </c>
      <c r="BM40">
        <f t="shared" ca="1" si="81"/>
        <v>235.08996361555455</v>
      </c>
      <c r="BN40">
        <f t="shared" ca="1" si="81"/>
        <v>229.06462907258171</v>
      </c>
      <c r="BO40">
        <f t="shared" ca="1" si="81"/>
        <v>230.46774100434055</v>
      </c>
      <c r="BP40">
        <f t="shared" ca="1" si="81"/>
        <v>219.64099598004884</v>
      </c>
      <c r="BQ40">
        <f t="shared" ca="1" si="81"/>
        <v>225.9171407682685</v>
      </c>
      <c r="BR40">
        <f t="shared" ref="BR40:CU40" ca="1" si="82">BQ40*(1+$B$2*$B$4+$B$3*SQRT($B$4)*_xlfn.NORM.S.INV(RAND()))</f>
        <v>221.2610096968632</v>
      </c>
      <c r="BS40">
        <f t="shared" ca="1" si="82"/>
        <v>214.06658515369688</v>
      </c>
      <c r="BT40">
        <f t="shared" ca="1" si="82"/>
        <v>209.31510989188047</v>
      </c>
      <c r="BU40">
        <f t="shared" ca="1" si="82"/>
        <v>212.23677111894091</v>
      </c>
      <c r="BV40">
        <f t="shared" ca="1" si="82"/>
        <v>205.9158852372112</v>
      </c>
      <c r="BW40">
        <f t="shared" ca="1" si="82"/>
        <v>213.22848897592027</v>
      </c>
      <c r="BX40">
        <f t="shared" ca="1" si="82"/>
        <v>213.77191347709913</v>
      </c>
      <c r="BY40">
        <f t="shared" ca="1" si="82"/>
        <v>212.0172642814733</v>
      </c>
      <c r="BZ40">
        <f t="shared" ca="1" si="82"/>
        <v>214.64645174052643</v>
      </c>
      <c r="CA40">
        <f t="shared" ca="1" si="82"/>
        <v>214.95523622192985</v>
      </c>
      <c r="CB40">
        <f t="shared" ca="1" si="82"/>
        <v>210.45561524858792</v>
      </c>
      <c r="CC40">
        <f t="shared" ca="1" si="82"/>
        <v>219.14708350809408</v>
      </c>
      <c r="CD40">
        <f t="shared" ca="1" si="82"/>
        <v>220.68904687522658</v>
      </c>
      <c r="CE40">
        <f t="shared" ca="1" si="82"/>
        <v>214.86758263403701</v>
      </c>
      <c r="CF40">
        <f t="shared" ca="1" si="82"/>
        <v>218.88979708963535</v>
      </c>
      <c r="CG40">
        <f t="shared" ca="1" si="82"/>
        <v>219.33843052546661</v>
      </c>
      <c r="CH40">
        <f t="shared" ca="1" si="82"/>
        <v>215.78868992900635</v>
      </c>
      <c r="CI40">
        <f t="shared" ca="1" si="82"/>
        <v>215.11313308026229</v>
      </c>
      <c r="CJ40">
        <f t="shared" ca="1" si="82"/>
        <v>223.74690494642448</v>
      </c>
      <c r="CK40">
        <f t="shared" ca="1" si="82"/>
        <v>220.54626251180849</v>
      </c>
      <c r="CL40">
        <f t="shared" ca="1" si="82"/>
        <v>223.0361452074512</v>
      </c>
      <c r="CM40">
        <f t="shared" ca="1" si="82"/>
        <v>213.8584801923063</v>
      </c>
      <c r="CN40">
        <f t="shared" ca="1" si="82"/>
        <v>214.23265090224061</v>
      </c>
      <c r="CO40">
        <f t="shared" ca="1" si="82"/>
        <v>212.71345234733968</v>
      </c>
      <c r="CP40">
        <f t="shared" ca="1" si="82"/>
        <v>208.81552856663063</v>
      </c>
      <c r="CQ40">
        <f t="shared" ca="1" si="82"/>
        <v>209.81144130708776</v>
      </c>
      <c r="CR40">
        <f t="shared" ca="1" si="82"/>
        <v>210.46530371376826</v>
      </c>
      <c r="CS40">
        <f t="shared" ca="1" si="82"/>
        <v>215.50804210073079</v>
      </c>
      <c r="CT40">
        <f t="shared" ca="1" si="82"/>
        <v>217.87550480258056</v>
      </c>
      <c r="CU40">
        <f t="shared" ca="1" si="82"/>
        <v>216.00917750189325</v>
      </c>
      <c r="CV40">
        <f t="shared" ca="1" si="70"/>
        <v>0</v>
      </c>
      <c r="CW40">
        <f t="shared" ca="1" si="7"/>
        <v>0</v>
      </c>
    </row>
    <row r="41" spans="5:101" x14ac:dyDescent="0.2">
      <c r="E41">
        <v>222.13</v>
      </c>
      <c r="F41">
        <f t="shared" ref="F41:BQ41" ca="1" si="83">E41*(1+$B$2*$B$4+$B$3*SQRT($B$4)*_xlfn.NORM.S.INV(RAND()))</f>
        <v>222.15780549241552</v>
      </c>
      <c r="G41">
        <f t="shared" ca="1" si="83"/>
        <v>228.29086874264883</v>
      </c>
      <c r="H41">
        <f t="shared" ca="1" si="83"/>
        <v>230.76430098095719</v>
      </c>
      <c r="I41">
        <f t="shared" ca="1" si="83"/>
        <v>215.74164445928915</v>
      </c>
      <c r="J41">
        <f t="shared" ca="1" si="83"/>
        <v>214.44955517149026</v>
      </c>
      <c r="K41">
        <f t="shared" ca="1" si="83"/>
        <v>218.58872695271972</v>
      </c>
      <c r="L41">
        <f t="shared" ca="1" si="83"/>
        <v>212.35609198589373</v>
      </c>
      <c r="M41">
        <f t="shared" ca="1" si="83"/>
        <v>210.48315717747332</v>
      </c>
      <c r="N41">
        <f t="shared" ca="1" si="83"/>
        <v>202.03546891450887</v>
      </c>
      <c r="O41">
        <f t="shared" ca="1" si="83"/>
        <v>203.68586887517029</v>
      </c>
      <c r="P41">
        <f t="shared" ca="1" si="83"/>
        <v>202.98500846254106</v>
      </c>
      <c r="Q41">
        <f t="shared" ca="1" si="83"/>
        <v>196.7443605321148</v>
      </c>
      <c r="R41">
        <f t="shared" ca="1" si="83"/>
        <v>194.99522094853307</v>
      </c>
      <c r="S41">
        <f t="shared" ca="1" si="83"/>
        <v>184.10046283142378</v>
      </c>
      <c r="T41">
        <f t="shared" ca="1" si="83"/>
        <v>182.03872518832966</v>
      </c>
      <c r="U41">
        <f t="shared" ca="1" si="83"/>
        <v>179.82871902344931</v>
      </c>
      <c r="V41">
        <f t="shared" ca="1" si="83"/>
        <v>178.74851541519999</v>
      </c>
      <c r="W41">
        <f t="shared" ca="1" si="83"/>
        <v>178.63796171493939</v>
      </c>
      <c r="X41">
        <f t="shared" ca="1" si="83"/>
        <v>184.3682267288381</v>
      </c>
      <c r="Y41">
        <f t="shared" ca="1" si="83"/>
        <v>186.9233351098662</v>
      </c>
      <c r="Z41">
        <f t="shared" ca="1" si="83"/>
        <v>188.61425662551534</v>
      </c>
      <c r="AA41">
        <f t="shared" ca="1" si="83"/>
        <v>185.24597643964518</v>
      </c>
      <c r="AB41">
        <f t="shared" ca="1" si="83"/>
        <v>184.85593346345249</v>
      </c>
      <c r="AC41">
        <f t="shared" ca="1" si="83"/>
        <v>178.86426254925198</v>
      </c>
      <c r="AD41">
        <f t="shared" ca="1" si="83"/>
        <v>181.59638382157598</v>
      </c>
      <c r="AE41">
        <f t="shared" ca="1" si="83"/>
        <v>184.69223421779543</v>
      </c>
      <c r="AF41">
        <f t="shared" ca="1" si="83"/>
        <v>188.88117907508391</v>
      </c>
      <c r="AG41">
        <f t="shared" ca="1" si="83"/>
        <v>197.39261624997505</v>
      </c>
      <c r="AH41">
        <f t="shared" ca="1" si="83"/>
        <v>188.01710124092085</v>
      </c>
      <c r="AI41">
        <f t="shared" ca="1" si="83"/>
        <v>178.368417988213</v>
      </c>
      <c r="AJ41">
        <f t="shared" ca="1" si="83"/>
        <v>180.2188771944227</v>
      </c>
      <c r="AK41">
        <f t="shared" ca="1" si="83"/>
        <v>181.63094036276712</v>
      </c>
      <c r="AL41">
        <f t="shared" ca="1" si="83"/>
        <v>184.03025254429562</v>
      </c>
      <c r="AM41">
        <f t="shared" ca="1" si="83"/>
        <v>186.93981674570841</v>
      </c>
      <c r="AN41">
        <f t="shared" ca="1" si="83"/>
        <v>192.71420461785331</v>
      </c>
      <c r="AO41">
        <f t="shared" ca="1" si="83"/>
        <v>185.76456375017216</v>
      </c>
      <c r="AP41">
        <f t="shared" ca="1" si="83"/>
        <v>182.53160468196864</v>
      </c>
      <c r="AQ41">
        <f t="shared" ca="1" si="83"/>
        <v>188.4254637996001</v>
      </c>
      <c r="AR41">
        <f t="shared" ca="1" si="83"/>
        <v>182.69271142385659</v>
      </c>
      <c r="AS41">
        <f t="shared" ca="1" si="83"/>
        <v>180.96412970844267</v>
      </c>
      <c r="AT41">
        <f t="shared" ca="1" si="83"/>
        <v>183.14206449831363</v>
      </c>
      <c r="AU41">
        <f t="shared" ca="1" si="83"/>
        <v>181.54561716938733</v>
      </c>
      <c r="AV41">
        <f t="shared" ca="1" si="83"/>
        <v>184.25684473916291</v>
      </c>
      <c r="AW41">
        <f t="shared" ca="1" si="83"/>
        <v>182.33930709902458</v>
      </c>
      <c r="AX41">
        <f t="shared" ca="1" si="83"/>
        <v>187.7251749733056</v>
      </c>
      <c r="AY41">
        <f t="shared" ca="1" si="83"/>
        <v>180.77672361280639</v>
      </c>
      <c r="AZ41">
        <f t="shared" ca="1" si="83"/>
        <v>179.62164015014545</v>
      </c>
      <c r="BA41">
        <f t="shared" ca="1" si="83"/>
        <v>169.99370189154882</v>
      </c>
      <c r="BB41">
        <f t="shared" ca="1" si="83"/>
        <v>172.01331009595438</v>
      </c>
      <c r="BC41">
        <f t="shared" ca="1" si="83"/>
        <v>178.60892242496664</v>
      </c>
      <c r="BD41">
        <f t="shared" ca="1" si="83"/>
        <v>179.39351080201416</v>
      </c>
      <c r="BE41">
        <f t="shared" ca="1" si="83"/>
        <v>181.97068400819396</v>
      </c>
      <c r="BF41">
        <f t="shared" ca="1" si="83"/>
        <v>176.72958912660329</v>
      </c>
      <c r="BG41">
        <f t="shared" ca="1" si="83"/>
        <v>173.60833726417954</v>
      </c>
      <c r="BH41">
        <f t="shared" ca="1" si="83"/>
        <v>169.65303267559591</v>
      </c>
      <c r="BI41">
        <f t="shared" ca="1" si="83"/>
        <v>165.96500568616142</v>
      </c>
      <c r="BJ41">
        <f t="shared" ca="1" si="83"/>
        <v>163.90098862367279</v>
      </c>
      <c r="BK41">
        <f t="shared" ca="1" si="83"/>
        <v>158.6035868307363</v>
      </c>
      <c r="BL41">
        <f t="shared" ca="1" si="83"/>
        <v>155.33012136529973</v>
      </c>
      <c r="BM41">
        <f t="shared" ca="1" si="83"/>
        <v>151.80160649048401</v>
      </c>
      <c r="BN41">
        <f t="shared" ca="1" si="83"/>
        <v>164.49134387142993</v>
      </c>
      <c r="BO41">
        <f t="shared" ca="1" si="83"/>
        <v>170.19665441795323</v>
      </c>
      <c r="BP41">
        <f t="shared" ca="1" si="83"/>
        <v>166.37608625257687</v>
      </c>
      <c r="BQ41">
        <f t="shared" ca="1" si="83"/>
        <v>168.03709304881573</v>
      </c>
      <c r="BR41">
        <f t="shared" ref="BR41:CU41" ca="1" si="84">BQ41*(1+$B$2*$B$4+$B$3*SQRT($B$4)*_xlfn.NORM.S.INV(RAND()))</f>
        <v>167.44392016860061</v>
      </c>
      <c r="BS41">
        <f t="shared" ca="1" si="84"/>
        <v>163.81990058807534</v>
      </c>
      <c r="BT41">
        <f t="shared" ca="1" si="84"/>
        <v>162.87733187958872</v>
      </c>
      <c r="BU41">
        <f t="shared" ca="1" si="84"/>
        <v>166.81424196861369</v>
      </c>
      <c r="BV41">
        <f t="shared" ca="1" si="84"/>
        <v>162.90504504859538</v>
      </c>
      <c r="BW41">
        <f t="shared" ca="1" si="84"/>
        <v>163.4172475659561</v>
      </c>
      <c r="BX41">
        <f t="shared" ca="1" si="84"/>
        <v>168.10231516070502</v>
      </c>
      <c r="BY41">
        <f t="shared" ca="1" si="84"/>
        <v>168.27034216471486</v>
      </c>
      <c r="BZ41">
        <f t="shared" ca="1" si="84"/>
        <v>167.78443512898036</v>
      </c>
      <c r="CA41">
        <f t="shared" ca="1" si="84"/>
        <v>178.07104143487317</v>
      </c>
      <c r="CB41">
        <f t="shared" ca="1" si="84"/>
        <v>178.13390364770848</v>
      </c>
      <c r="CC41">
        <f t="shared" ca="1" si="84"/>
        <v>182.14078115935348</v>
      </c>
      <c r="CD41">
        <f t="shared" ca="1" si="84"/>
        <v>179.00280393690451</v>
      </c>
      <c r="CE41">
        <f t="shared" ca="1" si="84"/>
        <v>181.5064675189175</v>
      </c>
      <c r="CF41">
        <f t="shared" ca="1" si="84"/>
        <v>177.80864918056074</v>
      </c>
      <c r="CG41">
        <f t="shared" ca="1" si="84"/>
        <v>179.02757721327404</v>
      </c>
      <c r="CH41">
        <f t="shared" ca="1" si="84"/>
        <v>182.54406408965821</v>
      </c>
      <c r="CI41">
        <f t="shared" ca="1" si="84"/>
        <v>178.84672136178722</v>
      </c>
      <c r="CJ41">
        <f t="shared" ca="1" si="84"/>
        <v>180.64792703735489</v>
      </c>
      <c r="CK41">
        <f t="shared" ca="1" si="84"/>
        <v>175.27061965645629</v>
      </c>
      <c r="CL41">
        <f t="shared" ca="1" si="84"/>
        <v>178.07361330584231</v>
      </c>
      <c r="CM41">
        <f t="shared" ca="1" si="84"/>
        <v>185.07002531962016</v>
      </c>
      <c r="CN41">
        <f t="shared" ca="1" si="84"/>
        <v>182.60982173197971</v>
      </c>
      <c r="CO41">
        <f t="shared" ca="1" si="84"/>
        <v>183.71642474259903</v>
      </c>
      <c r="CP41">
        <f t="shared" ca="1" si="84"/>
        <v>183.75703220065392</v>
      </c>
      <c r="CQ41">
        <f t="shared" ca="1" si="84"/>
        <v>183.85076539612444</v>
      </c>
      <c r="CR41">
        <f t="shared" ca="1" si="84"/>
        <v>181.05709696034558</v>
      </c>
      <c r="CS41">
        <f t="shared" ca="1" si="84"/>
        <v>176.42975268413392</v>
      </c>
      <c r="CT41">
        <f t="shared" ca="1" si="84"/>
        <v>171.42166929788792</v>
      </c>
      <c r="CU41">
        <f t="shared" ca="1" si="84"/>
        <v>171.10806765624011</v>
      </c>
      <c r="CV41">
        <f t="shared" ca="1" si="70"/>
        <v>0</v>
      </c>
      <c r="CW41">
        <f t="shared" ca="1" si="7"/>
        <v>0</v>
      </c>
    </row>
    <row r="42" spans="5:101" x14ac:dyDescent="0.2">
      <c r="E42">
        <v>222.13</v>
      </c>
      <c r="F42">
        <f t="shared" ref="F42:BQ42" ca="1" si="85">E42*(1+$B$2*$B$4+$B$3*SQRT($B$4)*_xlfn.NORM.S.INV(RAND()))</f>
        <v>222.6881082893498</v>
      </c>
      <c r="G42">
        <f t="shared" ca="1" si="85"/>
        <v>220.65011199444234</v>
      </c>
      <c r="H42">
        <f t="shared" ca="1" si="85"/>
        <v>227.91227571558659</v>
      </c>
      <c r="I42">
        <f t="shared" ca="1" si="85"/>
        <v>232.30267212830356</v>
      </c>
      <c r="J42">
        <f t="shared" ca="1" si="85"/>
        <v>231.08291137587941</v>
      </c>
      <c r="K42">
        <f t="shared" ca="1" si="85"/>
        <v>228.65887233904985</v>
      </c>
      <c r="L42">
        <f t="shared" ca="1" si="85"/>
        <v>223.72345279264414</v>
      </c>
      <c r="M42">
        <f t="shared" ca="1" si="85"/>
        <v>221.59221415442963</v>
      </c>
      <c r="N42">
        <f t="shared" ca="1" si="85"/>
        <v>209.60085570252861</v>
      </c>
      <c r="O42">
        <f t="shared" ca="1" si="85"/>
        <v>215.45268933245038</v>
      </c>
      <c r="P42">
        <f t="shared" ca="1" si="85"/>
        <v>220.89426582004737</v>
      </c>
      <c r="Q42">
        <f t="shared" ca="1" si="85"/>
        <v>217.77287922381959</v>
      </c>
      <c r="R42">
        <f t="shared" ca="1" si="85"/>
        <v>221.0148687095664</v>
      </c>
      <c r="S42">
        <f t="shared" ca="1" si="85"/>
        <v>221.99065120122802</v>
      </c>
      <c r="T42">
        <f t="shared" ca="1" si="85"/>
        <v>222.32773469308009</v>
      </c>
      <c r="U42">
        <f t="shared" ca="1" si="85"/>
        <v>227.2944558741016</v>
      </c>
      <c r="V42">
        <f t="shared" ca="1" si="85"/>
        <v>224.8959576190808</v>
      </c>
      <c r="W42">
        <f t="shared" ca="1" si="85"/>
        <v>225.74670256703516</v>
      </c>
      <c r="X42">
        <f t="shared" ca="1" si="85"/>
        <v>231.87237376302573</v>
      </c>
      <c r="Y42">
        <f t="shared" ca="1" si="85"/>
        <v>231.80709134861692</v>
      </c>
      <c r="Z42">
        <f t="shared" ca="1" si="85"/>
        <v>231.23188470541083</v>
      </c>
      <c r="AA42">
        <f t="shared" ca="1" si="85"/>
        <v>221.79138859353222</v>
      </c>
      <c r="AB42">
        <f t="shared" ca="1" si="85"/>
        <v>221.11331259966985</v>
      </c>
      <c r="AC42">
        <f t="shared" ca="1" si="85"/>
        <v>220.72178211833432</v>
      </c>
      <c r="AD42">
        <f t="shared" ca="1" si="85"/>
        <v>217.36918356010935</v>
      </c>
      <c r="AE42">
        <f t="shared" ca="1" si="85"/>
        <v>214.29745566497542</v>
      </c>
      <c r="AF42">
        <f t="shared" ca="1" si="85"/>
        <v>215.23688233982196</v>
      </c>
      <c r="AG42">
        <f t="shared" ca="1" si="85"/>
        <v>220.99675939594627</v>
      </c>
      <c r="AH42">
        <f t="shared" ca="1" si="85"/>
        <v>218.38830428634893</v>
      </c>
      <c r="AI42">
        <f t="shared" ca="1" si="85"/>
        <v>218.82890032985313</v>
      </c>
      <c r="AJ42">
        <f t="shared" ca="1" si="85"/>
        <v>215.59139231481598</v>
      </c>
      <c r="AK42">
        <f t="shared" ca="1" si="85"/>
        <v>206.57748101896243</v>
      </c>
      <c r="AL42">
        <f t="shared" ca="1" si="85"/>
        <v>202.2908322859351</v>
      </c>
      <c r="AM42">
        <f t="shared" ca="1" si="85"/>
        <v>212.73423118322259</v>
      </c>
      <c r="AN42">
        <f t="shared" ca="1" si="85"/>
        <v>206.25930758072684</v>
      </c>
      <c r="AO42">
        <f t="shared" ca="1" si="85"/>
        <v>216.48214598036296</v>
      </c>
      <c r="AP42">
        <f t="shared" ca="1" si="85"/>
        <v>213.31724014180631</v>
      </c>
      <c r="AQ42">
        <f t="shared" ca="1" si="85"/>
        <v>213.29273803741799</v>
      </c>
      <c r="AR42">
        <f t="shared" ca="1" si="85"/>
        <v>212.6192771277544</v>
      </c>
      <c r="AS42">
        <f t="shared" ca="1" si="85"/>
        <v>210.38184365163082</v>
      </c>
      <c r="AT42">
        <f t="shared" ca="1" si="85"/>
        <v>216.22602653746998</v>
      </c>
      <c r="AU42">
        <f t="shared" ca="1" si="85"/>
        <v>203.82997205370538</v>
      </c>
      <c r="AV42">
        <f t="shared" ca="1" si="85"/>
        <v>208.67294770734219</v>
      </c>
      <c r="AW42">
        <f t="shared" ca="1" si="85"/>
        <v>206.94508468798816</v>
      </c>
      <c r="AX42">
        <f t="shared" ca="1" si="85"/>
        <v>203.51270246491902</v>
      </c>
      <c r="AY42">
        <f t="shared" ca="1" si="85"/>
        <v>205.0233441304743</v>
      </c>
      <c r="AZ42">
        <f t="shared" ca="1" si="85"/>
        <v>204.44210226419187</v>
      </c>
      <c r="BA42">
        <f t="shared" ca="1" si="85"/>
        <v>204.05932444399761</v>
      </c>
      <c r="BB42">
        <f t="shared" ca="1" si="85"/>
        <v>205.87507669330139</v>
      </c>
      <c r="BC42">
        <f t="shared" ca="1" si="85"/>
        <v>207.56906391119765</v>
      </c>
      <c r="BD42">
        <f t="shared" ca="1" si="85"/>
        <v>205.2167547619664</v>
      </c>
      <c r="BE42">
        <f t="shared" ca="1" si="85"/>
        <v>208.15118586360012</v>
      </c>
      <c r="BF42">
        <f t="shared" ca="1" si="85"/>
        <v>208.74436976131355</v>
      </c>
      <c r="BG42">
        <f t="shared" ca="1" si="85"/>
        <v>199.03358347582528</v>
      </c>
      <c r="BH42">
        <f t="shared" ca="1" si="85"/>
        <v>199.36243637927845</v>
      </c>
      <c r="BI42">
        <f t="shared" ca="1" si="85"/>
        <v>201.97388884258277</v>
      </c>
      <c r="BJ42">
        <f t="shared" ca="1" si="85"/>
        <v>199.06645195433495</v>
      </c>
      <c r="BK42">
        <f t="shared" ca="1" si="85"/>
        <v>194.75595278635362</v>
      </c>
      <c r="BL42">
        <f t="shared" ca="1" si="85"/>
        <v>200.14520022828694</v>
      </c>
      <c r="BM42">
        <f t="shared" ca="1" si="85"/>
        <v>194.82636001810732</v>
      </c>
      <c r="BN42">
        <f t="shared" ca="1" si="85"/>
        <v>196.53832453225365</v>
      </c>
      <c r="BO42">
        <f t="shared" ca="1" si="85"/>
        <v>196.56801910281843</v>
      </c>
      <c r="BP42">
        <f t="shared" ca="1" si="85"/>
        <v>201.91284852381293</v>
      </c>
      <c r="BQ42">
        <f t="shared" ca="1" si="85"/>
        <v>200.25549110352006</v>
      </c>
      <c r="BR42">
        <f t="shared" ref="BR42:CU42" ca="1" si="86">BQ42*(1+$B$2*$B$4+$B$3*SQRT($B$4)*_xlfn.NORM.S.INV(RAND()))</f>
        <v>202.40984903583825</v>
      </c>
      <c r="BS42">
        <f t="shared" ca="1" si="86"/>
        <v>200.01405782332108</v>
      </c>
      <c r="BT42">
        <f t="shared" ca="1" si="86"/>
        <v>203.86031493908533</v>
      </c>
      <c r="BU42">
        <f t="shared" ca="1" si="86"/>
        <v>203.73105936683874</v>
      </c>
      <c r="BV42">
        <f t="shared" ca="1" si="86"/>
        <v>196.45723985567383</v>
      </c>
      <c r="BW42">
        <f t="shared" ca="1" si="86"/>
        <v>194.32523041034872</v>
      </c>
      <c r="BX42">
        <f t="shared" ca="1" si="86"/>
        <v>189.07509935460467</v>
      </c>
      <c r="BY42">
        <f t="shared" ca="1" si="86"/>
        <v>185.33316203220642</v>
      </c>
      <c r="BZ42">
        <f t="shared" ca="1" si="86"/>
        <v>177.92384644052694</v>
      </c>
      <c r="CA42">
        <f t="shared" ca="1" si="86"/>
        <v>179.95080187376263</v>
      </c>
      <c r="CB42">
        <f t="shared" ca="1" si="86"/>
        <v>181.71025477834269</v>
      </c>
      <c r="CC42">
        <f t="shared" ca="1" si="86"/>
        <v>185.4420023508973</v>
      </c>
      <c r="CD42">
        <f t="shared" ca="1" si="86"/>
        <v>189.53721672873201</v>
      </c>
      <c r="CE42">
        <f t="shared" ca="1" si="86"/>
        <v>187.88417841843142</v>
      </c>
      <c r="CF42">
        <f t="shared" ca="1" si="86"/>
        <v>189.29846059742167</v>
      </c>
      <c r="CG42">
        <f t="shared" ca="1" si="86"/>
        <v>186.462371811483</v>
      </c>
      <c r="CH42">
        <f t="shared" ca="1" si="86"/>
        <v>191.61097805068673</v>
      </c>
      <c r="CI42">
        <f t="shared" ca="1" si="86"/>
        <v>184.94985011198767</v>
      </c>
      <c r="CJ42">
        <f t="shared" ca="1" si="86"/>
        <v>183.89251400220593</v>
      </c>
      <c r="CK42">
        <f t="shared" ca="1" si="86"/>
        <v>178.88814642180384</v>
      </c>
      <c r="CL42">
        <f t="shared" ca="1" si="86"/>
        <v>192.83620607411839</v>
      </c>
      <c r="CM42">
        <f t="shared" ca="1" si="86"/>
        <v>189.7177840424618</v>
      </c>
      <c r="CN42">
        <f t="shared" ca="1" si="86"/>
        <v>194.22207224033261</v>
      </c>
      <c r="CO42">
        <f t="shared" ca="1" si="86"/>
        <v>197.23152300908021</v>
      </c>
      <c r="CP42">
        <f t="shared" ca="1" si="86"/>
        <v>199.88519677611174</v>
      </c>
      <c r="CQ42">
        <f t="shared" ca="1" si="86"/>
        <v>199.46999026401883</v>
      </c>
      <c r="CR42">
        <f t="shared" ca="1" si="86"/>
        <v>203.43483826620363</v>
      </c>
      <c r="CS42">
        <f t="shared" ca="1" si="86"/>
        <v>206.56410732076984</v>
      </c>
      <c r="CT42">
        <f t="shared" ca="1" si="86"/>
        <v>199.06421324920325</v>
      </c>
      <c r="CU42">
        <f t="shared" ca="1" si="86"/>
        <v>208.69169366285658</v>
      </c>
      <c r="CV42">
        <f t="shared" ca="1" si="70"/>
        <v>0</v>
      </c>
      <c r="CW42">
        <f t="shared" ca="1" si="7"/>
        <v>0</v>
      </c>
    </row>
    <row r="43" spans="5:101" x14ac:dyDescent="0.2">
      <c r="E43">
        <v>222.13</v>
      </c>
      <c r="F43">
        <f t="shared" ref="F43:BQ43" ca="1" si="87">E43*(1+$B$2*$B$4+$B$3*SQRT($B$4)*_xlfn.NORM.S.INV(RAND()))</f>
        <v>213.74976484920893</v>
      </c>
      <c r="G43">
        <f t="shared" ca="1" si="87"/>
        <v>208.27026023449329</v>
      </c>
      <c r="H43">
        <f t="shared" ca="1" si="87"/>
        <v>207.11219238989742</v>
      </c>
      <c r="I43">
        <f t="shared" ca="1" si="87"/>
        <v>207.34020916119675</v>
      </c>
      <c r="J43">
        <f t="shared" ca="1" si="87"/>
        <v>215.57887557098925</v>
      </c>
      <c r="K43">
        <f t="shared" ca="1" si="87"/>
        <v>218.7695342562908</v>
      </c>
      <c r="L43">
        <f t="shared" ca="1" si="87"/>
        <v>222.49766134909271</v>
      </c>
      <c r="M43">
        <f t="shared" ca="1" si="87"/>
        <v>214.5554797517886</v>
      </c>
      <c r="N43">
        <f t="shared" ca="1" si="87"/>
        <v>209.08100768384784</v>
      </c>
      <c r="O43">
        <f t="shared" ca="1" si="87"/>
        <v>207.89937031103241</v>
      </c>
      <c r="P43">
        <f t="shared" ca="1" si="87"/>
        <v>211.10262155565221</v>
      </c>
      <c r="Q43">
        <f t="shared" ca="1" si="87"/>
        <v>205.20562906794135</v>
      </c>
      <c r="R43">
        <f t="shared" ca="1" si="87"/>
        <v>209.78060285524217</v>
      </c>
      <c r="S43">
        <f t="shared" ca="1" si="87"/>
        <v>206.94430501547228</v>
      </c>
      <c r="T43">
        <f t="shared" ca="1" si="87"/>
        <v>207.14122324819218</v>
      </c>
      <c r="U43">
        <f t="shared" ca="1" si="87"/>
        <v>205.52708991535903</v>
      </c>
      <c r="V43">
        <f t="shared" ca="1" si="87"/>
        <v>205.67294805877611</v>
      </c>
      <c r="W43">
        <f t="shared" ca="1" si="87"/>
        <v>203.5403917602319</v>
      </c>
      <c r="X43">
        <f t="shared" ca="1" si="87"/>
        <v>204.53714427807813</v>
      </c>
      <c r="Y43">
        <f t="shared" ca="1" si="87"/>
        <v>209.9439735661885</v>
      </c>
      <c r="Z43">
        <f t="shared" ca="1" si="87"/>
        <v>205.60753066556899</v>
      </c>
      <c r="AA43">
        <f t="shared" ca="1" si="87"/>
        <v>195.89953124693909</v>
      </c>
      <c r="AB43">
        <f t="shared" ca="1" si="87"/>
        <v>205.49331874557532</v>
      </c>
      <c r="AC43">
        <f t="shared" ca="1" si="87"/>
        <v>201.73645015846444</v>
      </c>
      <c r="AD43">
        <f t="shared" ca="1" si="87"/>
        <v>198.87915056011875</v>
      </c>
      <c r="AE43">
        <f t="shared" ca="1" si="87"/>
        <v>194.53177785252117</v>
      </c>
      <c r="AF43">
        <f t="shared" ca="1" si="87"/>
        <v>190.33295580272264</v>
      </c>
      <c r="AG43">
        <f t="shared" ca="1" si="87"/>
        <v>196.60330506765825</v>
      </c>
      <c r="AH43">
        <f t="shared" ca="1" si="87"/>
        <v>195.6960851615305</v>
      </c>
      <c r="AI43">
        <f t="shared" ca="1" si="87"/>
        <v>193.9971873485778</v>
      </c>
      <c r="AJ43">
        <f t="shared" ca="1" si="87"/>
        <v>189.78684229757181</v>
      </c>
      <c r="AK43">
        <f t="shared" ca="1" si="87"/>
        <v>193.21915207892312</v>
      </c>
      <c r="AL43">
        <f t="shared" ca="1" si="87"/>
        <v>193.15689854525851</v>
      </c>
      <c r="AM43">
        <f t="shared" ca="1" si="87"/>
        <v>188.99545001421723</v>
      </c>
      <c r="AN43">
        <f t="shared" ca="1" si="87"/>
        <v>191.26239251680303</v>
      </c>
      <c r="AO43">
        <f t="shared" ca="1" si="87"/>
        <v>195.67083739946077</v>
      </c>
      <c r="AP43">
        <f t="shared" ca="1" si="87"/>
        <v>190.62203224588183</v>
      </c>
      <c r="AQ43">
        <f t="shared" ca="1" si="87"/>
        <v>185.03390158887777</v>
      </c>
      <c r="AR43">
        <f t="shared" ca="1" si="87"/>
        <v>188.62752554009754</v>
      </c>
      <c r="AS43">
        <f t="shared" ca="1" si="87"/>
        <v>178.39984230419125</v>
      </c>
      <c r="AT43">
        <f t="shared" ca="1" si="87"/>
        <v>179.49604215683178</v>
      </c>
      <c r="AU43">
        <f t="shared" ca="1" si="87"/>
        <v>170.32005472523403</v>
      </c>
      <c r="AV43">
        <f t="shared" ca="1" si="87"/>
        <v>164.53911038318191</v>
      </c>
      <c r="AW43">
        <f t="shared" ca="1" si="87"/>
        <v>162.67678513715416</v>
      </c>
      <c r="AX43">
        <f t="shared" ca="1" si="87"/>
        <v>160.91213234089957</v>
      </c>
      <c r="AY43">
        <f t="shared" ca="1" si="87"/>
        <v>163.89018395795952</v>
      </c>
      <c r="AZ43">
        <f t="shared" ca="1" si="87"/>
        <v>168.4286131381954</v>
      </c>
      <c r="BA43">
        <f t="shared" ca="1" si="87"/>
        <v>168.26784382836681</v>
      </c>
      <c r="BB43">
        <f t="shared" ca="1" si="87"/>
        <v>165.81623148323754</v>
      </c>
      <c r="BC43">
        <f t="shared" ca="1" si="87"/>
        <v>160.72525877815102</v>
      </c>
      <c r="BD43">
        <f t="shared" ca="1" si="87"/>
        <v>154.54125937202704</v>
      </c>
      <c r="BE43">
        <f t="shared" ca="1" si="87"/>
        <v>156.13584647166618</v>
      </c>
      <c r="BF43">
        <f t="shared" ca="1" si="87"/>
        <v>152.79079849639115</v>
      </c>
      <c r="BG43">
        <f t="shared" ca="1" si="87"/>
        <v>151.11612492891777</v>
      </c>
      <c r="BH43">
        <f t="shared" ca="1" si="87"/>
        <v>147.26836991553043</v>
      </c>
      <c r="BI43">
        <f t="shared" ca="1" si="87"/>
        <v>152.25702271644283</v>
      </c>
      <c r="BJ43">
        <f t="shared" ca="1" si="87"/>
        <v>155.09642182341398</v>
      </c>
      <c r="BK43">
        <f t="shared" ca="1" si="87"/>
        <v>149.16340419816717</v>
      </c>
      <c r="BL43">
        <f t="shared" ca="1" si="87"/>
        <v>153.42053618470209</v>
      </c>
      <c r="BM43">
        <f t="shared" ca="1" si="87"/>
        <v>146.2436821060052</v>
      </c>
      <c r="BN43">
        <f t="shared" ca="1" si="87"/>
        <v>148.8682545394839</v>
      </c>
      <c r="BO43">
        <f t="shared" ca="1" si="87"/>
        <v>148.82551721979456</v>
      </c>
      <c r="BP43">
        <f t="shared" ca="1" si="87"/>
        <v>150.05921773060285</v>
      </c>
      <c r="BQ43">
        <f t="shared" ca="1" si="87"/>
        <v>150.55714720428912</v>
      </c>
      <c r="BR43">
        <f t="shared" ref="BR43:CU43" ca="1" si="88">BQ43*(1+$B$2*$B$4+$B$3*SQRT($B$4)*_xlfn.NORM.S.INV(RAND()))</f>
        <v>149.78780142527395</v>
      </c>
      <c r="BS43">
        <f t="shared" ca="1" si="88"/>
        <v>151.54718085549911</v>
      </c>
      <c r="BT43">
        <f t="shared" ca="1" si="88"/>
        <v>153.27066184756637</v>
      </c>
      <c r="BU43">
        <f t="shared" ca="1" si="88"/>
        <v>151.6070726419733</v>
      </c>
      <c r="BV43">
        <f t="shared" ca="1" si="88"/>
        <v>144.02098852093761</v>
      </c>
      <c r="BW43">
        <f t="shared" ca="1" si="88"/>
        <v>149.67310512818042</v>
      </c>
      <c r="BX43">
        <f t="shared" ca="1" si="88"/>
        <v>151.96033811476818</v>
      </c>
      <c r="BY43">
        <f t="shared" ca="1" si="88"/>
        <v>148.53034465525312</v>
      </c>
      <c r="BZ43">
        <f t="shared" ca="1" si="88"/>
        <v>148.6470202557469</v>
      </c>
      <c r="CA43">
        <f t="shared" ca="1" si="88"/>
        <v>148.4298745176595</v>
      </c>
      <c r="CB43">
        <f t="shared" ca="1" si="88"/>
        <v>150.12121633261171</v>
      </c>
      <c r="CC43">
        <f t="shared" ca="1" si="88"/>
        <v>153.85058164345236</v>
      </c>
      <c r="CD43">
        <f t="shared" ca="1" si="88"/>
        <v>152.38859421794515</v>
      </c>
      <c r="CE43">
        <f t="shared" ca="1" si="88"/>
        <v>148.10577225860007</v>
      </c>
      <c r="CF43">
        <f t="shared" ca="1" si="88"/>
        <v>152.13416144543356</v>
      </c>
      <c r="CG43">
        <f t="shared" ca="1" si="88"/>
        <v>150.58510269557962</v>
      </c>
      <c r="CH43">
        <f t="shared" ca="1" si="88"/>
        <v>149.88204737496025</v>
      </c>
      <c r="CI43">
        <f t="shared" ca="1" si="88"/>
        <v>155.02644532172633</v>
      </c>
      <c r="CJ43">
        <f t="shared" ca="1" si="88"/>
        <v>150.63579983341762</v>
      </c>
      <c r="CK43">
        <f t="shared" ca="1" si="88"/>
        <v>150.53363967161755</v>
      </c>
      <c r="CL43">
        <f t="shared" ca="1" si="88"/>
        <v>143.90879610338925</v>
      </c>
      <c r="CM43">
        <f t="shared" ca="1" si="88"/>
        <v>145.75889653810773</v>
      </c>
      <c r="CN43">
        <f t="shared" ca="1" si="88"/>
        <v>148.92067669660588</v>
      </c>
      <c r="CO43">
        <f t="shared" ca="1" si="88"/>
        <v>142.856296823348</v>
      </c>
      <c r="CP43">
        <f t="shared" ca="1" si="88"/>
        <v>141.36543272981157</v>
      </c>
      <c r="CQ43">
        <f t="shared" ca="1" si="88"/>
        <v>139.06686689506537</v>
      </c>
      <c r="CR43">
        <f t="shared" ca="1" si="88"/>
        <v>131.83331232861946</v>
      </c>
      <c r="CS43">
        <f t="shared" ca="1" si="88"/>
        <v>133.29741829880697</v>
      </c>
      <c r="CT43">
        <f t="shared" ca="1" si="88"/>
        <v>131.21934201063243</v>
      </c>
      <c r="CU43">
        <f t="shared" ca="1" si="88"/>
        <v>124.07686508389082</v>
      </c>
      <c r="CV43">
        <f t="shared" ca="1" si="70"/>
        <v>0</v>
      </c>
      <c r="CW43">
        <f t="shared" ca="1" si="7"/>
        <v>0</v>
      </c>
    </row>
    <row r="44" spans="5:101" x14ac:dyDescent="0.2">
      <c r="E44">
        <v>222.13</v>
      </c>
      <c r="F44">
        <f t="shared" ref="F44:BQ44" ca="1" si="89">E44*(1+$B$2*$B$4+$B$3*SQRT($B$4)*_xlfn.NORM.S.INV(RAND()))</f>
        <v>234.23070208148738</v>
      </c>
      <c r="G44">
        <f t="shared" ca="1" si="89"/>
        <v>235.55707404752243</v>
      </c>
      <c r="H44">
        <f t="shared" ca="1" si="89"/>
        <v>232.28110928544629</v>
      </c>
      <c r="I44">
        <f t="shared" ca="1" si="89"/>
        <v>232.43595912138875</v>
      </c>
      <c r="J44">
        <f t="shared" ca="1" si="89"/>
        <v>231.80320081651311</v>
      </c>
      <c r="K44">
        <f t="shared" ca="1" si="89"/>
        <v>234.82506304254645</v>
      </c>
      <c r="L44">
        <f t="shared" ca="1" si="89"/>
        <v>229.12218141174648</v>
      </c>
      <c r="M44">
        <f t="shared" ca="1" si="89"/>
        <v>231.26782356987124</v>
      </c>
      <c r="N44">
        <f t="shared" ca="1" si="89"/>
        <v>232.670672221454</v>
      </c>
      <c r="O44">
        <f t="shared" ca="1" si="89"/>
        <v>227.75373220823772</v>
      </c>
      <c r="P44">
        <f t="shared" ca="1" si="89"/>
        <v>226.92817953185957</v>
      </c>
      <c r="Q44">
        <f t="shared" ca="1" si="89"/>
        <v>224.44774542719125</v>
      </c>
      <c r="R44">
        <f t="shared" ca="1" si="89"/>
        <v>216.683261170093</v>
      </c>
      <c r="S44">
        <f t="shared" ca="1" si="89"/>
        <v>215.67454417783335</v>
      </c>
      <c r="T44">
        <f t="shared" ca="1" si="89"/>
        <v>219.91768602479823</v>
      </c>
      <c r="U44">
        <f t="shared" ca="1" si="89"/>
        <v>222.87157613392378</v>
      </c>
      <c r="V44">
        <f t="shared" ca="1" si="89"/>
        <v>235.35953228759954</v>
      </c>
      <c r="W44">
        <f t="shared" ca="1" si="89"/>
        <v>237.01541663204614</v>
      </c>
      <c r="X44">
        <f t="shared" ca="1" si="89"/>
        <v>235.78620397969726</v>
      </c>
      <c r="Y44">
        <f t="shared" ca="1" si="89"/>
        <v>226.86652763901483</v>
      </c>
      <c r="Z44">
        <f t="shared" ca="1" si="89"/>
        <v>224.45774037868821</v>
      </c>
      <c r="AA44">
        <f t="shared" ca="1" si="89"/>
        <v>214.72368217778103</v>
      </c>
      <c r="AB44">
        <f t="shared" ca="1" si="89"/>
        <v>214.43760224789318</v>
      </c>
      <c r="AC44">
        <f t="shared" ca="1" si="89"/>
        <v>221.71756913984439</v>
      </c>
      <c r="AD44">
        <f t="shared" ca="1" si="89"/>
        <v>220.65771142843195</v>
      </c>
      <c r="AE44">
        <f t="shared" ca="1" si="89"/>
        <v>215.12890557398902</v>
      </c>
      <c r="AF44">
        <f t="shared" ca="1" si="89"/>
        <v>208.23864221780062</v>
      </c>
      <c r="AG44">
        <f t="shared" ca="1" si="89"/>
        <v>213.01317263567984</v>
      </c>
      <c r="AH44">
        <f t="shared" ca="1" si="89"/>
        <v>213.18804007051421</v>
      </c>
      <c r="AI44">
        <f t="shared" ca="1" si="89"/>
        <v>213.34465883572145</v>
      </c>
      <c r="AJ44">
        <f t="shared" ca="1" si="89"/>
        <v>214.82834778460636</v>
      </c>
      <c r="AK44">
        <f t="shared" ca="1" si="89"/>
        <v>214.60643435564697</v>
      </c>
      <c r="AL44">
        <f t="shared" ca="1" si="89"/>
        <v>213.95809224089712</v>
      </c>
      <c r="AM44">
        <f t="shared" ca="1" si="89"/>
        <v>214.322931339695</v>
      </c>
      <c r="AN44">
        <f t="shared" ca="1" si="89"/>
        <v>215.0665828452606</v>
      </c>
      <c r="AO44">
        <f t="shared" ca="1" si="89"/>
        <v>216.16571703455025</v>
      </c>
      <c r="AP44">
        <f t="shared" ca="1" si="89"/>
        <v>226.1717390147588</v>
      </c>
      <c r="AQ44">
        <f t="shared" ca="1" si="89"/>
        <v>228.2975394110222</v>
      </c>
      <c r="AR44">
        <f t="shared" ca="1" si="89"/>
        <v>225.16325467083055</v>
      </c>
      <c r="AS44">
        <f t="shared" ca="1" si="89"/>
        <v>213.7792525489198</v>
      </c>
      <c r="AT44">
        <f t="shared" ca="1" si="89"/>
        <v>209.53734506816767</v>
      </c>
      <c r="AU44">
        <f t="shared" ca="1" si="89"/>
        <v>215.28118167781943</v>
      </c>
      <c r="AV44">
        <f t="shared" ca="1" si="89"/>
        <v>214.69317797548914</v>
      </c>
      <c r="AW44">
        <f t="shared" ca="1" si="89"/>
        <v>214.72580783265832</v>
      </c>
      <c r="AX44">
        <f t="shared" ca="1" si="89"/>
        <v>214.52921494601642</v>
      </c>
      <c r="AY44">
        <f t="shared" ca="1" si="89"/>
        <v>219.13549581880361</v>
      </c>
      <c r="AZ44">
        <f t="shared" ca="1" si="89"/>
        <v>225.85031855887962</v>
      </c>
      <c r="BA44">
        <f t="shared" ca="1" si="89"/>
        <v>231.99328294442054</v>
      </c>
      <c r="BB44">
        <f t="shared" ca="1" si="89"/>
        <v>232.57609040781978</v>
      </c>
      <c r="BC44">
        <f t="shared" ca="1" si="89"/>
        <v>230.79639008408498</v>
      </c>
      <c r="BD44">
        <f t="shared" ca="1" si="89"/>
        <v>237.6730347490674</v>
      </c>
      <c r="BE44">
        <f t="shared" ca="1" si="89"/>
        <v>236.80075586565323</v>
      </c>
      <c r="BF44">
        <f t="shared" ca="1" si="89"/>
        <v>229.15910766860159</v>
      </c>
      <c r="BG44">
        <f t="shared" ca="1" si="89"/>
        <v>230.11344319427045</v>
      </c>
      <c r="BH44">
        <f t="shared" ca="1" si="89"/>
        <v>230.66722443201883</v>
      </c>
      <c r="BI44">
        <f t="shared" ca="1" si="89"/>
        <v>233.45657762486655</v>
      </c>
      <c r="BJ44">
        <f t="shared" ca="1" si="89"/>
        <v>226.68659493525394</v>
      </c>
      <c r="BK44">
        <f t="shared" ca="1" si="89"/>
        <v>222.43734802727909</v>
      </c>
      <c r="BL44">
        <f t="shared" ca="1" si="89"/>
        <v>219.35098273172903</v>
      </c>
      <c r="BM44">
        <f t="shared" ca="1" si="89"/>
        <v>217.38719414666485</v>
      </c>
      <c r="BN44">
        <f t="shared" ca="1" si="89"/>
        <v>213.33340304866599</v>
      </c>
      <c r="BO44">
        <f t="shared" ca="1" si="89"/>
        <v>211.47782143062173</v>
      </c>
      <c r="BP44">
        <f t="shared" ca="1" si="89"/>
        <v>214.25156245449296</v>
      </c>
      <c r="BQ44">
        <f t="shared" ca="1" si="89"/>
        <v>216.64778135475484</v>
      </c>
      <c r="BR44">
        <f t="shared" ref="BR44:CU44" ca="1" si="90">BQ44*(1+$B$2*$B$4+$B$3*SQRT($B$4)*_xlfn.NORM.S.INV(RAND()))</f>
        <v>215.49224949862435</v>
      </c>
      <c r="BS44">
        <f t="shared" ca="1" si="90"/>
        <v>218.58317597606649</v>
      </c>
      <c r="BT44">
        <f t="shared" ca="1" si="90"/>
        <v>213.5480234702967</v>
      </c>
      <c r="BU44">
        <f t="shared" ca="1" si="90"/>
        <v>213.34177535971048</v>
      </c>
      <c r="BV44">
        <f t="shared" ca="1" si="90"/>
        <v>216.9037429675748</v>
      </c>
      <c r="BW44">
        <f t="shared" ca="1" si="90"/>
        <v>219.14352307680215</v>
      </c>
      <c r="BX44">
        <f t="shared" ca="1" si="90"/>
        <v>224.40753590528897</v>
      </c>
      <c r="BY44">
        <f t="shared" ca="1" si="90"/>
        <v>216.54284175410692</v>
      </c>
      <c r="BZ44">
        <f t="shared" ca="1" si="90"/>
        <v>217.68681702396484</v>
      </c>
      <c r="CA44">
        <f t="shared" ca="1" si="90"/>
        <v>224.01822801723745</v>
      </c>
      <c r="CB44">
        <f t="shared" ca="1" si="90"/>
        <v>221.01247140891093</v>
      </c>
      <c r="CC44">
        <f t="shared" ca="1" si="90"/>
        <v>218.51985548949332</v>
      </c>
      <c r="CD44">
        <f t="shared" ca="1" si="90"/>
        <v>215.12553194537415</v>
      </c>
      <c r="CE44">
        <f t="shared" ca="1" si="90"/>
        <v>207.77039792329518</v>
      </c>
      <c r="CF44">
        <f t="shared" ca="1" si="90"/>
        <v>213.57198409854212</v>
      </c>
      <c r="CG44">
        <f t="shared" ca="1" si="90"/>
        <v>212.34065225036545</v>
      </c>
      <c r="CH44">
        <f t="shared" ca="1" si="90"/>
        <v>213.59612550842249</v>
      </c>
      <c r="CI44">
        <f t="shared" ca="1" si="90"/>
        <v>217.56113480884568</v>
      </c>
      <c r="CJ44">
        <f t="shared" ca="1" si="90"/>
        <v>222.91257980565715</v>
      </c>
      <c r="CK44">
        <f t="shared" ca="1" si="90"/>
        <v>230.29784147603439</v>
      </c>
      <c r="CL44">
        <f t="shared" ca="1" si="90"/>
        <v>226.28723223690477</v>
      </c>
      <c r="CM44">
        <f t="shared" ca="1" si="90"/>
        <v>231.25146334008463</v>
      </c>
      <c r="CN44">
        <f t="shared" ca="1" si="90"/>
        <v>240.3195527588729</v>
      </c>
      <c r="CO44">
        <f t="shared" ca="1" si="90"/>
        <v>244.7428215452787</v>
      </c>
      <c r="CP44">
        <f t="shared" ca="1" si="90"/>
        <v>245.58842042781228</v>
      </c>
      <c r="CQ44">
        <f t="shared" ca="1" si="90"/>
        <v>248.98140363364126</v>
      </c>
      <c r="CR44">
        <f t="shared" ca="1" si="90"/>
        <v>246.82371974955399</v>
      </c>
      <c r="CS44">
        <f t="shared" ca="1" si="90"/>
        <v>252.94351182344715</v>
      </c>
      <c r="CT44">
        <f t="shared" ca="1" si="90"/>
        <v>255.89384362496048</v>
      </c>
      <c r="CU44">
        <f t="shared" ca="1" si="90"/>
        <v>253.78216998193423</v>
      </c>
      <c r="CV44">
        <f t="shared" ca="1" si="70"/>
        <v>33.782169981934231</v>
      </c>
      <c r="CW44">
        <f t="shared" ca="1" si="7"/>
        <v>32.480253694642435</v>
      </c>
    </row>
    <row r="45" spans="5:101" x14ac:dyDescent="0.2">
      <c r="E45">
        <v>222.13</v>
      </c>
      <c r="F45">
        <f t="shared" ref="F45:BQ45" ca="1" si="91">E45*(1+$B$2*$B$4+$B$3*SQRT($B$4)*_xlfn.NORM.S.INV(RAND()))</f>
        <v>234.0441364719795</v>
      </c>
      <c r="G45">
        <f t="shared" ca="1" si="91"/>
        <v>230.54214695481463</v>
      </c>
      <c r="H45">
        <f t="shared" ca="1" si="91"/>
        <v>233.5172082789199</v>
      </c>
      <c r="I45">
        <f t="shared" ca="1" si="91"/>
        <v>235.48402072555891</v>
      </c>
      <c r="J45">
        <f t="shared" ca="1" si="91"/>
        <v>235.02295986688173</v>
      </c>
      <c r="K45">
        <f t="shared" ca="1" si="91"/>
        <v>241.99887301548682</v>
      </c>
      <c r="L45">
        <f t="shared" ca="1" si="91"/>
        <v>253.62323733445919</v>
      </c>
      <c r="M45">
        <f t="shared" ca="1" si="91"/>
        <v>258.76511639252186</v>
      </c>
      <c r="N45">
        <f t="shared" ca="1" si="91"/>
        <v>256.15605658671785</v>
      </c>
      <c r="O45">
        <f t="shared" ca="1" si="91"/>
        <v>256.89549192534793</v>
      </c>
      <c r="P45">
        <f t="shared" ca="1" si="91"/>
        <v>260.46402305250575</v>
      </c>
      <c r="Q45">
        <f t="shared" ca="1" si="91"/>
        <v>266.36694026401858</v>
      </c>
      <c r="R45">
        <f t="shared" ca="1" si="91"/>
        <v>253.43980182783622</v>
      </c>
      <c r="S45">
        <f t="shared" ca="1" si="91"/>
        <v>257.16580113395094</v>
      </c>
      <c r="T45">
        <f t="shared" ca="1" si="91"/>
        <v>273.25504173866636</v>
      </c>
      <c r="U45">
        <f t="shared" ca="1" si="91"/>
        <v>260.34214299311691</v>
      </c>
      <c r="V45">
        <f t="shared" ca="1" si="91"/>
        <v>255.82493500441248</v>
      </c>
      <c r="W45">
        <f t="shared" ca="1" si="91"/>
        <v>250.54614221312769</v>
      </c>
      <c r="X45">
        <f t="shared" ca="1" si="91"/>
        <v>249.69356129043584</v>
      </c>
      <c r="Y45">
        <f t="shared" ca="1" si="91"/>
        <v>245.455844170083</v>
      </c>
      <c r="Z45">
        <f t="shared" ca="1" si="91"/>
        <v>247.82477966779291</v>
      </c>
      <c r="AA45">
        <f t="shared" ca="1" si="91"/>
        <v>246.31616740995261</v>
      </c>
      <c r="AB45">
        <f t="shared" ca="1" si="91"/>
        <v>250.45251198337863</v>
      </c>
      <c r="AC45">
        <f t="shared" ca="1" si="91"/>
        <v>248.33529015716559</v>
      </c>
      <c r="AD45">
        <f t="shared" ca="1" si="91"/>
        <v>249.60239819583319</v>
      </c>
      <c r="AE45">
        <f t="shared" ca="1" si="91"/>
        <v>242.75818250113679</v>
      </c>
      <c r="AF45">
        <f t="shared" ca="1" si="91"/>
        <v>247.41737299144307</v>
      </c>
      <c r="AG45">
        <f t="shared" ca="1" si="91"/>
        <v>249.30863534550241</v>
      </c>
      <c r="AH45">
        <f t="shared" ca="1" si="91"/>
        <v>245.10944141130972</v>
      </c>
      <c r="AI45">
        <f t="shared" ca="1" si="91"/>
        <v>238.32353372014646</v>
      </c>
      <c r="AJ45">
        <f t="shared" ca="1" si="91"/>
        <v>239.6434753035073</v>
      </c>
      <c r="AK45">
        <f t="shared" ca="1" si="91"/>
        <v>233.822776044737</v>
      </c>
      <c r="AL45">
        <f t="shared" ca="1" si="91"/>
        <v>246.89152595632402</v>
      </c>
      <c r="AM45">
        <f t="shared" ca="1" si="91"/>
        <v>256.41590719374767</v>
      </c>
      <c r="AN45">
        <f t="shared" ca="1" si="91"/>
        <v>247.79215161932845</v>
      </c>
      <c r="AO45">
        <f t="shared" ca="1" si="91"/>
        <v>250.73267096849378</v>
      </c>
      <c r="AP45">
        <f t="shared" ca="1" si="91"/>
        <v>250.09573992696775</v>
      </c>
      <c r="AQ45">
        <f t="shared" ca="1" si="91"/>
        <v>246.95016218099985</v>
      </c>
      <c r="AR45">
        <f t="shared" ca="1" si="91"/>
        <v>251.4312753185261</v>
      </c>
      <c r="AS45">
        <f t="shared" ca="1" si="91"/>
        <v>251.36144002314003</v>
      </c>
      <c r="AT45">
        <f t="shared" ca="1" si="91"/>
        <v>251.25191328567627</v>
      </c>
      <c r="AU45">
        <f t="shared" ca="1" si="91"/>
        <v>259.20524879769204</v>
      </c>
      <c r="AV45">
        <f t="shared" ca="1" si="91"/>
        <v>260.2463988998523</v>
      </c>
      <c r="AW45">
        <f t="shared" ca="1" si="91"/>
        <v>269.18675353532194</v>
      </c>
      <c r="AX45">
        <f t="shared" ca="1" si="91"/>
        <v>268.18102756108061</v>
      </c>
      <c r="AY45">
        <f t="shared" ca="1" si="91"/>
        <v>265.15811712817305</v>
      </c>
      <c r="AZ45">
        <f t="shared" ca="1" si="91"/>
        <v>263.6015770990756</v>
      </c>
      <c r="BA45">
        <f t="shared" ca="1" si="91"/>
        <v>261.1309953585706</v>
      </c>
      <c r="BB45">
        <f t="shared" ca="1" si="91"/>
        <v>276.72664245806573</v>
      </c>
      <c r="BC45">
        <f t="shared" ca="1" si="91"/>
        <v>273.82374932267396</v>
      </c>
      <c r="BD45">
        <f t="shared" ca="1" si="91"/>
        <v>268.19021795922271</v>
      </c>
      <c r="BE45">
        <f t="shared" ca="1" si="91"/>
        <v>267.70509819661038</v>
      </c>
      <c r="BF45">
        <f t="shared" ca="1" si="91"/>
        <v>259.51314063749555</v>
      </c>
      <c r="BG45">
        <f t="shared" ca="1" si="91"/>
        <v>265.65283905683657</v>
      </c>
      <c r="BH45">
        <f t="shared" ca="1" si="91"/>
        <v>276.17722945919161</v>
      </c>
      <c r="BI45">
        <f t="shared" ca="1" si="91"/>
        <v>268.46530152143572</v>
      </c>
      <c r="BJ45">
        <f t="shared" ca="1" si="91"/>
        <v>268.62336306597172</v>
      </c>
      <c r="BK45">
        <f t="shared" ca="1" si="91"/>
        <v>267.08047654002348</v>
      </c>
      <c r="BL45">
        <f t="shared" ca="1" si="91"/>
        <v>262.27639574529815</v>
      </c>
      <c r="BM45">
        <f t="shared" ca="1" si="91"/>
        <v>258.72939468444929</v>
      </c>
      <c r="BN45">
        <f t="shared" ca="1" si="91"/>
        <v>252.9462517203927</v>
      </c>
      <c r="BO45">
        <f t="shared" ca="1" si="91"/>
        <v>250.2506195596641</v>
      </c>
      <c r="BP45">
        <f t="shared" ca="1" si="91"/>
        <v>245.16907423777417</v>
      </c>
      <c r="BQ45">
        <f t="shared" ca="1" si="91"/>
        <v>247.27443796410864</v>
      </c>
      <c r="BR45">
        <f t="shared" ref="BR45:CU45" ca="1" si="92">BQ45*(1+$B$2*$B$4+$B$3*SQRT($B$4)*_xlfn.NORM.S.INV(RAND()))</f>
        <v>245.62402857179046</v>
      </c>
      <c r="BS45">
        <f t="shared" ca="1" si="92"/>
        <v>235.32870479260478</v>
      </c>
      <c r="BT45">
        <f t="shared" ca="1" si="92"/>
        <v>234.76878444325627</v>
      </c>
      <c r="BU45">
        <f t="shared" ca="1" si="92"/>
        <v>240.47623362666147</v>
      </c>
      <c r="BV45">
        <f t="shared" ca="1" si="92"/>
        <v>240.83162894989511</v>
      </c>
      <c r="BW45">
        <f t="shared" ca="1" si="92"/>
        <v>249.59929608621596</v>
      </c>
      <c r="BX45">
        <f t="shared" ca="1" si="92"/>
        <v>256.04120662498428</v>
      </c>
      <c r="BY45">
        <f t="shared" ca="1" si="92"/>
        <v>257.05877548706991</v>
      </c>
      <c r="BZ45">
        <f t="shared" ca="1" si="92"/>
        <v>261.27279914568408</v>
      </c>
      <c r="CA45">
        <f t="shared" ca="1" si="92"/>
        <v>268.62241631503088</v>
      </c>
      <c r="CB45">
        <f t="shared" ca="1" si="92"/>
        <v>266.5595558551625</v>
      </c>
      <c r="CC45">
        <f t="shared" ca="1" si="92"/>
        <v>269.25986999227223</v>
      </c>
      <c r="CD45">
        <f t="shared" ca="1" si="92"/>
        <v>266.15192727312541</v>
      </c>
      <c r="CE45">
        <f t="shared" ca="1" si="92"/>
        <v>268.53732091540797</v>
      </c>
      <c r="CF45">
        <f t="shared" ca="1" si="92"/>
        <v>267.32145595450157</v>
      </c>
      <c r="CG45">
        <f t="shared" ca="1" si="92"/>
        <v>275.4603464922659</v>
      </c>
      <c r="CH45">
        <f t="shared" ca="1" si="92"/>
        <v>280.30240940376461</v>
      </c>
      <c r="CI45">
        <f t="shared" ca="1" si="92"/>
        <v>283.42646561859317</v>
      </c>
      <c r="CJ45">
        <f t="shared" ca="1" si="92"/>
        <v>281.48081407991771</v>
      </c>
      <c r="CK45">
        <f t="shared" ca="1" si="92"/>
        <v>283.22288342278182</v>
      </c>
      <c r="CL45">
        <f t="shared" ca="1" si="92"/>
        <v>281.23882116882703</v>
      </c>
      <c r="CM45">
        <f t="shared" ca="1" si="92"/>
        <v>290.99218030425942</v>
      </c>
      <c r="CN45">
        <f t="shared" ca="1" si="92"/>
        <v>283.54599651048062</v>
      </c>
      <c r="CO45">
        <f t="shared" ca="1" si="92"/>
        <v>278.44434162282801</v>
      </c>
      <c r="CP45">
        <f t="shared" ca="1" si="92"/>
        <v>276.28486478881376</v>
      </c>
      <c r="CQ45">
        <f t="shared" ca="1" si="92"/>
        <v>271.17596599667337</v>
      </c>
      <c r="CR45">
        <f t="shared" ca="1" si="92"/>
        <v>267.64009108310285</v>
      </c>
      <c r="CS45">
        <f t="shared" ca="1" si="92"/>
        <v>268.58441628430853</v>
      </c>
      <c r="CT45">
        <f t="shared" ca="1" si="92"/>
        <v>264.94163805887325</v>
      </c>
      <c r="CU45">
        <f t="shared" ca="1" si="92"/>
        <v>267.71203872326487</v>
      </c>
      <c r="CV45">
        <f t="shared" ca="1" si="70"/>
        <v>47.712038723264868</v>
      </c>
      <c r="CW45">
        <f t="shared" ca="1" si="7"/>
        <v>45.873285311422649</v>
      </c>
    </row>
    <row r="46" spans="5:101" x14ac:dyDescent="0.2">
      <c r="E46">
        <v>222.13</v>
      </c>
      <c r="F46">
        <f t="shared" ref="F46:BQ46" ca="1" si="93">E46*(1+$B$2*$B$4+$B$3*SQRT($B$4)*_xlfn.NORM.S.INV(RAND()))</f>
        <v>219.05346963158067</v>
      </c>
      <c r="G46">
        <f t="shared" ca="1" si="93"/>
        <v>214.40587353497506</v>
      </c>
      <c r="H46">
        <f t="shared" ca="1" si="93"/>
        <v>215.12382311493604</v>
      </c>
      <c r="I46">
        <f t="shared" ca="1" si="93"/>
        <v>213.80410231490472</v>
      </c>
      <c r="J46">
        <f t="shared" ca="1" si="93"/>
        <v>215.94100925735776</v>
      </c>
      <c r="K46">
        <f t="shared" ca="1" si="93"/>
        <v>220.32531993034758</v>
      </c>
      <c r="L46">
        <f t="shared" ca="1" si="93"/>
        <v>219.46678732823509</v>
      </c>
      <c r="M46">
        <f t="shared" ca="1" si="93"/>
        <v>217.08981880447047</v>
      </c>
      <c r="N46">
        <f t="shared" ca="1" si="93"/>
        <v>221.54588354887389</v>
      </c>
      <c r="O46">
        <f t="shared" ca="1" si="93"/>
        <v>221.89996499229832</v>
      </c>
      <c r="P46">
        <f t="shared" ca="1" si="93"/>
        <v>220.40375489163387</v>
      </c>
      <c r="Q46">
        <f t="shared" ca="1" si="93"/>
        <v>219.96495520996712</v>
      </c>
      <c r="R46">
        <f t="shared" ca="1" si="93"/>
        <v>213.20329917668528</v>
      </c>
      <c r="S46">
        <f t="shared" ca="1" si="93"/>
        <v>216.15638909701858</v>
      </c>
      <c r="T46">
        <f t="shared" ca="1" si="93"/>
        <v>214.93909771088516</v>
      </c>
      <c r="U46">
        <f t="shared" ca="1" si="93"/>
        <v>206.01575000443376</v>
      </c>
      <c r="V46">
        <f t="shared" ca="1" si="93"/>
        <v>206.5435527317546</v>
      </c>
      <c r="W46">
        <f t="shared" ca="1" si="93"/>
        <v>200.99480673001739</v>
      </c>
      <c r="X46">
        <f t="shared" ca="1" si="93"/>
        <v>196.60056767253459</v>
      </c>
      <c r="Y46">
        <f t="shared" ca="1" si="93"/>
        <v>198.2298813821117</v>
      </c>
      <c r="Z46">
        <f t="shared" ca="1" si="93"/>
        <v>197.30702879928683</v>
      </c>
      <c r="AA46">
        <f t="shared" ca="1" si="93"/>
        <v>200.3579834580971</v>
      </c>
      <c r="AB46">
        <f t="shared" ca="1" si="93"/>
        <v>210.42452310844018</v>
      </c>
      <c r="AC46">
        <f t="shared" ca="1" si="93"/>
        <v>201.27478827994113</v>
      </c>
      <c r="AD46">
        <f t="shared" ca="1" si="93"/>
        <v>193.03926925172229</v>
      </c>
      <c r="AE46">
        <f t="shared" ca="1" si="93"/>
        <v>192.90186852642282</v>
      </c>
      <c r="AF46">
        <f t="shared" ca="1" si="93"/>
        <v>198.74574018866005</v>
      </c>
      <c r="AG46">
        <f t="shared" ca="1" si="93"/>
        <v>195.69567516260619</v>
      </c>
      <c r="AH46">
        <f t="shared" ca="1" si="93"/>
        <v>198.24294360442352</v>
      </c>
      <c r="AI46">
        <f t="shared" ca="1" si="93"/>
        <v>196.25044979775555</v>
      </c>
      <c r="AJ46">
        <f t="shared" ca="1" si="93"/>
        <v>192.24288197111653</v>
      </c>
      <c r="AK46">
        <f t="shared" ca="1" si="93"/>
        <v>186.89462054728224</v>
      </c>
      <c r="AL46">
        <f t="shared" ca="1" si="93"/>
        <v>190.27142188713401</v>
      </c>
      <c r="AM46">
        <f t="shared" ca="1" si="93"/>
        <v>194.89213211041294</v>
      </c>
      <c r="AN46">
        <f t="shared" ca="1" si="93"/>
        <v>196.14855469309489</v>
      </c>
      <c r="AO46">
        <f t="shared" ca="1" si="93"/>
        <v>190.5133385115482</v>
      </c>
      <c r="AP46">
        <f t="shared" ca="1" si="93"/>
        <v>195.1556980929696</v>
      </c>
      <c r="AQ46">
        <f t="shared" ca="1" si="93"/>
        <v>197.75951969302511</v>
      </c>
      <c r="AR46">
        <f t="shared" ca="1" si="93"/>
        <v>201.68441565074704</v>
      </c>
      <c r="AS46">
        <f t="shared" ca="1" si="93"/>
        <v>200.02772989167968</v>
      </c>
      <c r="AT46">
        <f t="shared" ca="1" si="93"/>
        <v>203.62986721439174</v>
      </c>
      <c r="AU46">
        <f t="shared" ca="1" si="93"/>
        <v>200.41434782709706</v>
      </c>
      <c r="AV46">
        <f t="shared" ca="1" si="93"/>
        <v>202.00297593566938</v>
      </c>
      <c r="AW46">
        <f t="shared" ca="1" si="93"/>
        <v>208.88617487364556</v>
      </c>
      <c r="AX46">
        <f t="shared" ca="1" si="93"/>
        <v>215.77368605472142</v>
      </c>
      <c r="AY46">
        <f t="shared" ca="1" si="93"/>
        <v>212.40314927345273</v>
      </c>
      <c r="AZ46">
        <f t="shared" ca="1" si="93"/>
        <v>211.42861148987282</v>
      </c>
      <c r="BA46">
        <f t="shared" ca="1" si="93"/>
        <v>218.80254133242579</v>
      </c>
      <c r="BB46">
        <f t="shared" ca="1" si="93"/>
        <v>221.8644189667809</v>
      </c>
      <c r="BC46">
        <f t="shared" ca="1" si="93"/>
        <v>227.45216527346039</v>
      </c>
      <c r="BD46">
        <f t="shared" ca="1" si="93"/>
        <v>223.2949442625667</v>
      </c>
      <c r="BE46">
        <f t="shared" ca="1" si="93"/>
        <v>212.8541223012239</v>
      </c>
      <c r="BF46">
        <f t="shared" ca="1" si="93"/>
        <v>209.04878390980508</v>
      </c>
      <c r="BG46">
        <f t="shared" ca="1" si="93"/>
        <v>209.93556171402878</v>
      </c>
      <c r="BH46">
        <f t="shared" ca="1" si="93"/>
        <v>205.6049898715799</v>
      </c>
      <c r="BI46">
        <f t="shared" ca="1" si="93"/>
        <v>208.02890889858537</v>
      </c>
      <c r="BJ46">
        <f t="shared" ca="1" si="93"/>
        <v>208.26327526552527</v>
      </c>
      <c r="BK46">
        <f t="shared" ca="1" si="93"/>
        <v>210.8489286748256</v>
      </c>
      <c r="BL46">
        <f t="shared" ca="1" si="93"/>
        <v>212.82117500843975</v>
      </c>
      <c r="BM46">
        <f t="shared" ca="1" si="93"/>
        <v>212.41062161890724</v>
      </c>
      <c r="BN46">
        <f t="shared" ca="1" si="93"/>
        <v>209.19010710013541</v>
      </c>
      <c r="BO46">
        <f t="shared" ca="1" si="93"/>
        <v>208.94770921879766</v>
      </c>
      <c r="BP46">
        <f t="shared" ca="1" si="93"/>
        <v>211.59765167703299</v>
      </c>
      <c r="BQ46">
        <f t="shared" ca="1" si="93"/>
        <v>217.38275474084321</v>
      </c>
      <c r="BR46">
        <f t="shared" ref="BR46:CU46" ca="1" si="94">BQ46*(1+$B$2*$B$4+$B$3*SQRT($B$4)*_xlfn.NORM.S.INV(RAND()))</f>
        <v>213.93788816197019</v>
      </c>
      <c r="BS46">
        <f t="shared" ca="1" si="94"/>
        <v>218.26857239883677</v>
      </c>
      <c r="BT46">
        <f t="shared" ca="1" si="94"/>
        <v>217.47604494509284</v>
      </c>
      <c r="BU46">
        <f t="shared" ca="1" si="94"/>
        <v>220.97630697458803</v>
      </c>
      <c r="BV46">
        <f t="shared" ca="1" si="94"/>
        <v>215.92930465568938</v>
      </c>
      <c r="BW46">
        <f t="shared" ca="1" si="94"/>
        <v>217.19499549858202</v>
      </c>
      <c r="BX46">
        <f t="shared" ca="1" si="94"/>
        <v>220.97927136294777</v>
      </c>
      <c r="BY46">
        <f t="shared" ca="1" si="94"/>
        <v>224.75114008965403</v>
      </c>
      <c r="BZ46">
        <f t="shared" ca="1" si="94"/>
        <v>232.15793894504088</v>
      </c>
      <c r="CA46">
        <f t="shared" ca="1" si="94"/>
        <v>238.95691085212644</v>
      </c>
      <c r="CB46">
        <f t="shared" ca="1" si="94"/>
        <v>238.35833505515347</v>
      </c>
      <c r="CC46">
        <f t="shared" ca="1" si="94"/>
        <v>234.06300275961618</v>
      </c>
      <c r="CD46">
        <f t="shared" ca="1" si="94"/>
        <v>244.88687664628816</v>
      </c>
      <c r="CE46">
        <f t="shared" ca="1" si="94"/>
        <v>242.59557866752345</v>
      </c>
      <c r="CF46">
        <f t="shared" ca="1" si="94"/>
        <v>251.08247548170783</v>
      </c>
      <c r="CG46">
        <f t="shared" ca="1" si="94"/>
        <v>247.69276771614085</v>
      </c>
      <c r="CH46">
        <f t="shared" ca="1" si="94"/>
        <v>260.49254792051562</v>
      </c>
      <c r="CI46">
        <f t="shared" ca="1" si="94"/>
        <v>249.08216387972169</v>
      </c>
      <c r="CJ46">
        <f t="shared" ca="1" si="94"/>
        <v>243.75022950484998</v>
      </c>
      <c r="CK46">
        <f t="shared" ca="1" si="94"/>
        <v>241.10065583412788</v>
      </c>
      <c r="CL46">
        <f t="shared" ca="1" si="94"/>
        <v>244.22617795498385</v>
      </c>
      <c r="CM46">
        <f t="shared" ca="1" si="94"/>
        <v>247.29843469094246</v>
      </c>
      <c r="CN46">
        <f t="shared" ca="1" si="94"/>
        <v>249.78836535769304</v>
      </c>
      <c r="CO46">
        <f t="shared" ca="1" si="94"/>
        <v>245.9905541204273</v>
      </c>
      <c r="CP46">
        <f t="shared" ca="1" si="94"/>
        <v>241.41755008285065</v>
      </c>
      <c r="CQ46">
        <f t="shared" ca="1" si="94"/>
        <v>243.65870494713883</v>
      </c>
      <c r="CR46">
        <f t="shared" ca="1" si="94"/>
        <v>247.51969944264812</v>
      </c>
      <c r="CS46">
        <f t="shared" ca="1" si="94"/>
        <v>247.37789710866838</v>
      </c>
      <c r="CT46">
        <f t="shared" ca="1" si="94"/>
        <v>253.91623402466681</v>
      </c>
      <c r="CU46">
        <f t="shared" ca="1" si="94"/>
        <v>250.6888374164528</v>
      </c>
      <c r="CV46">
        <f t="shared" ca="1" si="70"/>
        <v>30.688837416452799</v>
      </c>
      <c r="CW46">
        <f t="shared" ca="1" si="7"/>
        <v>29.506133721222557</v>
      </c>
    </row>
    <row r="47" spans="5:101" x14ac:dyDescent="0.2">
      <c r="E47">
        <v>222.13</v>
      </c>
      <c r="F47">
        <f t="shared" ref="F47:BQ47" ca="1" si="95">E47*(1+$B$2*$B$4+$B$3*SQRT($B$4)*_xlfn.NORM.S.INV(RAND()))</f>
        <v>222.55649383034228</v>
      </c>
      <c r="G47">
        <f t="shared" ca="1" si="95"/>
        <v>221.19859603685859</v>
      </c>
      <c r="H47">
        <f t="shared" ca="1" si="95"/>
        <v>221.48892429806696</v>
      </c>
      <c r="I47">
        <f t="shared" ca="1" si="95"/>
        <v>210.76510732314463</v>
      </c>
      <c r="J47">
        <f t="shared" ca="1" si="95"/>
        <v>217.07760772514652</v>
      </c>
      <c r="K47">
        <f t="shared" ca="1" si="95"/>
        <v>215.8731585234861</v>
      </c>
      <c r="L47">
        <f t="shared" ca="1" si="95"/>
        <v>217.23253668072226</v>
      </c>
      <c r="M47">
        <f t="shared" ca="1" si="95"/>
        <v>218.79268609841526</v>
      </c>
      <c r="N47">
        <f t="shared" ca="1" si="95"/>
        <v>219.66770650118116</v>
      </c>
      <c r="O47">
        <f t="shared" ca="1" si="95"/>
        <v>217.9460026236618</v>
      </c>
      <c r="P47">
        <f t="shared" ca="1" si="95"/>
        <v>220.03424728552616</v>
      </c>
      <c r="Q47">
        <f t="shared" ca="1" si="95"/>
        <v>219.17619879272303</v>
      </c>
      <c r="R47">
        <f t="shared" ca="1" si="95"/>
        <v>207.96336489889867</v>
      </c>
      <c r="S47">
        <f t="shared" ca="1" si="95"/>
        <v>204.59082709467665</v>
      </c>
      <c r="T47">
        <f t="shared" ca="1" si="95"/>
        <v>204.35532821335696</v>
      </c>
      <c r="U47">
        <f t="shared" ca="1" si="95"/>
        <v>205.55993521848666</v>
      </c>
      <c r="V47">
        <f t="shared" ca="1" si="95"/>
        <v>205.39377074824003</v>
      </c>
      <c r="W47">
        <f t="shared" ca="1" si="95"/>
        <v>203.66173430644142</v>
      </c>
      <c r="X47">
        <f t="shared" ca="1" si="95"/>
        <v>204.75855490778807</v>
      </c>
      <c r="Y47">
        <f t="shared" ca="1" si="95"/>
        <v>201.48702337803576</v>
      </c>
      <c r="Z47">
        <f t="shared" ca="1" si="95"/>
        <v>196.64763034402461</v>
      </c>
      <c r="AA47">
        <f t="shared" ca="1" si="95"/>
        <v>198.043182129298</v>
      </c>
      <c r="AB47">
        <f t="shared" ca="1" si="95"/>
        <v>200.2535747073895</v>
      </c>
      <c r="AC47">
        <f t="shared" ca="1" si="95"/>
        <v>198.41093871727742</v>
      </c>
      <c r="AD47">
        <f t="shared" ca="1" si="95"/>
        <v>198.54668488977356</v>
      </c>
      <c r="AE47">
        <f t="shared" ca="1" si="95"/>
        <v>192.78465937467084</v>
      </c>
      <c r="AF47">
        <f t="shared" ca="1" si="95"/>
        <v>191.09573263070874</v>
      </c>
      <c r="AG47">
        <f t="shared" ca="1" si="95"/>
        <v>192.94150753684923</v>
      </c>
      <c r="AH47">
        <f t="shared" ca="1" si="95"/>
        <v>203.19067791615544</v>
      </c>
      <c r="AI47">
        <f t="shared" ca="1" si="95"/>
        <v>204.34209788974869</v>
      </c>
      <c r="AJ47">
        <f t="shared" ca="1" si="95"/>
        <v>199.69211095354362</v>
      </c>
      <c r="AK47">
        <f t="shared" ca="1" si="95"/>
        <v>198.26355539515203</v>
      </c>
      <c r="AL47">
        <f t="shared" ca="1" si="95"/>
        <v>191.44604794362581</v>
      </c>
      <c r="AM47">
        <f t="shared" ca="1" si="95"/>
        <v>187.8012396223659</v>
      </c>
      <c r="AN47">
        <f t="shared" ca="1" si="95"/>
        <v>190.50895822277397</v>
      </c>
      <c r="AO47">
        <f t="shared" ca="1" si="95"/>
        <v>187.18558168673937</v>
      </c>
      <c r="AP47">
        <f t="shared" ca="1" si="95"/>
        <v>189.54116651109968</v>
      </c>
      <c r="AQ47">
        <f t="shared" ca="1" si="95"/>
        <v>189.49372601299586</v>
      </c>
      <c r="AR47">
        <f t="shared" ca="1" si="95"/>
        <v>186.43482005640439</v>
      </c>
      <c r="AS47">
        <f t="shared" ca="1" si="95"/>
        <v>185.11506712206725</v>
      </c>
      <c r="AT47">
        <f t="shared" ca="1" si="95"/>
        <v>183.28462023439758</v>
      </c>
      <c r="AU47">
        <f t="shared" ca="1" si="95"/>
        <v>180.42402909627378</v>
      </c>
      <c r="AV47">
        <f t="shared" ca="1" si="95"/>
        <v>173.04351316047598</v>
      </c>
      <c r="AW47">
        <f t="shared" ca="1" si="95"/>
        <v>183.68641299039007</v>
      </c>
      <c r="AX47">
        <f t="shared" ca="1" si="95"/>
        <v>182.18209879395116</v>
      </c>
      <c r="AY47">
        <f t="shared" ca="1" si="95"/>
        <v>178.47763163397093</v>
      </c>
      <c r="AZ47">
        <f t="shared" ca="1" si="95"/>
        <v>181.08009428721721</v>
      </c>
      <c r="BA47">
        <f t="shared" ca="1" si="95"/>
        <v>188.06187581228895</v>
      </c>
      <c r="BB47">
        <f t="shared" ca="1" si="95"/>
        <v>191.7190134788265</v>
      </c>
      <c r="BC47">
        <f t="shared" ca="1" si="95"/>
        <v>178.64223087440345</v>
      </c>
      <c r="BD47">
        <f t="shared" ca="1" si="95"/>
        <v>173.94676952462478</v>
      </c>
      <c r="BE47">
        <f t="shared" ca="1" si="95"/>
        <v>171.82292010020598</v>
      </c>
      <c r="BF47">
        <f t="shared" ca="1" si="95"/>
        <v>174.66317443972596</v>
      </c>
      <c r="BG47">
        <f t="shared" ca="1" si="95"/>
        <v>175.86888566445361</v>
      </c>
      <c r="BH47">
        <f t="shared" ca="1" si="95"/>
        <v>174.26222958982893</v>
      </c>
      <c r="BI47">
        <f t="shared" ca="1" si="95"/>
        <v>175.44477975944841</v>
      </c>
      <c r="BJ47">
        <f t="shared" ca="1" si="95"/>
        <v>177.82641332704884</v>
      </c>
      <c r="BK47">
        <f t="shared" ca="1" si="95"/>
        <v>174.62741450830916</v>
      </c>
      <c r="BL47">
        <f t="shared" ca="1" si="95"/>
        <v>177.24952163458727</v>
      </c>
      <c r="BM47">
        <f t="shared" ca="1" si="95"/>
        <v>182.7867450944554</v>
      </c>
      <c r="BN47">
        <f t="shared" ca="1" si="95"/>
        <v>180.60818516141526</v>
      </c>
      <c r="BO47">
        <f t="shared" ca="1" si="95"/>
        <v>179.61070629559066</v>
      </c>
      <c r="BP47">
        <f t="shared" ca="1" si="95"/>
        <v>186.95035288706802</v>
      </c>
      <c r="BQ47">
        <f t="shared" ca="1" si="95"/>
        <v>195.36228169310169</v>
      </c>
      <c r="BR47">
        <f t="shared" ref="BR47:CU47" ca="1" si="96">BQ47*(1+$B$2*$B$4+$B$3*SQRT($B$4)*_xlfn.NORM.S.INV(RAND()))</f>
        <v>195.09668589850921</v>
      </c>
      <c r="BS47">
        <f t="shared" ca="1" si="96"/>
        <v>185.49048227948367</v>
      </c>
      <c r="BT47">
        <f t="shared" ca="1" si="96"/>
        <v>184.96206725462025</v>
      </c>
      <c r="BU47">
        <f t="shared" ca="1" si="96"/>
        <v>191.56698414610582</v>
      </c>
      <c r="BV47">
        <f t="shared" ca="1" si="96"/>
        <v>203.4581096711245</v>
      </c>
      <c r="BW47">
        <f t="shared" ca="1" si="96"/>
        <v>202.51603171977058</v>
      </c>
      <c r="BX47">
        <f t="shared" ca="1" si="96"/>
        <v>199.58824746706435</v>
      </c>
      <c r="BY47">
        <f t="shared" ca="1" si="96"/>
        <v>189.30999115355834</v>
      </c>
      <c r="BZ47">
        <f t="shared" ca="1" si="96"/>
        <v>186.4914981404948</v>
      </c>
      <c r="CA47">
        <f t="shared" ca="1" si="96"/>
        <v>186.85433712285851</v>
      </c>
      <c r="CB47">
        <f t="shared" ca="1" si="96"/>
        <v>186.23246182184144</v>
      </c>
      <c r="CC47">
        <f t="shared" ca="1" si="96"/>
        <v>186.42294882698923</v>
      </c>
      <c r="CD47">
        <f t="shared" ca="1" si="96"/>
        <v>183.50830193494167</v>
      </c>
      <c r="CE47">
        <f t="shared" ca="1" si="96"/>
        <v>183.35738030121746</v>
      </c>
      <c r="CF47">
        <f t="shared" ca="1" si="96"/>
        <v>183.46313170555328</v>
      </c>
      <c r="CG47">
        <f t="shared" ca="1" si="96"/>
        <v>185.54151054787692</v>
      </c>
      <c r="CH47">
        <f t="shared" ca="1" si="96"/>
        <v>181.33008018950457</v>
      </c>
      <c r="CI47">
        <f t="shared" ca="1" si="96"/>
        <v>181.79400954027955</v>
      </c>
      <c r="CJ47">
        <f t="shared" ca="1" si="96"/>
        <v>190.29819279396315</v>
      </c>
      <c r="CK47">
        <f t="shared" ca="1" si="96"/>
        <v>195.44726056395473</v>
      </c>
      <c r="CL47">
        <f t="shared" ca="1" si="96"/>
        <v>196.61539052277072</v>
      </c>
      <c r="CM47">
        <f t="shared" ca="1" si="96"/>
        <v>198.38317999495294</v>
      </c>
      <c r="CN47">
        <f t="shared" ca="1" si="96"/>
        <v>210.37705498242443</v>
      </c>
      <c r="CO47">
        <f t="shared" ca="1" si="96"/>
        <v>215.69912561547807</v>
      </c>
      <c r="CP47">
        <f t="shared" ca="1" si="96"/>
        <v>214.56736341764579</v>
      </c>
      <c r="CQ47">
        <f t="shared" ca="1" si="96"/>
        <v>217.37417216041462</v>
      </c>
      <c r="CR47">
        <f t="shared" ca="1" si="96"/>
        <v>209.03766736334612</v>
      </c>
      <c r="CS47">
        <f t="shared" ca="1" si="96"/>
        <v>219.26775362816667</v>
      </c>
      <c r="CT47">
        <f t="shared" ca="1" si="96"/>
        <v>215.45098075197095</v>
      </c>
      <c r="CU47">
        <f t="shared" ca="1" si="96"/>
        <v>212.89976028471446</v>
      </c>
      <c r="CV47">
        <f t="shared" ca="1" si="70"/>
        <v>0</v>
      </c>
      <c r="CW47">
        <f t="shared" ca="1" si="7"/>
        <v>0</v>
      </c>
    </row>
    <row r="48" spans="5:101" x14ac:dyDescent="0.2">
      <c r="E48">
        <v>222.13</v>
      </c>
      <c r="F48">
        <f t="shared" ref="F48:BQ48" ca="1" si="97">E48*(1+$B$2*$B$4+$B$3*SQRT($B$4)*_xlfn.NORM.S.INV(RAND()))</f>
        <v>216.78444523864781</v>
      </c>
      <c r="G48">
        <f t="shared" ca="1" si="97"/>
        <v>211.03506514046447</v>
      </c>
      <c r="H48">
        <f t="shared" ca="1" si="97"/>
        <v>209.20843330529061</v>
      </c>
      <c r="I48">
        <f t="shared" ca="1" si="97"/>
        <v>211.30635803106708</v>
      </c>
      <c r="J48">
        <f t="shared" ca="1" si="97"/>
        <v>212.15976014010741</v>
      </c>
      <c r="K48">
        <f t="shared" ca="1" si="97"/>
        <v>220.46106236960051</v>
      </c>
      <c r="L48">
        <f t="shared" ca="1" si="97"/>
        <v>221.677029845313</v>
      </c>
      <c r="M48">
        <f t="shared" ca="1" si="97"/>
        <v>226.83504422590977</v>
      </c>
      <c r="N48">
        <f t="shared" ca="1" si="97"/>
        <v>217.13062291963814</v>
      </c>
      <c r="O48">
        <f t="shared" ca="1" si="97"/>
        <v>216.57717715344265</v>
      </c>
      <c r="P48">
        <f t="shared" ca="1" si="97"/>
        <v>212.56391924364323</v>
      </c>
      <c r="Q48">
        <f t="shared" ca="1" si="97"/>
        <v>209.98715046598201</v>
      </c>
      <c r="R48">
        <f t="shared" ca="1" si="97"/>
        <v>209.78498134203031</v>
      </c>
      <c r="S48">
        <f t="shared" ca="1" si="97"/>
        <v>210.21906393967123</v>
      </c>
      <c r="T48">
        <f t="shared" ca="1" si="97"/>
        <v>213.79740864453524</v>
      </c>
      <c r="U48">
        <f t="shared" ca="1" si="97"/>
        <v>222.72549857843043</v>
      </c>
      <c r="V48">
        <f t="shared" ca="1" si="97"/>
        <v>215.91332072254545</v>
      </c>
      <c r="W48">
        <f t="shared" ca="1" si="97"/>
        <v>218.53928096175972</v>
      </c>
      <c r="X48">
        <f t="shared" ca="1" si="97"/>
        <v>222.742214258015</v>
      </c>
      <c r="Y48">
        <f t="shared" ca="1" si="97"/>
        <v>221.88299696348233</v>
      </c>
      <c r="Z48">
        <f t="shared" ca="1" si="97"/>
        <v>212.10068659488567</v>
      </c>
      <c r="AA48">
        <f t="shared" ca="1" si="97"/>
        <v>216.15790558037151</v>
      </c>
      <c r="AB48">
        <f t="shared" ca="1" si="97"/>
        <v>220.80682700642058</v>
      </c>
      <c r="AC48">
        <f t="shared" ca="1" si="97"/>
        <v>221.65796057356627</v>
      </c>
      <c r="AD48">
        <f t="shared" ca="1" si="97"/>
        <v>225.89761107962386</v>
      </c>
      <c r="AE48">
        <f t="shared" ca="1" si="97"/>
        <v>227.22781226892906</v>
      </c>
      <c r="AF48">
        <f t="shared" ca="1" si="97"/>
        <v>220.63346201943725</v>
      </c>
      <c r="AG48">
        <f t="shared" ca="1" si="97"/>
        <v>223.69695424254422</v>
      </c>
      <c r="AH48">
        <f t="shared" ca="1" si="97"/>
        <v>224.14462855814489</v>
      </c>
      <c r="AI48">
        <f t="shared" ca="1" si="97"/>
        <v>231.06581269423714</v>
      </c>
      <c r="AJ48">
        <f t="shared" ca="1" si="97"/>
        <v>235.25516049003079</v>
      </c>
      <c r="AK48">
        <f t="shared" ca="1" si="97"/>
        <v>248.06393030777303</v>
      </c>
      <c r="AL48">
        <f t="shared" ca="1" si="97"/>
        <v>256.95775905780619</v>
      </c>
      <c r="AM48">
        <f t="shared" ca="1" si="97"/>
        <v>256.34674002352199</v>
      </c>
      <c r="AN48">
        <f t="shared" ca="1" si="97"/>
        <v>247.93782444676216</v>
      </c>
      <c r="AO48">
        <f t="shared" ca="1" si="97"/>
        <v>252.62900281192873</v>
      </c>
      <c r="AP48">
        <f t="shared" ca="1" si="97"/>
        <v>257.26125281357974</v>
      </c>
      <c r="AQ48">
        <f t="shared" ca="1" si="97"/>
        <v>259.43896593453542</v>
      </c>
      <c r="AR48">
        <f t="shared" ca="1" si="97"/>
        <v>250.50883401549461</v>
      </c>
      <c r="AS48">
        <f t="shared" ca="1" si="97"/>
        <v>245.61263102483323</v>
      </c>
      <c r="AT48">
        <f t="shared" ca="1" si="97"/>
        <v>244.55475286587634</v>
      </c>
      <c r="AU48">
        <f t="shared" ca="1" si="97"/>
        <v>241.05072972996666</v>
      </c>
      <c r="AV48">
        <f t="shared" ca="1" si="97"/>
        <v>244.14203160522402</v>
      </c>
      <c r="AW48">
        <f t="shared" ca="1" si="97"/>
        <v>242.20385241803712</v>
      </c>
      <c r="AX48">
        <f t="shared" ca="1" si="97"/>
        <v>251.579958118669</v>
      </c>
      <c r="AY48">
        <f t="shared" ca="1" si="97"/>
        <v>253.8565237405144</v>
      </c>
      <c r="AZ48">
        <f t="shared" ca="1" si="97"/>
        <v>250.5986493359444</v>
      </c>
      <c r="BA48">
        <f t="shared" ca="1" si="97"/>
        <v>245.05131434810539</v>
      </c>
      <c r="BB48">
        <f t="shared" ca="1" si="97"/>
        <v>240.2023907516047</v>
      </c>
      <c r="BC48">
        <f t="shared" ca="1" si="97"/>
        <v>238.94707034850578</v>
      </c>
      <c r="BD48">
        <f t="shared" ca="1" si="97"/>
        <v>227.24748340883832</v>
      </c>
      <c r="BE48">
        <f t="shared" ca="1" si="97"/>
        <v>219.36531547779819</v>
      </c>
      <c r="BF48">
        <f t="shared" ca="1" si="97"/>
        <v>220.2565855300634</v>
      </c>
      <c r="BG48">
        <f t="shared" ca="1" si="97"/>
        <v>222.56901415421709</v>
      </c>
      <c r="BH48">
        <f t="shared" ca="1" si="97"/>
        <v>232.51284315574921</v>
      </c>
      <c r="BI48">
        <f t="shared" ca="1" si="97"/>
        <v>241.77623499505535</v>
      </c>
      <c r="BJ48">
        <f t="shared" ca="1" si="97"/>
        <v>244.25074827547789</v>
      </c>
      <c r="BK48">
        <f t="shared" ca="1" si="97"/>
        <v>241.32457895576849</v>
      </c>
      <c r="BL48">
        <f t="shared" ca="1" si="97"/>
        <v>234.42054207471304</v>
      </c>
      <c r="BM48">
        <f t="shared" ca="1" si="97"/>
        <v>235.95405705021682</v>
      </c>
      <c r="BN48">
        <f t="shared" ca="1" si="97"/>
        <v>243.33779565284613</v>
      </c>
      <c r="BO48">
        <f t="shared" ca="1" si="97"/>
        <v>249.65355327366476</v>
      </c>
      <c r="BP48">
        <f t="shared" ca="1" si="97"/>
        <v>240.2774577268608</v>
      </c>
      <c r="BQ48">
        <f t="shared" ca="1" si="97"/>
        <v>242.24540499188703</v>
      </c>
      <c r="BR48">
        <f t="shared" ref="BR48:CU48" ca="1" si="98">BQ48*(1+$B$2*$B$4+$B$3*SQRT($B$4)*_xlfn.NORM.S.INV(RAND()))</f>
        <v>234.85147017802086</v>
      </c>
      <c r="BS48">
        <f t="shared" ca="1" si="98"/>
        <v>241.42385977500635</v>
      </c>
      <c r="BT48">
        <f t="shared" ca="1" si="98"/>
        <v>239.00459204177207</v>
      </c>
      <c r="BU48">
        <f t="shared" ca="1" si="98"/>
        <v>235.67205811648861</v>
      </c>
      <c r="BV48">
        <f t="shared" ca="1" si="98"/>
        <v>231.37950796701861</v>
      </c>
      <c r="BW48">
        <f t="shared" ca="1" si="98"/>
        <v>229.86444892707397</v>
      </c>
      <c r="BX48">
        <f t="shared" ca="1" si="98"/>
        <v>227.07330820229788</v>
      </c>
      <c r="BY48">
        <f t="shared" ca="1" si="98"/>
        <v>227.74243498111187</v>
      </c>
      <c r="BZ48">
        <f t="shared" ca="1" si="98"/>
        <v>232.60462847398716</v>
      </c>
      <c r="CA48">
        <f t="shared" ca="1" si="98"/>
        <v>228.32028302958685</v>
      </c>
      <c r="CB48">
        <f t="shared" ca="1" si="98"/>
        <v>232.31394323336937</v>
      </c>
      <c r="CC48">
        <f t="shared" ca="1" si="98"/>
        <v>219.79467615303673</v>
      </c>
      <c r="CD48">
        <f t="shared" ca="1" si="98"/>
        <v>212.57121889405633</v>
      </c>
      <c r="CE48">
        <f t="shared" ca="1" si="98"/>
        <v>215.28668026069059</v>
      </c>
      <c r="CF48">
        <f t="shared" ca="1" si="98"/>
        <v>215.80137782203343</v>
      </c>
      <c r="CG48">
        <f t="shared" ca="1" si="98"/>
        <v>220.42389577445766</v>
      </c>
      <c r="CH48">
        <f t="shared" ca="1" si="98"/>
        <v>220.96754960814656</v>
      </c>
      <c r="CI48">
        <f t="shared" ca="1" si="98"/>
        <v>226.82232109758954</v>
      </c>
      <c r="CJ48">
        <f t="shared" ca="1" si="98"/>
        <v>228.71561202962414</v>
      </c>
      <c r="CK48">
        <f t="shared" ca="1" si="98"/>
        <v>229.50776279340147</v>
      </c>
      <c r="CL48">
        <f t="shared" ca="1" si="98"/>
        <v>226.15134660161002</v>
      </c>
      <c r="CM48">
        <f t="shared" ca="1" si="98"/>
        <v>225.19922636555069</v>
      </c>
      <c r="CN48">
        <f t="shared" ca="1" si="98"/>
        <v>225.08162721950123</v>
      </c>
      <c r="CO48">
        <f t="shared" ca="1" si="98"/>
        <v>233.38501784269775</v>
      </c>
      <c r="CP48">
        <f t="shared" ca="1" si="98"/>
        <v>241.34516812989347</v>
      </c>
      <c r="CQ48">
        <f t="shared" ca="1" si="98"/>
        <v>239.17212043842358</v>
      </c>
      <c r="CR48">
        <f t="shared" ca="1" si="98"/>
        <v>233.00080946904308</v>
      </c>
      <c r="CS48">
        <f t="shared" ca="1" si="98"/>
        <v>233.16700314447809</v>
      </c>
      <c r="CT48">
        <f t="shared" ca="1" si="98"/>
        <v>227.14481538385718</v>
      </c>
      <c r="CU48">
        <f t="shared" ca="1" si="98"/>
        <v>241.70220299126262</v>
      </c>
      <c r="CV48">
        <f t="shared" ca="1" si="70"/>
        <v>21.702202991262624</v>
      </c>
      <c r="CW48">
        <f t="shared" ca="1" si="7"/>
        <v>20.865831273295804</v>
      </c>
    </row>
    <row r="49" spans="5:101" x14ac:dyDescent="0.2">
      <c r="E49">
        <v>222.13</v>
      </c>
      <c r="F49">
        <f t="shared" ref="F49:BQ49" ca="1" si="99">E49*(1+$B$2*$B$4+$B$3*SQRT($B$4)*_xlfn.NORM.S.INV(RAND()))</f>
        <v>215.55118615880096</v>
      </c>
      <c r="G49">
        <f t="shared" ca="1" si="99"/>
        <v>210.94089716514222</v>
      </c>
      <c r="H49">
        <f t="shared" ca="1" si="99"/>
        <v>207.91970906421082</v>
      </c>
      <c r="I49">
        <f t="shared" ca="1" si="99"/>
        <v>202.92015040605105</v>
      </c>
      <c r="J49">
        <f t="shared" ca="1" si="99"/>
        <v>209.18086976914157</v>
      </c>
      <c r="K49">
        <f t="shared" ca="1" si="99"/>
        <v>216.43865544372969</v>
      </c>
      <c r="L49">
        <f t="shared" ca="1" si="99"/>
        <v>216.81376570376676</v>
      </c>
      <c r="M49">
        <f t="shared" ca="1" si="99"/>
        <v>213.21008588941163</v>
      </c>
      <c r="N49">
        <f t="shared" ca="1" si="99"/>
        <v>209.47394392507158</v>
      </c>
      <c r="O49">
        <f t="shared" ca="1" si="99"/>
        <v>213.93698079450053</v>
      </c>
      <c r="P49">
        <f t="shared" ca="1" si="99"/>
        <v>206.89478264335963</v>
      </c>
      <c r="Q49">
        <f t="shared" ca="1" si="99"/>
        <v>204.39128582479916</v>
      </c>
      <c r="R49">
        <f t="shared" ca="1" si="99"/>
        <v>202.16637545801424</v>
      </c>
      <c r="S49">
        <f t="shared" ca="1" si="99"/>
        <v>207.76717347911105</v>
      </c>
      <c r="T49">
        <f t="shared" ca="1" si="99"/>
        <v>212.74894042532483</v>
      </c>
      <c r="U49">
        <f t="shared" ca="1" si="99"/>
        <v>210.46861906709211</v>
      </c>
      <c r="V49">
        <f t="shared" ca="1" si="99"/>
        <v>208.69932059349046</v>
      </c>
      <c r="W49">
        <f t="shared" ca="1" si="99"/>
        <v>206.51309496682939</v>
      </c>
      <c r="X49">
        <f t="shared" ca="1" si="99"/>
        <v>207.08096889553261</v>
      </c>
      <c r="Y49">
        <f t="shared" ca="1" si="99"/>
        <v>206.46127102679074</v>
      </c>
      <c r="Z49">
        <f t="shared" ca="1" si="99"/>
        <v>209.18766721619241</v>
      </c>
      <c r="AA49">
        <f t="shared" ca="1" si="99"/>
        <v>207.63647600478015</v>
      </c>
      <c r="AB49">
        <f t="shared" ca="1" si="99"/>
        <v>210.26082599101088</v>
      </c>
      <c r="AC49">
        <f t="shared" ca="1" si="99"/>
        <v>222.4653247519621</v>
      </c>
      <c r="AD49">
        <f t="shared" ca="1" si="99"/>
        <v>228.36073418941746</v>
      </c>
      <c r="AE49">
        <f t="shared" ca="1" si="99"/>
        <v>221.33613937521639</v>
      </c>
      <c r="AF49">
        <f t="shared" ca="1" si="99"/>
        <v>225.63012172265627</v>
      </c>
      <c r="AG49">
        <f t="shared" ca="1" si="99"/>
        <v>227.29662710588121</v>
      </c>
      <c r="AH49">
        <f t="shared" ca="1" si="99"/>
        <v>214.82565775130473</v>
      </c>
      <c r="AI49">
        <f t="shared" ca="1" si="99"/>
        <v>218.95379904498358</v>
      </c>
      <c r="AJ49">
        <f t="shared" ca="1" si="99"/>
        <v>226.59506850085677</v>
      </c>
      <c r="AK49">
        <f t="shared" ca="1" si="99"/>
        <v>220.89725343680794</v>
      </c>
      <c r="AL49">
        <f t="shared" ca="1" si="99"/>
        <v>221.67648569071045</v>
      </c>
      <c r="AM49">
        <f t="shared" ca="1" si="99"/>
        <v>217.44956591400609</v>
      </c>
      <c r="AN49">
        <f t="shared" ca="1" si="99"/>
        <v>219.59644190841314</v>
      </c>
      <c r="AO49">
        <f t="shared" ca="1" si="99"/>
        <v>214.68058586122132</v>
      </c>
      <c r="AP49">
        <f t="shared" ca="1" si="99"/>
        <v>208.44962731162025</v>
      </c>
      <c r="AQ49">
        <f t="shared" ca="1" si="99"/>
        <v>209.66804495198406</v>
      </c>
      <c r="AR49">
        <f t="shared" ca="1" si="99"/>
        <v>207.66330124546258</v>
      </c>
      <c r="AS49">
        <f t="shared" ca="1" si="99"/>
        <v>207.07805304868614</v>
      </c>
      <c r="AT49">
        <f t="shared" ca="1" si="99"/>
        <v>214.35088421005017</v>
      </c>
      <c r="AU49">
        <f t="shared" ca="1" si="99"/>
        <v>208.9558161966666</v>
      </c>
      <c r="AV49">
        <f t="shared" ca="1" si="99"/>
        <v>209.93139035529609</v>
      </c>
      <c r="AW49">
        <f t="shared" ca="1" si="99"/>
        <v>219.32134820761254</v>
      </c>
      <c r="AX49">
        <f t="shared" ca="1" si="99"/>
        <v>227.68787313469454</v>
      </c>
      <c r="AY49">
        <f t="shared" ca="1" si="99"/>
        <v>221.64147374623215</v>
      </c>
      <c r="AZ49">
        <f t="shared" ca="1" si="99"/>
        <v>224.11023219896225</v>
      </c>
      <c r="BA49">
        <f t="shared" ca="1" si="99"/>
        <v>222.65049081884882</v>
      </c>
      <c r="BB49">
        <f t="shared" ca="1" si="99"/>
        <v>226.93210476204888</v>
      </c>
      <c r="BC49">
        <f t="shared" ca="1" si="99"/>
        <v>224.22095674897685</v>
      </c>
      <c r="BD49">
        <f t="shared" ca="1" si="99"/>
        <v>223.81826757220335</v>
      </c>
      <c r="BE49">
        <f t="shared" ca="1" si="99"/>
        <v>227.9266262784657</v>
      </c>
      <c r="BF49">
        <f t="shared" ca="1" si="99"/>
        <v>223.83875078751427</v>
      </c>
      <c r="BG49">
        <f t="shared" ca="1" si="99"/>
        <v>227.87908632043784</v>
      </c>
      <c r="BH49">
        <f t="shared" ca="1" si="99"/>
        <v>213.56326594398067</v>
      </c>
      <c r="BI49">
        <f t="shared" ca="1" si="99"/>
        <v>219.44158470848083</v>
      </c>
      <c r="BJ49">
        <f t="shared" ca="1" si="99"/>
        <v>217.7695925780595</v>
      </c>
      <c r="BK49">
        <f t="shared" ca="1" si="99"/>
        <v>220.08277184690624</v>
      </c>
      <c r="BL49">
        <f t="shared" ca="1" si="99"/>
        <v>224.73287698005217</v>
      </c>
      <c r="BM49">
        <f t="shared" ca="1" si="99"/>
        <v>210.85750417121716</v>
      </c>
      <c r="BN49">
        <f t="shared" ca="1" si="99"/>
        <v>215.11073761076412</v>
      </c>
      <c r="BO49">
        <f t="shared" ca="1" si="99"/>
        <v>215.66221379376415</v>
      </c>
      <c r="BP49">
        <f t="shared" ca="1" si="99"/>
        <v>217.42898157888928</v>
      </c>
      <c r="BQ49">
        <f t="shared" ca="1" si="99"/>
        <v>210.10974297752585</v>
      </c>
      <c r="BR49">
        <f t="shared" ref="BR49:CU49" ca="1" si="100">BQ49*(1+$B$2*$B$4+$B$3*SQRT($B$4)*_xlfn.NORM.S.INV(RAND()))</f>
        <v>206.97094170642791</v>
      </c>
      <c r="BS49">
        <f t="shared" ca="1" si="100"/>
        <v>205.85902739047819</v>
      </c>
      <c r="BT49">
        <f t="shared" ca="1" si="100"/>
        <v>205.71005264200812</v>
      </c>
      <c r="BU49">
        <f t="shared" ca="1" si="100"/>
        <v>202.96292309215161</v>
      </c>
      <c r="BV49">
        <f t="shared" ca="1" si="100"/>
        <v>205.36760358002883</v>
      </c>
      <c r="BW49">
        <f t="shared" ca="1" si="100"/>
        <v>203.86625050672086</v>
      </c>
      <c r="BX49">
        <f t="shared" ca="1" si="100"/>
        <v>204.18263884969161</v>
      </c>
      <c r="BY49">
        <f t="shared" ca="1" si="100"/>
        <v>212.213225803782</v>
      </c>
      <c r="BZ49">
        <f t="shared" ca="1" si="100"/>
        <v>203.95798053153953</v>
      </c>
      <c r="CA49">
        <f t="shared" ca="1" si="100"/>
        <v>195.04135720146863</v>
      </c>
      <c r="CB49">
        <f t="shared" ca="1" si="100"/>
        <v>192.82697357614884</v>
      </c>
      <c r="CC49">
        <f t="shared" ca="1" si="100"/>
        <v>193.64435574430601</v>
      </c>
      <c r="CD49">
        <f t="shared" ca="1" si="100"/>
        <v>190.56074059496015</v>
      </c>
      <c r="CE49">
        <f t="shared" ca="1" si="100"/>
        <v>185.07655342976139</v>
      </c>
      <c r="CF49">
        <f t="shared" ca="1" si="100"/>
        <v>190.54482790136379</v>
      </c>
      <c r="CG49">
        <f t="shared" ca="1" si="100"/>
        <v>189.73783290359509</v>
      </c>
      <c r="CH49">
        <f t="shared" ca="1" si="100"/>
        <v>193.93742651487574</v>
      </c>
      <c r="CI49">
        <f t="shared" ca="1" si="100"/>
        <v>186.936335474608</v>
      </c>
      <c r="CJ49">
        <f t="shared" ca="1" si="100"/>
        <v>191.71253169122926</v>
      </c>
      <c r="CK49">
        <f t="shared" ca="1" si="100"/>
        <v>191.78742689475692</v>
      </c>
      <c r="CL49">
        <f t="shared" ca="1" si="100"/>
        <v>196.69237274504667</v>
      </c>
      <c r="CM49">
        <f t="shared" ca="1" si="100"/>
        <v>195.1606163422702</v>
      </c>
      <c r="CN49">
        <f t="shared" ca="1" si="100"/>
        <v>198.23679168395924</v>
      </c>
      <c r="CO49">
        <f t="shared" ca="1" si="100"/>
        <v>197.29613579002651</v>
      </c>
      <c r="CP49">
        <f t="shared" ca="1" si="100"/>
        <v>202.59515213385606</v>
      </c>
      <c r="CQ49">
        <f t="shared" ca="1" si="100"/>
        <v>198.07287714067755</v>
      </c>
      <c r="CR49">
        <f t="shared" ca="1" si="100"/>
        <v>193.32913976251325</v>
      </c>
      <c r="CS49">
        <f t="shared" ca="1" si="100"/>
        <v>198.64538885065483</v>
      </c>
      <c r="CT49">
        <f t="shared" ca="1" si="100"/>
        <v>202.12310662047568</v>
      </c>
      <c r="CU49">
        <f t="shared" ca="1" si="100"/>
        <v>200.79236851590454</v>
      </c>
      <c r="CV49">
        <f t="shared" ca="1" si="70"/>
        <v>0</v>
      </c>
      <c r="CW49">
        <f t="shared" ca="1" si="7"/>
        <v>0</v>
      </c>
    </row>
    <row r="50" spans="5:101" x14ac:dyDescent="0.2">
      <c r="E50">
        <v>222.13</v>
      </c>
      <c r="F50">
        <f t="shared" ref="F50:BQ50" ca="1" si="101">E50*(1+$B$2*$B$4+$B$3*SQRT($B$4)*_xlfn.NORM.S.INV(RAND()))</f>
        <v>230.78520231681227</v>
      </c>
      <c r="G50">
        <f t="shared" ca="1" si="101"/>
        <v>230.61932272205749</v>
      </c>
      <c r="H50">
        <f t="shared" ca="1" si="101"/>
        <v>228.4304056172995</v>
      </c>
      <c r="I50">
        <f t="shared" ca="1" si="101"/>
        <v>229.41432239734564</v>
      </c>
      <c r="J50">
        <f t="shared" ca="1" si="101"/>
        <v>217.55700595537249</v>
      </c>
      <c r="K50">
        <f t="shared" ca="1" si="101"/>
        <v>225.85097159743427</v>
      </c>
      <c r="L50">
        <f t="shared" ca="1" si="101"/>
        <v>234.46340648316175</v>
      </c>
      <c r="M50">
        <f t="shared" ca="1" si="101"/>
        <v>228.07596153810147</v>
      </c>
      <c r="N50">
        <f t="shared" ca="1" si="101"/>
        <v>225.55147867636481</v>
      </c>
      <c r="O50">
        <f t="shared" ca="1" si="101"/>
        <v>217.27551017108152</v>
      </c>
      <c r="P50">
        <f t="shared" ca="1" si="101"/>
        <v>217.88953181416113</v>
      </c>
      <c r="Q50">
        <f t="shared" ca="1" si="101"/>
        <v>215.35503024009583</v>
      </c>
      <c r="R50">
        <f t="shared" ca="1" si="101"/>
        <v>206.40917719985507</v>
      </c>
      <c r="S50">
        <f t="shared" ca="1" si="101"/>
        <v>208.53941187172424</v>
      </c>
      <c r="T50">
        <f t="shared" ca="1" si="101"/>
        <v>209.99090831328056</v>
      </c>
      <c r="U50">
        <f t="shared" ca="1" si="101"/>
        <v>210.34848114873932</v>
      </c>
      <c r="V50">
        <f t="shared" ca="1" si="101"/>
        <v>210.11694851323458</v>
      </c>
      <c r="W50">
        <f t="shared" ca="1" si="101"/>
        <v>206.19580088671765</v>
      </c>
      <c r="X50">
        <f t="shared" ca="1" si="101"/>
        <v>211.80095804639134</v>
      </c>
      <c r="Y50">
        <f t="shared" ca="1" si="101"/>
        <v>208.73890490382831</v>
      </c>
      <c r="Z50">
        <f t="shared" ca="1" si="101"/>
        <v>199.08529097910042</v>
      </c>
      <c r="AA50">
        <f t="shared" ca="1" si="101"/>
        <v>196.72614353380558</v>
      </c>
      <c r="AB50">
        <f t="shared" ca="1" si="101"/>
        <v>199.77455208275788</v>
      </c>
      <c r="AC50">
        <f t="shared" ca="1" si="101"/>
        <v>194.94561222871161</v>
      </c>
      <c r="AD50">
        <f t="shared" ca="1" si="101"/>
        <v>199.6675379222755</v>
      </c>
      <c r="AE50">
        <f t="shared" ca="1" si="101"/>
        <v>200.22985541359029</v>
      </c>
      <c r="AF50">
        <f t="shared" ca="1" si="101"/>
        <v>197.92048240512898</v>
      </c>
      <c r="AG50">
        <f t="shared" ca="1" si="101"/>
        <v>194.73349208339098</v>
      </c>
      <c r="AH50">
        <f t="shared" ca="1" si="101"/>
        <v>194.25472759862475</v>
      </c>
      <c r="AI50">
        <f t="shared" ca="1" si="101"/>
        <v>191.01907393574359</v>
      </c>
      <c r="AJ50">
        <f t="shared" ca="1" si="101"/>
        <v>192.67513307648801</v>
      </c>
      <c r="AK50">
        <f t="shared" ca="1" si="101"/>
        <v>189.25207294022815</v>
      </c>
      <c r="AL50">
        <f t="shared" ca="1" si="101"/>
        <v>187.72053934456517</v>
      </c>
      <c r="AM50">
        <f t="shared" ca="1" si="101"/>
        <v>193.90872709947703</v>
      </c>
      <c r="AN50">
        <f t="shared" ca="1" si="101"/>
        <v>198.160848371886</v>
      </c>
      <c r="AO50">
        <f t="shared" ca="1" si="101"/>
        <v>203.92312729773019</v>
      </c>
      <c r="AP50">
        <f t="shared" ca="1" si="101"/>
        <v>200.14982258118437</v>
      </c>
      <c r="AQ50">
        <f t="shared" ca="1" si="101"/>
        <v>196.51655612241535</v>
      </c>
      <c r="AR50">
        <f t="shared" ca="1" si="101"/>
        <v>197.51266626687874</v>
      </c>
      <c r="AS50">
        <f t="shared" ca="1" si="101"/>
        <v>194.56321565773257</v>
      </c>
      <c r="AT50">
        <f t="shared" ca="1" si="101"/>
        <v>196.26093887474474</v>
      </c>
      <c r="AU50">
        <f t="shared" ca="1" si="101"/>
        <v>197.3108990760698</v>
      </c>
      <c r="AV50">
        <f t="shared" ca="1" si="101"/>
        <v>199.17679861868578</v>
      </c>
      <c r="AW50">
        <f t="shared" ca="1" si="101"/>
        <v>192.77393225143595</v>
      </c>
      <c r="AX50">
        <f t="shared" ca="1" si="101"/>
        <v>194.33245228143699</v>
      </c>
      <c r="AY50">
        <f t="shared" ca="1" si="101"/>
        <v>194.010326313479</v>
      </c>
      <c r="AZ50">
        <f t="shared" ca="1" si="101"/>
        <v>197.32030586489745</v>
      </c>
      <c r="BA50">
        <f t="shared" ca="1" si="101"/>
        <v>195.28265759803784</v>
      </c>
      <c r="BB50">
        <f t="shared" ca="1" si="101"/>
        <v>185.43696982825495</v>
      </c>
      <c r="BC50">
        <f t="shared" ca="1" si="101"/>
        <v>189.28547923877875</v>
      </c>
      <c r="BD50">
        <f t="shared" ca="1" si="101"/>
        <v>183.94913726508983</v>
      </c>
      <c r="BE50">
        <f t="shared" ca="1" si="101"/>
        <v>183.42483206776197</v>
      </c>
      <c r="BF50">
        <f t="shared" ca="1" si="101"/>
        <v>191.46288277319033</v>
      </c>
      <c r="BG50">
        <f t="shared" ca="1" si="101"/>
        <v>192.40660073430283</v>
      </c>
      <c r="BH50">
        <f t="shared" ca="1" si="101"/>
        <v>198.26744889008896</v>
      </c>
      <c r="BI50">
        <f t="shared" ca="1" si="101"/>
        <v>195.37092368633822</v>
      </c>
      <c r="BJ50">
        <f t="shared" ca="1" si="101"/>
        <v>196.51401320401717</v>
      </c>
      <c r="BK50">
        <f t="shared" ca="1" si="101"/>
        <v>194.72541529914517</v>
      </c>
      <c r="BL50">
        <f t="shared" ca="1" si="101"/>
        <v>197.38996345536336</v>
      </c>
      <c r="BM50">
        <f t="shared" ca="1" si="101"/>
        <v>199.44149450745221</v>
      </c>
      <c r="BN50">
        <f t="shared" ca="1" si="101"/>
        <v>201.29507674167843</v>
      </c>
      <c r="BO50">
        <f t="shared" ca="1" si="101"/>
        <v>194.96097794752376</v>
      </c>
      <c r="BP50">
        <f t="shared" ca="1" si="101"/>
        <v>194.97077196309368</v>
      </c>
      <c r="BQ50">
        <f t="shared" ca="1" si="101"/>
        <v>196.62086439440608</v>
      </c>
      <c r="BR50">
        <f t="shared" ref="BR50:CU50" ca="1" si="102">BQ50*(1+$B$2*$B$4+$B$3*SQRT($B$4)*_xlfn.NORM.S.INV(RAND()))</f>
        <v>197.0146870386867</v>
      </c>
      <c r="BS50">
        <f t="shared" ca="1" si="102"/>
        <v>198.11339729666031</v>
      </c>
      <c r="BT50">
        <f t="shared" ca="1" si="102"/>
        <v>196.21756673732025</v>
      </c>
      <c r="BU50">
        <f t="shared" ca="1" si="102"/>
        <v>192.84540265635098</v>
      </c>
      <c r="BV50">
        <f t="shared" ca="1" si="102"/>
        <v>197.2924385223786</v>
      </c>
      <c r="BW50">
        <f t="shared" ca="1" si="102"/>
        <v>191.54964342604424</v>
      </c>
      <c r="BX50">
        <f t="shared" ca="1" si="102"/>
        <v>187.58576337636634</v>
      </c>
      <c r="BY50">
        <f t="shared" ca="1" si="102"/>
        <v>180.747451500197</v>
      </c>
      <c r="BZ50">
        <f t="shared" ca="1" si="102"/>
        <v>179.40740411730792</v>
      </c>
      <c r="CA50">
        <f t="shared" ca="1" si="102"/>
        <v>182.451753047907</v>
      </c>
      <c r="CB50">
        <f t="shared" ca="1" si="102"/>
        <v>182.12636416708744</v>
      </c>
      <c r="CC50">
        <f t="shared" ca="1" si="102"/>
        <v>180.2791249114604</v>
      </c>
      <c r="CD50">
        <f t="shared" ca="1" si="102"/>
        <v>180.04486585665001</v>
      </c>
      <c r="CE50">
        <f t="shared" ca="1" si="102"/>
        <v>184.37423186740915</v>
      </c>
      <c r="CF50">
        <f t="shared" ca="1" si="102"/>
        <v>180.04679706402001</v>
      </c>
      <c r="CG50">
        <f t="shared" ca="1" si="102"/>
        <v>181.99646671049769</v>
      </c>
      <c r="CH50">
        <f t="shared" ca="1" si="102"/>
        <v>182.42057845950021</v>
      </c>
      <c r="CI50">
        <f t="shared" ca="1" si="102"/>
        <v>175.3533837165912</v>
      </c>
      <c r="CJ50">
        <f t="shared" ca="1" si="102"/>
        <v>173.0244464603262</v>
      </c>
      <c r="CK50">
        <f t="shared" ca="1" si="102"/>
        <v>173.05520245073689</v>
      </c>
      <c r="CL50">
        <f t="shared" ca="1" si="102"/>
        <v>171.92307034500107</v>
      </c>
      <c r="CM50">
        <f t="shared" ca="1" si="102"/>
        <v>173.43166983468899</v>
      </c>
      <c r="CN50">
        <f t="shared" ca="1" si="102"/>
        <v>178.26188569007749</v>
      </c>
      <c r="CO50">
        <f t="shared" ca="1" si="102"/>
        <v>181.45786937369729</v>
      </c>
      <c r="CP50">
        <f t="shared" ca="1" si="102"/>
        <v>182.70205689769094</v>
      </c>
      <c r="CQ50">
        <f t="shared" ca="1" si="102"/>
        <v>186.66713997293118</v>
      </c>
      <c r="CR50">
        <f t="shared" ca="1" si="102"/>
        <v>195.86703193148838</v>
      </c>
      <c r="CS50">
        <f t="shared" ca="1" si="102"/>
        <v>195.88186884676048</v>
      </c>
      <c r="CT50">
        <f t="shared" ca="1" si="102"/>
        <v>185.71117618404776</v>
      </c>
      <c r="CU50">
        <f t="shared" ca="1" si="102"/>
        <v>191.08332093345507</v>
      </c>
      <c r="CV50">
        <f t="shared" ca="1" si="70"/>
        <v>0</v>
      </c>
      <c r="CW50">
        <f t="shared" ca="1" si="7"/>
        <v>0</v>
      </c>
    </row>
    <row r="51" spans="5:101" x14ac:dyDescent="0.2">
      <c r="E51">
        <v>222.13</v>
      </c>
      <c r="F51">
        <f t="shared" ref="F51:BQ51" ca="1" si="103">E51*(1+$B$2*$B$4+$B$3*SQRT($B$4)*_xlfn.NORM.S.INV(RAND()))</f>
        <v>225.33514848053301</v>
      </c>
      <c r="G51">
        <f t="shared" ca="1" si="103"/>
        <v>232.13084936509637</v>
      </c>
      <c r="H51">
        <f t="shared" ca="1" si="103"/>
        <v>235.22286010701089</v>
      </c>
      <c r="I51">
        <f t="shared" ca="1" si="103"/>
        <v>235.15765796825497</v>
      </c>
      <c r="J51">
        <f t="shared" ca="1" si="103"/>
        <v>232.11836835345005</v>
      </c>
      <c r="K51">
        <f t="shared" ca="1" si="103"/>
        <v>227.04649112513263</v>
      </c>
      <c r="L51">
        <f t="shared" ca="1" si="103"/>
        <v>220.05300001523088</v>
      </c>
      <c r="M51">
        <f t="shared" ca="1" si="103"/>
        <v>221.4639578916082</v>
      </c>
      <c r="N51">
        <f t="shared" ca="1" si="103"/>
        <v>228.63250468052934</v>
      </c>
      <c r="O51">
        <f t="shared" ca="1" si="103"/>
        <v>224.04409763522986</v>
      </c>
      <c r="P51">
        <f t="shared" ca="1" si="103"/>
        <v>217.61848503511914</v>
      </c>
      <c r="Q51">
        <f t="shared" ca="1" si="103"/>
        <v>223.00446681296569</v>
      </c>
      <c r="R51">
        <f t="shared" ca="1" si="103"/>
        <v>222.31227076698738</v>
      </c>
      <c r="S51">
        <f t="shared" ca="1" si="103"/>
        <v>218.54771488694047</v>
      </c>
      <c r="T51">
        <f t="shared" ca="1" si="103"/>
        <v>220.55045664063309</v>
      </c>
      <c r="U51">
        <f t="shared" ca="1" si="103"/>
        <v>217.7157472975214</v>
      </c>
      <c r="V51">
        <f t="shared" ca="1" si="103"/>
        <v>214.96613156774555</v>
      </c>
      <c r="W51">
        <f t="shared" ca="1" si="103"/>
        <v>225.52332750401558</v>
      </c>
      <c r="X51">
        <f t="shared" ca="1" si="103"/>
        <v>231.8011983844691</v>
      </c>
      <c r="Y51">
        <f t="shared" ca="1" si="103"/>
        <v>233.44196703540706</v>
      </c>
      <c r="Z51">
        <f t="shared" ca="1" si="103"/>
        <v>229.79422745354435</v>
      </c>
      <c r="AA51">
        <f t="shared" ca="1" si="103"/>
        <v>229.18046478392006</v>
      </c>
      <c r="AB51">
        <f t="shared" ca="1" si="103"/>
        <v>217.84195659736784</v>
      </c>
      <c r="AC51">
        <f t="shared" ca="1" si="103"/>
        <v>210.39932095840669</v>
      </c>
      <c r="AD51">
        <f t="shared" ca="1" si="103"/>
        <v>205.76636233364377</v>
      </c>
      <c r="AE51">
        <f t="shared" ca="1" si="103"/>
        <v>199.18373837786254</v>
      </c>
      <c r="AF51">
        <f t="shared" ca="1" si="103"/>
        <v>197.93708802152699</v>
      </c>
      <c r="AG51">
        <f t="shared" ca="1" si="103"/>
        <v>203.19648671824854</v>
      </c>
      <c r="AH51">
        <f t="shared" ca="1" si="103"/>
        <v>193.87168758835165</v>
      </c>
      <c r="AI51">
        <f t="shared" ca="1" si="103"/>
        <v>191.68304566864686</v>
      </c>
      <c r="AJ51">
        <f t="shared" ca="1" si="103"/>
        <v>187.88121507755719</v>
      </c>
      <c r="AK51">
        <f t="shared" ca="1" si="103"/>
        <v>195.11579658805019</v>
      </c>
      <c r="AL51">
        <f t="shared" ca="1" si="103"/>
        <v>199.12124717606045</v>
      </c>
      <c r="AM51">
        <f t="shared" ca="1" si="103"/>
        <v>201.18185703538393</v>
      </c>
      <c r="AN51">
        <f t="shared" ca="1" si="103"/>
        <v>203.19292183643634</v>
      </c>
      <c r="AO51">
        <f t="shared" ca="1" si="103"/>
        <v>200.96500727095909</v>
      </c>
      <c r="AP51">
        <f t="shared" ca="1" si="103"/>
        <v>198.20502024417675</v>
      </c>
      <c r="AQ51">
        <f t="shared" ca="1" si="103"/>
        <v>200.02388752848162</v>
      </c>
      <c r="AR51">
        <f t="shared" ca="1" si="103"/>
        <v>196.75825273107077</v>
      </c>
      <c r="AS51">
        <f t="shared" ca="1" si="103"/>
        <v>203.2983642909816</v>
      </c>
      <c r="AT51">
        <f t="shared" ca="1" si="103"/>
        <v>199.80460798472748</v>
      </c>
      <c r="AU51">
        <f t="shared" ca="1" si="103"/>
        <v>204.54693601836468</v>
      </c>
      <c r="AV51">
        <f t="shared" ca="1" si="103"/>
        <v>200.79959627576045</v>
      </c>
      <c r="AW51">
        <f t="shared" ca="1" si="103"/>
        <v>198.55675021873029</v>
      </c>
      <c r="AX51">
        <f t="shared" ca="1" si="103"/>
        <v>206.52458642519608</v>
      </c>
      <c r="AY51">
        <f t="shared" ca="1" si="103"/>
        <v>198.38487925497418</v>
      </c>
      <c r="AZ51">
        <f t="shared" ca="1" si="103"/>
        <v>208.28002543644195</v>
      </c>
      <c r="BA51">
        <f t="shared" ca="1" si="103"/>
        <v>203.83047088877191</v>
      </c>
      <c r="BB51">
        <f t="shared" ca="1" si="103"/>
        <v>204.26437812889571</v>
      </c>
      <c r="BC51">
        <f t="shared" ca="1" si="103"/>
        <v>211.4337010708397</v>
      </c>
      <c r="BD51">
        <f t="shared" ca="1" si="103"/>
        <v>202.77217108764256</v>
      </c>
      <c r="BE51">
        <f t="shared" ca="1" si="103"/>
        <v>199.92841247271369</v>
      </c>
      <c r="BF51">
        <f t="shared" ca="1" si="103"/>
        <v>196.38349680266913</v>
      </c>
      <c r="BG51">
        <f t="shared" ca="1" si="103"/>
        <v>193.98759353136435</v>
      </c>
      <c r="BH51">
        <f t="shared" ca="1" si="103"/>
        <v>188.26138103096747</v>
      </c>
      <c r="BI51">
        <f t="shared" ca="1" si="103"/>
        <v>182.29554384419956</v>
      </c>
      <c r="BJ51">
        <f t="shared" ca="1" si="103"/>
        <v>185.13573391797323</v>
      </c>
      <c r="BK51">
        <f t="shared" ca="1" si="103"/>
        <v>182.41571878806198</v>
      </c>
      <c r="BL51">
        <f t="shared" ca="1" si="103"/>
        <v>183.08712486649361</v>
      </c>
      <c r="BM51">
        <f t="shared" ca="1" si="103"/>
        <v>182.33734135091217</v>
      </c>
      <c r="BN51">
        <f t="shared" ca="1" si="103"/>
        <v>182.53734501802157</v>
      </c>
      <c r="BO51">
        <f t="shared" ca="1" si="103"/>
        <v>177.50297774246039</v>
      </c>
      <c r="BP51">
        <f t="shared" ca="1" si="103"/>
        <v>173.92242153778562</v>
      </c>
      <c r="BQ51">
        <f t="shared" ca="1" si="103"/>
        <v>173.79500491632001</v>
      </c>
      <c r="BR51">
        <f t="shared" ref="BR51:CU51" ca="1" si="104">BQ51*(1+$B$2*$B$4+$B$3*SQRT($B$4)*_xlfn.NORM.S.INV(RAND()))</f>
        <v>176.00268763988592</v>
      </c>
      <c r="BS51">
        <f t="shared" ca="1" si="104"/>
        <v>169.27820141330602</v>
      </c>
      <c r="BT51">
        <f t="shared" ca="1" si="104"/>
        <v>172.70774590636998</v>
      </c>
      <c r="BU51">
        <f t="shared" ca="1" si="104"/>
        <v>174.42193308934145</v>
      </c>
      <c r="BV51">
        <f t="shared" ca="1" si="104"/>
        <v>178.29523812219426</v>
      </c>
      <c r="BW51">
        <f t="shared" ca="1" si="104"/>
        <v>184.62173292224051</v>
      </c>
      <c r="BX51">
        <f t="shared" ca="1" si="104"/>
        <v>181.18714686347712</v>
      </c>
      <c r="BY51">
        <f t="shared" ca="1" si="104"/>
        <v>178.22800907866909</v>
      </c>
      <c r="BZ51">
        <f t="shared" ca="1" si="104"/>
        <v>176.7537600564855</v>
      </c>
      <c r="CA51">
        <f t="shared" ca="1" si="104"/>
        <v>178.5286420781969</v>
      </c>
      <c r="CB51">
        <f t="shared" ca="1" si="104"/>
        <v>177.28330141521994</v>
      </c>
      <c r="CC51">
        <f t="shared" ca="1" si="104"/>
        <v>175.15074589895622</v>
      </c>
      <c r="CD51">
        <f t="shared" ca="1" si="104"/>
        <v>175.82046713018963</v>
      </c>
      <c r="CE51">
        <f t="shared" ca="1" si="104"/>
        <v>176.8836932571455</v>
      </c>
      <c r="CF51">
        <f t="shared" ca="1" si="104"/>
        <v>170.7191777273479</v>
      </c>
      <c r="CG51">
        <f t="shared" ca="1" si="104"/>
        <v>172.19291516808735</v>
      </c>
      <c r="CH51">
        <f t="shared" ca="1" si="104"/>
        <v>171.16983313494404</v>
      </c>
      <c r="CI51">
        <f t="shared" ca="1" si="104"/>
        <v>163.53392601877547</v>
      </c>
      <c r="CJ51">
        <f t="shared" ca="1" si="104"/>
        <v>165.06247818847015</v>
      </c>
      <c r="CK51">
        <f t="shared" ca="1" si="104"/>
        <v>168.9545026837171</v>
      </c>
      <c r="CL51">
        <f t="shared" ca="1" si="104"/>
        <v>166.51191893662499</v>
      </c>
      <c r="CM51">
        <f t="shared" ca="1" si="104"/>
        <v>167.74620269029299</v>
      </c>
      <c r="CN51">
        <f t="shared" ca="1" si="104"/>
        <v>160.64726635178741</v>
      </c>
      <c r="CO51">
        <f t="shared" ca="1" si="104"/>
        <v>157.17654344208725</v>
      </c>
      <c r="CP51">
        <f t="shared" ca="1" si="104"/>
        <v>158.48001962020439</v>
      </c>
      <c r="CQ51">
        <f t="shared" ca="1" si="104"/>
        <v>157.95975851128958</v>
      </c>
      <c r="CR51">
        <f t="shared" ca="1" si="104"/>
        <v>163.59913870148705</v>
      </c>
      <c r="CS51">
        <f t="shared" ca="1" si="104"/>
        <v>163.24406068929449</v>
      </c>
      <c r="CT51">
        <f t="shared" ca="1" si="104"/>
        <v>166.66167754640901</v>
      </c>
      <c r="CU51">
        <f t="shared" ca="1" si="104"/>
        <v>165.25394819802548</v>
      </c>
      <c r="CV51">
        <f t="shared" ca="1" si="70"/>
        <v>0</v>
      </c>
      <c r="CW51">
        <f t="shared" ca="1" si="7"/>
        <v>0</v>
      </c>
    </row>
    <row r="52" spans="5:101" x14ac:dyDescent="0.2">
      <c r="E52">
        <v>222.13</v>
      </c>
      <c r="F52">
        <f t="shared" ref="F52:BQ52" ca="1" si="105">E52*(1+$B$2*$B$4+$B$3*SQRT($B$4)*_xlfn.NORM.S.INV(RAND()))</f>
        <v>222.09375289441329</v>
      </c>
      <c r="G52">
        <f t="shared" ca="1" si="105"/>
        <v>225.63862055044672</v>
      </c>
      <c r="H52">
        <f t="shared" ca="1" si="105"/>
        <v>217.18002555552897</v>
      </c>
      <c r="I52">
        <f t="shared" ca="1" si="105"/>
        <v>215.94392328929024</v>
      </c>
      <c r="J52">
        <f t="shared" ca="1" si="105"/>
        <v>212.79012948954119</v>
      </c>
      <c r="K52">
        <f t="shared" ca="1" si="105"/>
        <v>210.17122100871615</v>
      </c>
      <c r="L52">
        <f t="shared" ca="1" si="105"/>
        <v>200.44477606648502</v>
      </c>
      <c r="M52">
        <f t="shared" ca="1" si="105"/>
        <v>207.28138132674667</v>
      </c>
      <c r="N52">
        <f t="shared" ca="1" si="105"/>
        <v>202.68809333677845</v>
      </c>
      <c r="O52">
        <f t="shared" ca="1" si="105"/>
        <v>196.86556716718178</v>
      </c>
      <c r="P52">
        <f t="shared" ca="1" si="105"/>
        <v>194.87428662602909</v>
      </c>
      <c r="Q52">
        <f t="shared" ca="1" si="105"/>
        <v>187.13642219799985</v>
      </c>
      <c r="R52">
        <f t="shared" ca="1" si="105"/>
        <v>182.5807732329375</v>
      </c>
      <c r="S52">
        <f t="shared" ca="1" si="105"/>
        <v>174.28091001340894</v>
      </c>
      <c r="T52">
        <f t="shared" ca="1" si="105"/>
        <v>175.86305579485119</v>
      </c>
      <c r="U52">
        <f t="shared" ca="1" si="105"/>
        <v>177.09422299260078</v>
      </c>
      <c r="V52">
        <f t="shared" ca="1" si="105"/>
        <v>178.14736204720336</v>
      </c>
      <c r="W52">
        <f t="shared" ca="1" si="105"/>
        <v>176.65496073872276</v>
      </c>
      <c r="X52">
        <f t="shared" ca="1" si="105"/>
        <v>176.40479232192794</v>
      </c>
      <c r="Y52">
        <f t="shared" ca="1" si="105"/>
        <v>178.98628345620136</v>
      </c>
      <c r="Z52">
        <f t="shared" ca="1" si="105"/>
        <v>177.55158171639417</v>
      </c>
      <c r="AA52">
        <f t="shared" ca="1" si="105"/>
        <v>170.41221609053812</v>
      </c>
      <c r="AB52">
        <f t="shared" ca="1" si="105"/>
        <v>176.13128810918258</v>
      </c>
      <c r="AC52">
        <f t="shared" ca="1" si="105"/>
        <v>171.98340041213532</v>
      </c>
      <c r="AD52">
        <f t="shared" ca="1" si="105"/>
        <v>160.43232099410989</v>
      </c>
      <c r="AE52">
        <f t="shared" ca="1" si="105"/>
        <v>163.59746673801882</v>
      </c>
      <c r="AF52">
        <f t="shared" ca="1" si="105"/>
        <v>166.10539190348487</v>
      </c>
      <c r="AG52">
        <f t="shared" ca="1" si="105"/>
        <v>166.42409450960059</v>
      </c>
      <c r="AH52">
        <f t="shared" ca="1" si="105"/>
        <v>169.94063937249018</v>
      </c>
      <c r="AI52">
        <f t="shared" ca="1" si="105"/>
        <v>170.05855878690238</v>
      </c>
      <c r="AJ52">
        <f t="shared" ca="1" si="105"/>
        <v>171.60532333178844</v>
      </c>
      <c r="AK52">
        <f t="shared" ca="1" si="105"/>
        <v>167.83286196016635</v>
      </c>
      <c r="AL52">
        <f t="shared" ca="1" si="105"/>
        <v>163.55578222050369</v>
      </c>
      <c r="AM52">
        <f t="shared" ca="1" si="105"/>
        <v>159.64294222361329</v>
      </c>
      <c r="AN52">
        <f t="shared" ca="1" si="105"/>
        <v>159.65043898725793</v>
      </c>
      <c r="AO52">
        <f t="shared" ca="1" si="105"/>
        <v>167.58145972051639</v>
      </c>
      <c r="AP52">
        <f t="shared" ca="1" si="105"/>
        <v>173.17500628397786</v>
      </c>
      <c r="AQ52">
        <f t="shared" ca="1" si="105"/>
        <v>175.6290555229306</v>
      </c>
      <c r="AR52">
        <f t="shared" ca="1" si="105"/>
        <v>171.64455450149532</v>
      </c>
      <c r="AS52">
        <f t="shared" ca="1" si="105"/>
        <v>169.36542853419004</v>
      </c>
      <c r="AT52">
        <f t="shared" ca="1" si="105"/>
        <v>166.38283759711044</v>
      </c>
      <c r="AU52">
        <f t="shared" ca="1" si="105"/>
        <v>172.16320395816908</v>
      </c>
      <c r="AV52">
        <f t="shared" ca="1" si="105"/>
        <v>167.45729992807588</v>
      </c>
      <c r="AW52">
        <f t="shared" ca="1" si="105"/>
        <v>174.73864290707573</v>
      </c>
      <c r="AX52">
        <f t="shared" ca="1" si="105"/>
        <v>175.13870016743655</v>
      </c>
      <c r="AY52">
        <f t="shared" ca="1" si="105"/>
        <v>168.42174075621952</v>
      </c>
      <c r="AZ52">
        <f t="shared" ca="1" si="105"/>
        <v>164.81503420978282</v>
      </c>
      <c r="BA52">
        <f t="shared" ca="1" si="105"/>
        <v>161.70444199912703</v>
      </c>
      <c r="BB52">
        <f t="shared" ca="1" si="105"/>
        <v>162.2705577597047</v>
      </c>
      <c r="BC52">
        <f t="shared" ca="1" si="105"/>
        <v>165.71798688661357</v>
      </c>
      <c r="BD52">
        <f t="shared" ca="1" si="105"/>
        <v>168.93614227041371</v>
      </c>
      <c r="BE52">
        <f t="shared" ca="1" si="105"/>
        <v>173.35091195816852</v>
      </c>
      <c r="BF52">
        <f t="shared" ca="1" si="105"/>
        <v>175.84139563897705</v>
      </c>
      <c r="BG52">
        <f t="shared" ca="1" si="105"/>
        <v>171.04422573840935</v>
      </c>
      <c r="BH52">
        <f t="shared" ca="1" si="105"/>
        <v>175.51362471966542</v>
      </c>
      <c r="BI52">
        <f t="shared" ca="1" si="105"/>
        <v>173.55188626912621</v>
      </c>
      <c r="BJ52">
        <f t="shared" ca="1" si="105"/>
        <v>171.66705395170302</v>
      </c>
      <c r="BK52">
        <f t="shared" ca="1" si="105"/>
        <v>173.64503633920972</v>
      </c>
      <c r="BL52">
        <f t="shared" ca="1" si="105"/>
        <v>170.90692593013901</v>
      </c>
      <c r="BM52">
        <f t="shared" ca="1" si="105"/>
        <v>174.37496341637993</v>
      </c>
      <c r="BN52">
        <f t="shared" ca="1" si="105"/>
        <v>168.97113802007283</v>
      </c>
      <c r="BO52">
        <f t="shared" ca="1" si="105"/>
        <v>175.70718439427534</v>
      </c>
      <c r="BP52">
        <f t="shared" ca="1" si="105"/>
        <v>171.61028157010213</v>
      </c>
      <c r="BQ52">
        <f t="shared" ca="1" si="105"/>
        <v>177.50945423178257</v>
      </c>
      <c r="BR52">
        <f t="shared" ref="BR52:CU52" ca="1" si="106">BQ52*(1+$B$2*$B$4+$B$3*SQRT($B$4)*_xlfn.NORM.S.INV(RAND()))</f>
        <v>173.91667216856584</v>
      </c>
      <c r="BS52">
        <f t="shared" ca="1" si="106"/>
        <v>175.44469397118095</v>
      </c>
      <c r="BT52">
        <f t="shared" ca="1" si="106"/>
        <v>173.57534712074937</v>
      </c>
      <c r="BU52">
        <f t="shared" ca="1" si="106"/>
        <v>176.1777902999489</v>
      </c>
      <c r="BV52">
        <f t="shared" ca="1" si="106"/>
        <v>175.90488970476292</v>
      </c>
      <c r="BW52">
        <f t="shared" ca="1" si="106"/>
        <v>176.11735759245539</v>
      </c>
      <c r="BX52">
        <f t="shared" ca="1" si="106"/>
        <v>175.94449365065898</v>
      </c>
      <c r="BY52">
        <f t="shared" ca="1" si="106"/>
        <v>180.23492656970305</v>
      </c>
      <c r="BZ52">
        <f t="shared" ca="1" si="106"/>
        <v>182.62902698659929</v>
      </c>
      <c r="CA52">
        <f t="shared" ca="1" si="106"/>
        <v>174.3869272222704</v>
      </c>
      <c r="CB52">
        <f t="shared" ca="1" si="106"/>
        <v>177.44968488081025</v>
      </c>
      <c r="CC52">
        <f t="shared" ca="1" si="106"/>
        <v>180.75124818168825</v>
      </c>
      <c r="CD52">
        <f t="shared" ca="1" si="106"/>
        <v>189.4256003136997</v>
      </c>
      <c r="CE52">
        <f t="shared" ca="1" si="106"/>
        <v>191.80341016262742</v>
      </c>
      <c r="CF52">
        <f t="shared" ca="1" si="106"/>
        <v>194.44108171260956</v>
      </c>
      <c r="CG52">
        <f t="shared" ca="1" si="106"/>
        <v>196.0388845337306</v>
      </c>
      <c r="CH52">
        <f t="shared" ca="1" si="106"/>
        <v>187.25197090032526</v>
      </c>
      <c r="CI52">
        <f t="shared" ca="1" si="106"/>
        <v>183.91131346245669</v>
      </c>
      <c r="CJ52">
        <f t="shared" ca="1" si="106"/>
        <v>182.33686476556463</v>
      </c>
      <c r="CK52">
        <f t="shared" ca="1" si="106"/>
        <v>181.80394378887337</v>
      </c>
      <c r="CL52">
        <f t="shared" ca="1" si="106"/>
        <v>186.05269755503639</v>
      </c>
      <c r="CM52">
        <f t="shared" ca="1" si="106"/>
        <v>187.26579847822481</v>
      </c>
      <c r="CN52">
        <f t="shared" ca="1" si="106"/>
        <v>183.57764898381822</v>
      </c>
      <c r="CO52">
        <f t="shared" ca="1" si="106"/>
        <v>186.76336354529209</v>
      </c>
      <c r="CP52">
        <f t="shared" ca="1" si="106"/>
        <v>183.13532934993722</v>
      </c>
      <c r="CQ52">
        <f t="shared" ca="1" si="106"/>
        <v>179.68206640617214</v>
      </c>
      <c r="CR52">
        <f t="shared" ca="1" si="106"/>
        <v>182.05218150943449</v>
      </c>
      <c r="CS52">
        <f t="shared" ca="1" si="106"/>
        <v>177.02514281431598</v>
      </c>
      <c r="CT52">
        <f t="shared" ca="1" si="106"/>
        <v>173.10996920672207</v>
      </c>
      <c r="CU52">
        <f t="shared" ca="1" si="106"/>
        <v>173.53899083416874</v>
      </c>
      <c r="CV52">
        <f t="shared" ca="1" si="70"/>
        <v>0</v>
      </c>
      <c r="CW52">
        <f t="shared" ca="1" si="7"/>
        <v>0</v>
      </c>
    </row>
    <row r="53" spans="5:101" x14ac:dyDescent="0.2">
      <c r="E53">
        <v>222.13</v>
      </c>
      <c r="F53">
        <f t="shared" ref="F53:BQ53" ca="1" si="107">E53*(1+$B$2*$B$4+$B$3*SQRT($B$4)*_xlfn.NORM.S.INV(RAND()))</f>
        <v>213.52031052838331</v>
      </c>
      <c r="G53">
        <f t="shared" ca="1" si="107"/>
        <v>208.84932719309148</v>
      </c>
      <c r="H53">
        <f t="shared" ca="1" si="107"/>
        <v>208.96719549088758</v>
      </c>
      <c r="I53">
        <f t="shared" ca="1" si="107"/>
        <v>200.90014502319994</v>
      </c>
      <c r="J53">
        <f t="shared" ca="1" si="107"/>
        <v>199.96313999059063</v>
      </c>
      <c r="K53">
        <f t="shared" ca="1" si="107"/>
        <v>202.38782092697983</v>
      </c>
      <c r="L53">
        <f t="shared" ca="1" si="107"/>
        <v>199.52739443862163</v>
      </c>
      <c r="M53">
        <f t="shared" ca="1" si="107"/>
        <v>209.47237045624348</v>
      </c>
      <c r="N53">
        <f t="shared" ca="1" si="107"/>
        <v>226.78001943552593</v>
      </c>
      <c r="O53">
        <f t="shared" ca="1" si="107"/>
        <v>220.43919872299304</v>
      </c>
      <c r="P53">
        <f t="shared" ca="1" si="107"/>
        <v>217.16199425233629</v>
      </c>
      <c r="Q53">
        <f t="shared" ca="1" si="107"/>
        <v>213.66904965238393</v>
      </c>
      <c r="R53">
        <f t="shared" ca="1" si="107"/>
        <v>207.79047002533301</v>
      </c>
      <c r="S53">
        <f t="shared" ca="1" si="107"/>
        <v>204.69516869936803</v>
      </c>
      <c r="T53">
        <f t="shared" ca="1" si="107"/>
        <v>201.2348763329552</v>
      </c>
      <c r="U53">
        <f t="shared" ca="1" si="107"/>
        <v>195.22439084041622</v>
      </c>
      <c r="V53">
        <f t="shared" ca="1" si="107"/>
        <v>194.7574580062936</v>
      </c>
      <c r="W53">
        <f t="shared" ca="1" si="107"/>
        <v>196.93389681816475</v>
      </c>
      <c r="X53">
        <f t="shared" ca="1" si="107"/>
        <v>202.95424900851543</v>
      </c>
      <c r="Y53">
        <f t="shared" ca="1" si="107"/>
        <v>204.37537642601546</v>
      </c>
      <c r="Z53">
        <f t="shared" ca="1" si="107"/>
        <v>204.05678354142111</v>
      </c>
      <c r="AA53">
        <f t="shared" ca="1" si="107"/>
        <v>202.20737524887792</v>
      </c>
      <c r="AB53">
        <f t="shared" ca="1" si="107"/>
        <v>208.86792021362086</v>
      </c>
      <c r="AC53">
        <f t="shared" ca="1" si="107"/>
        <v>218.90191617647034</v>
      </c>
      <c r="AD53">
        <f t="shared" ca="1" si="107"/>
        <v>212.03109371800397</v>
      </c>
      <c r="AE53">
        <f t="shared" ca="1" si="107"/>
        <v>211.84648247305066</v>
      </c>
      <c r="AF53">
        <f t="shared" ca="1" si="107"/>
        <v>215.92269647239831</v>
      </c>
      <c r="AG53">
        <f t="shared" ca="1" si="107"/>
        <v>213.85972546821225</v>
      </c>
      <c r="AH53">
        <f t="shared" ca="1" si="107"/>
        <v>216.07590924743778</v>
      </c>
      <c r="AI53">
        <f t="shared" ca="1" si="107"/>
        <v>219.44487517770884</v>
      </c>
      <c r="AJ53">
        <f t="shared" ca="1" si="107"/>
        <v>222.39749178028967</v>
      </c>
      <c r="AK53">
        <f t="shared" ca="1" si="107"/>
        <v>220.19385343023214</v>
      </c>
      <c r="AL53">
        <f t="shared" ca="1" si="107"/>
        <v>229.88944824871649</v>
      </c>
      <c r="AM53">
        <f t="shared" ca="1" si="107"/>
        <v>228.24102530811916</v>
      </c>
      <c r="AN53">
        <f t="shared" ca="1" si="107"/>
        <v>226.40461601258102</v>
      </c>
      <c r="AO53">
        <f t="shared" ca="1" si="107"/>
        <v>218.86131957903061</v>
      </c>
      <c r="AP53">
        <f t="shared" ca="1" si="107"/>
        <v>211.50427798308019</v>
      </c>
      <c r="AQ53">
        <f t="shared" ca="1" si="107"/>
        <v>218.18191116527154</v>
      </c>
      <c r="AR53">
        <f t="shared" ca="1" si="107"/>
        <v>226.20426121651565</v>
      </c>
      <c r="AS53">
        <f t="shared" ca="1" si="107"/>
        <v>222.09037858797547</v>
      </c>
      <c r="AT53">
        <f t="shared" ca="1" si="107"/>
        <v>225.5748827256742</v>
      </c>
      <c r="AU53">
        <f t="shared" ca="1" si="107"/>
        <v>224.46906889600498</v>
      </c>
      <c r="AV53">
        <f t="shared" ca="1" si="107"/>
        <v>227.67082663767013</v>
      </c>
      <c r="AW53">
        <f t="shared" ca="1" si="107"/>
        <v>235.71080447664872</v>
      </c>
      <c r="AX53">
        <f t="shared" ca="1" si="107"/>
        <v>231.65569771732763</v>
      </c>
      <c r="AY53">
        <f t="shared" ca="1" si="107"/>
        <v>238.06616707108591</v>
      </c>
      <c r="AZ53">
        <f t="shared" ca="1" si="107"/>
        <v>237.9498831947808</v>
      </c>
      <c r="BA53">
        <f t="shared" ca="1" si="107"/>
        <v>235.88479583782819</v>
      </c>
      <c r="BB53">
        <f t="shared" ca="1" si="107"/>
        <v>240.70391175958289</v>
      </c>
      <c r="BC53">
        <f t="shared" ca="1" si="107"/>
        <v>241.82643216248786</v>
      </c>
      <c r="BD53">
        <f t="shared" ca="1" si="107"/>
        <v>243.38389927442503</v>
      </c>
      <c r="BE53">
        <f t="shared" ca="1" si="107"/>
        <v>242.69839654498696</v>
      </c>
      <c r="BF53">
        <f t="shared" ca="1" si="107"/>
        <v>240.84164262640053</v>
      </c>
      <c r="BG53">
        <f t="shared" ca="1" si="107"/>
        <v>242.44687058605814</v>
      </c>
      <c r="BH53">
        <f t="shared" ca="1" si="107"/>
        <v>239.65908585924853</v>
      </c>
      <c r="BI53">
        <f t="shared" ca="1" si="107"/>
        <v>234.5412388961584</v>
      </c>
      <c r="BJ53">
        <f t="shared" ca="1" si="107"/>
        <v>234.37868917877452</v>
      </c>
      <c r="BK53">
        <f t="shared" ca="1" si="107"/>
        <v>236.38834206714805</v>
      </c>
      <c r="BL53">
        <f t="shared" ca="1" si="107"/>
        <v>237.75412418864695</v>
      </c>
      <c r="BM53">
        <f t="shared" ca="1" si="107"/>
        <v>237.4570020191982</v>
      </c>
      <c r="BN53">
        <f t="shared" ca="1" si="107"/>
        <v>248.92496684118791</v>
      </c>
      <c r="BO53">
        <f t="shared" ca="1" si="107"/>
        <v>253.1331060672394</v>
      </c>
      <c r="BP53">
        <f t="shared" ca="1" si="107"/>
        <v>252.04755947923741</v>
      </c>
      <c r="BQ53">
        <f t="shared" ca="1" si="107"/>
        <v>261.16483122890298</v>
      </c>
      <c r="BR53">
        <f t="shared" ref="BR53:CU53" ca="1" si="108">BQ53*(1+$B$2*$B$4+$B$3*SQRT($B$4)*_xlfn.NORM.S.INV(RAND()))</f>
        <v>259.27136660906655</v>
      </c>
      <c r="BS53">
        <f t="shared" ca="1" si="108"/>
        <v>259.25379969274678</v>
      </c>
      <c r="BT53">
        <f t="shared" ca="1" si="108"/>
        <v>262.54884918713725</v>
      </c>
      <c r="BU53">
        <f t="shared" ca="1" si="108"/>
        <v>265.35131101937759</v>
      </c>
      <c r="BV53">
        <f t="shared" ca="1" si="108"/>
        <v>275.64021757511284</v>
      </c>
      <c r="BW53">
        <f t="shared" ca="1" si="108"/>
        <v>274.75129315949386</v>
      </c>
      <c r="BX53">
        <f t="shared" ca="1" si="108"/>
        <v>280.97599144673376</v>
      </c>
      <c r="BY53">
        <f t="shared" ca="1" si="108"/>
        <v>282.10878223207902</v>
      </c>
      <c r="BZ53">
        <f t="shared" ca="1" si="108"/>
        <v>288.06034518396865</v>
      </c>
      <c r="CA53">
        <f t="shared" ca="1" si="108"/>
        <v>281.36667690265932</v>
      </c>
      <c r="CB53">
        <f t="shared" ca="1" si="108"/>
        <v>284.19365732339048</v>
      </c>
      <c r="CC53">
        <f t="shared" ca="1" si="108"/>
        <v>274.52541905497628</v>
      </c>
      <c r="CD53">
        <f t="shared" ca="1" si="108"/>
        <v>280.3928533967723</v>
      </c>
      <c r="CE53">
        <f t="shared" ca="1" si="108"/>
        <v>276.15287088828489</v>
      </c>
      <c r="CF53">
        <f t="shared" ca="1" si="108"/>
        <v>281.6879964734199</v>
      </c>
      <c r="CG53">
        <f t="shared" ca="1" si="108"/>
        <v>278.29553789203476</v>
      </c>
      <c r="CH53">
        <f t="shared" ca="1" si="108"/>
        <v>281.72509030903808</v>
      </c>
      <c r="CI53">
        <f t="shared" ca="1" si="108"/>
        <v>278.48183254104089</v>
      </c>
      <c r="CJ53">
        <f t="shared" ca="1" si="108"/>
        <v>274.30154660297234</v>
      </c>
      <c r="CK53">
        <f t="shared" ca="1" si="108"/>
        <v>269.95536570026007</v>
      </c>
      <c r="CL53">
        <f t="shared" ca="1" si="108"/>
        <v>270.71669518106853</v>
      </c>
      <c r="CM53">
        <f t="shared" ca="1" si="108"/>
        <v>280.10941927011686</v>
      </c>
      <c r="CN53">
        <f t="shared" ca="1" si="108"/>
        <v>276.99149604990924</v>
      </c>
      <c r="CO53">
        <f t="shared" ca="1" si="108"/>
        <v>280.88821373497552</v>
      </c>
      <c r="CP53">
        <f t="shared" ca="1" si="108"/>
        <v>271.36927562587272</v>
      </c>
      <c r="CQ53">
        <f t="shared" ca="1" si="108"/>
        <v>274.52736991132087</v>
      </c>
      <c r="CR53">
        <f t="shared" ca="1" si="108"/>
        <v>272.20807468934174</v>
      </c>
      <c r="CS53">
        <f t="shared" ca="1" si="108"/>
        <v>279.39511442254781</v>
      </c>
      <c r="CT53">
        <f t="shared" ca="1" si="108"/>
        <v>288.85270234491168</v>
      </c>
      <c r="CU53">
        <f t="shared" ca="1" si="108"/>
        <v>290.36335220865192</v>
      </c>
      <c r="CV53">
        <f t="shared" ca="1" si="70"/>
        <v>70.363352208651918</v>
      </c>
      <c r="CW53">
        <f t="shared" ca="1" si="7"/>
        <v>67.651649724238339</v>
      </c>
    </row>
    <row r="54" spans="5:101" x14ac:dyDescent="0.2">
      <c r="E54">
        <v>222.13</v>
      </c>
      <c r="F54">
        <f t="shared" ref="F54:BQ54" ca="1" si="109">E54*(1+$B$2*$B$4+$B$3*SQRT($B$4)*_xlfn.NORM.S.INV(RAND()))</f>
        <v>230.70974819555309</v>
      </c>
      <c r="G54">
        <f t="shared" ca="1" si="109"/>
        <v>229.68751507981898</v>
      </c>
      <c r="H54">
        <f t="shared" ca="1" si="109"/>
        <v>240.63165497950953</v>
      </c>
      <c r="I54">
        <f t="shared" ca="1" si="109"/>
        <v>241.20193535586341</v>
      </c>
      <c r="J54">
        <f t="shared" ca="1" si="109"/>
        <v>239.25510634793216</v>
      </c>
      <c r="K54">
        <f t="shared" ca="1" si="109"/>
        <v>242.18040659506275</v>
      </c>
      <c r="L54">
        <f t="shared" ca="1" si="109"/>
        <v>241.9746605232354</v>
      </c>
      <c r="M54">
        <f t="shared" ca="1" si="109"/>
        <v>233.44223894899875</v>
      </c>
      <c r="N54">
        <f t="shared" ca="1" si="109"/>
        <v>231.33953677094897</v>
      </c>
      <c r="O54">
        <f t="shared" ca="1" si="109"/>
        <v>216.08561719369263</v>
      </c>
      <c r="P54">
        <f t="shared" ca="1" si="109"/>
        <v>218.48188031355889</v>
      </c>
      <c r="Q54">
        <f t="shared" ca="1" si="109"/>
        <v>216.06818435584202</v>
      </c>
      <c r="R54">
        <f t="shared" ca="1" si="109"/>
        <v>221.19104607539495</v>
      </c>
      <c r="S54">
        <f t="shared" ca="1" si="109"/>
        <v>228.32008268500354</v>
      </c>
      <c r="T54">
        <f t="shared" ca="1" si="109"/>
        <v>219.22695236679468</v>
      </c>
      <c r="U54">
        <f t="shared" ca="1" si="109"/>
        <v>216.92912750061367</v>
      </c>
      <c r="V54">
        <f t="shared" ca="1" si="109"/>
        <v>219.42697795091937</v>
      </c>
      <c r="W54">
        <f t="shared" ca="1" si="109"/>
        <v>210.14563263004436</v>
      </c>
      <c r="X54">
        <f t="shared" ca="1" si="109"/>
        <v>213.248222954976</v>
      </c>
      <c r="Y54">
        <f t="shared" ca="1" si="109"/>
        <v>219.82611281303346</v>
      </c>
      <c r="Z54">
        <f t="shared" ca="1" si="109"/>
        <v>219.83393298507775</v>
      </c>
      <c r="AA54">
        <f t="shared" ca="1" si="109"/>
        <v>225.05329381855586</v>
      </c>
      <c r="AB54">
        <f t="shared" ca="1" si="109"/>
        <v>229.31116194125696</v>
      </c>
      <c r="AC54">
        <f t="shared" ca="1" si="109"/>
        <v>228.36239240934771</v>
      </c>
      <c r="AD54">
        <f t="shared" ca="1" si="109"/>
        <v>232.52070428173138</v>
      </c>
      <c r="AE54">
        <f t="shared" ca="1" si="109"/>
        <v>234.61883723536164</v>
      </c>
      <c r="AF54">
        <f t="shared" ca="1" si="109"/>
        <v>240.64599683845213</v>
      </c>
      <c r="AG54">
        <f t="shared" ca="1" si="109"/>
        <v>237.99431021459583</v>
      </c>
      <c r="AH54">
        <f t="shared" ca="1" si="109"/>
        <v>231.30733689293905</v>
      </c>
      <c r="AI54">
        <f t="shared" ca="1" si="109"/>
        <v>233.52819759044019</v>
      </c>
      <c r="AJ54">
        <f t="shared" ca="1" si="109"/>
        <v>226.79352591473514</v>
      </c>
      <c r="AK54">
        <f t="shared" ca="1" si="109"/>
        <v>225.39563631242831</v>
      </c>
      <c r="AL54">
        <f t="shared" ca="1" si="109"/>
        <v>227.88267157593197</v>
      </c>
      <c r="AM54">
        <f t="shared" ca="1" si="109"/>
        <v>233.52262168379886</v>
      </c>
      <c r="AN54">
        <f t="shared" ca="1" si="109"/>
        <v>226.42261915748182</v>
      </c>
      <c r="AO54">
        <f t="shared" ca="1" si="109"/>
        <v>225.11536554550366</v>
      </c>
      <c r="AP54">
        <f t="shared" ca="1" si="109"/>
        <v>226.85272241538328</v>
      </c>
      <c r="AQ54">
        <f t="shared" ca="1" si="109"/>
        <v>221.6493817873496</v>
      </c>
      <c r="AR54">
        <f t="shared" ca="1" si="109"/>
        <v>210.35512232882931</v>
      </c>
      <c r="AS54">
        <f t="shared" ca="1" si="109"/>
        <v>211.89745155830494</v>
      </c>
      <c r="AT54">
        <f t="shared" ca="1" si="109"/>
        <v>211.27010912594264</v>
      </c>
      <c r="AU54">
        <f t="shared" ca="1" si="109"/>
        <v>204.20239739752924</v>
      </c>
      <c r="AV54">
        <f t="shared" ca="1" si="109"/>
        <v>204.25327101005306</v>
      </c>
      <c r="AW54">
        <f t="shared" ca="1" si="109"/>
        <v>199.73492964452012</v>
      </c>
      <c r="AX54">
        <f t="shared" ca="1" si="109"/>
        <v>202.72414025190071</v>
      </c>
      <c r="AY54">
        <f t="shared" ca="1" si="109"/>
        <v>212.6118660808884</v>
      </c>
      <c r="AZ54">
        <f t="shared" ca="1" si="109"/>
        <v>201.03599811930908</v>
      </c>
      <c r="BA54">
        <f t="shared" ca="1" si="109"/>
        <v>204.10093551971815</v>
      </c>
      <c r="BB54">
        <f t="shared" ca="1" si="109"/>
        <v>204.99078880410167</v>
      </c>
      <c r="BC54">
        <f t="shared" ca="1" si="109"/>
        <v>215.5339997716907</v>
      </c>
      <c r="BD54">
        <f t="shared" ca="1" si="109"/>
        <v>211.28522646236448</v>
      </c>
      <c r="BE54">
        <f t="shared" ca="1" si="109"/>
        <v>212.08707497076409</v>
      </c>
      <c r="BF54">
        <f t="shared" ca="1" si="109"/>
        <v>214.95259510909639</v>
      </c>
      <c r="BG54">
        <f t="shared" ca="1" si="109"/>
        <v>214.64884621210754</v>
      </c>
      <c r="BH54">
        <f t="shared" ca="1" si="109"/>
        <v>220.0513997661013</v>
      </c>
      <c r="BI54">
        <f t="shared" ca="1" si="109"/>
        <v>219.73857394368085</v>
      </c>
      <c r="BJ54">
        <f t="shared" ca="1" si="109"/>
        <v>219.58140970319397</v>
      </c>
      <c r="BK54">
        <f t="shared" ca="1" si="109"/>
        <v>220.71641316733283</v>
      </c>
      <c r="BL54">
        <f t="shared" ca="1" si="109"/>
        <v>223.35353283046206</v>
      </c>
      <c r="BM54">
        <f t="shared" ca="1" si="109"/>
        <v>226.12218677302792</v>
      </c>
      <c r="BN54">
        <f t="shared" ca="1" si="109"/>
        <v>225.87102664583236</v>
      </c>
      <c r="BO54">
        <f t="shared" ca="1" si="109"/>
        <v>234.10252403667812</v>
      </c>
      <c r="BP54">
        <f t="shared" ca="1" si="109"/>
        <v>242.52445008705459</v>
      </c>
      <c r="BQ54">
        <f t="shared" ca="1" si="109"/>
        <v>250.66344923304518</v>
      </c>
      <c r="BR54">
        <f t="shared" ref="BR54:CU54" ca="1" si="110">BQ54*(1+$B$2*$B$4+$B$3*SQRT($B$4)*_xlfn.NORM.S.INV(RAND()))</f>
        <v>252.81566730723816</v>
      </c>
      <c r="BS54">
        <f t="shared" ca="1" si="110"/>
        <v>256.13190152700611</v>
      </c>
      <c r="BT54">
        <f t="shared" ca="1" si="110"/>
        <v>258.5018152158388</v>
      </c>
      <c r="BU54">
        <f t="shared" ca="1" si="110"/>
        <v>261.79763408968688</v>
      </c>
      <c r="BV54">
        <f t="shared" ca="1" si="110"/>
        <v>260.36381435319356</v>
      </c>
      <c r="BW54">
        <f t="shared" ca="1" si="110"/>
        <v>247.45504352763874</v>
      </c>
      <c r="BX54">
        <f t="shared" ca="1" si="110"/>
        <v>245.89853732455836</v>
      </c>
      <c r="BY54">
        <f t="shared" ca="1" si="110"/>
        <v>240.9977514393355</v>
      </c>
      <c r="BZ54">
        <f t="shared" ca="1" si="110"/>
        <v>240.66854308034857</v>
      </c>
      <c r="CA54">
        <f t="shared" ca="1" si="110"/>
        <v>239.37599105651182</v>
      </c>
      <c r="CB54">
        <f t="shared" ca="1" si="110"/>
        <v>240.22572915449143</v>
      </c>
      <c r="CC54">
        <f t="shared" ca="1" si="110"/>
        <v>242.38444552928433</v>
      </c>
      <c r="CD54">
        <f t="shared" ca="1" si="110"/>
        <v>237.96438694568019</v>
      </c>
      <c r="CE54">
        <f t="shared" ca="1" si="110"/>
        <v>231.36523901386118</v>
      </c>
      <c r="CF54">
        <f t="shared" ca="1" si="110"/>
        <v>220.97127841813949</v>
      </c>
      <c r="CG54">
        <f t="shared" ca="1" si="110"/>
        <v>220.17532952867276</v>
      </c>
      <c r="CH54">
        <f t="shared" ca="1" si="110"/>
        <v>227.74715986610755</v>
      </c>
      <c r="CI54">
        <f t="shared" ca="1" si="110"/>
        <v>226.40881690547442</v>
      </c>
      <c r="CJ54">
        <f t="shared" ca="1" si="110"/>
        <v>233.5113422773112</v>
      </c>
      <c r="CK54">
        <f t="shared" ca="1" si="110"/>
        <v>230.60841301005681</v>
      </c>
      <c r="CL54">
        <f t="shared" ca="1" si="110"/>
        <v>228.99227004463307</v>
      </c>
      <c r="CM54">
        <f t="shared" ca="1" si="110"/>
        <v>224.94337940814356</v>
      </c>
      <c r="CN54">
        <f t="shared" ca="1" si="110"/>
        <v>221.79333587771538</v>
      </c>
      <c r="CO54">
        <f t="shared" ca="1" si="110"/>
        <v>222.48949969660265</v>
      </c>
      <c r="CP54">
        <f t="shared" ca="1" si="110"/>
        <v>221.12643543313462</v>
      </c>
      <c r="CQ54">
        <f t="shared" ca="1" si="110"/>
        <v>220.94008139029259</v>
      </c>
      <c r="CR54">
        <f t="shared" ca="1" si="110"/>
        <v>221.26525300392856</v>
      </c>
      <c r="CS54">
        <f t="shared" ca="1" si="110"/>
        <v>223.77268359341915</v>
      </c>
      <c r="CT54">
        <f t="shared" ca="1" si="110"/>
        <v>225.03750206404942</v>
      </c>
      <c r="CU54">
        <f t="shared" ca="1" si="110"/>
        <v>227.59421463867307</v>
      </c>
      <c r="CV54">
        <f t="shared" ca="1" si="70"/>
        <v>7.5942146386730656</v>
      </c>
      <c r="CW54">
        <f t="shared" ca="1" si="7"/>
        <v>7.3015445191228547</v>
      </c>
    </row>
    <row r="55" spans="5:101" x14ac:dyDescent="0.2">
      <c r="E55">
        <v>222.13</v>
      </c>
      <c r="F55">
        <f t="shared" ref="F55:BQ55" ca="1" si="111">E55*(1+$B$2*$B$4+$B$3*SQRT($B$4)*_xlfn.NORM.S.INV(RAND()))</f>
        <v>213.84121557735136</v>
      </c>
      <c r="G55">
        <f t="shared" ca="1" si="111"/>
        <v>216.68811134515207</v>
      </c>
      <c r="H55">
        <f t="shared" ca="1" si="111"/>
        <v>213.04003284452435</v>
      </c>
      <c r="I55">
        <f t="shared" ca="1" si="111"/>
        <v>214.5563089894888</v>
      </c>
      <c r="J55">
        <f t="shared" ca="1" si="111"/>
        <v>214.52440544628848</v>
      </c>
      <c r="K55">
        <f t="shared" ca="1" si="111"/>
        <v>215.64723333636144</v>
      </c>
      <c r="L55">
        <f t="shared" ca="1" si="111"/>
        <v>214.03459907152836</v>
      </c>
      <c r="M55">
        <f t="shared" ca="1" si="111"/>
        <v>212.74386597326878</v>
      </c>
      <c r="N55">
        <f t="shared" ca="1" si="111"/>
        <v>209.28789290385305</v>
      </c>
      <c r="O55">
        <f t="shared" ca="1" si="111"/>
        <v>209.84440318074473</v>
      </c>
      <c r="P55">
        <f t="shared" ca="1" si="111"/>
        <v>209.18688813578461</v>
      </c>
      <c r="Q55">
        <f t="shared" ca="1" si="111"/>
        <v>212.79813724048773</v>
      </c>
      <c r="R55">
        <f t="shared" ca="1" si="111"/>
        <v>214.18112996165769</v>
      </c>
      <c r="S55">
        <f t="shared" ca="1" si="111"/>
        <v>214.91681510061656</v>
      </c>
      <c r="T55">
        <f t="shared" ca="1" si="111"/>
        <v>218.44443419195164</v>
      </c>
      <c r="U55">
        <f t="shared" ca="1" si="111"/>
        <v>221.83391728597317</v>
      </c>
      <c r="V55">
        <f t="shared" ca="1" si="111"/>
        <v>221.54989266927058</v>
      </c>
      <c r="W55">
        <f t="shared" ca="1" si="111"/>
        <v>215.95558663888781</v>
      </c>
      <c r="X55">
        <f t="shared" ca="1" si="111"/>
        <v>218.24745118939362</v>
      </c>
      <c r="Y55">
        <f t="shared" ca="1" si="111"/>
        <v>231.72255945071467</v>
      </c>
      <c r="Z55">
        <f t="shared" ca="1" si="111"/>
        <v>235.64528249440917</v>
      </c>
      <c r="AA55">
        <f t="shared" ca="1" si="111"/>
        <v>236.55859755435296</v>
      </c>
      <c r="AB55">
        <f t="shared" ca="1" si="111"/>
        <v>235.76548219926954</v>
      </c>
      <c r="AC55">
        <f t="shared" ca="1" si="111"/>
        <v>235.25227882536802</v>
      </c>
      <c r="AD55">
        <f t="shared" ca="1" si="111"/>
        <v>233.58444539406946</v>
      </c>
      <c r="AE55">
        <f t="shared" ca="1" si="111"/>
        <v>221.28483789240624</v>
      </c>
      <c r="AF55">
        <f t="shared" ca="1" si="111"/>
        <v>229.84183616418832</v>
      </c>
      <c r="AG55">
        <f t="shared" ca="1" si="111"/>
        <v>239.24202103129582</v>
      </c>
      <c r="AH55">
        <f t="shared" ca="1" si="111"/>
        <v>243.38519445699842</v>
      </c>
      <c r="AI55">
        <f t="shared" ca="1" si="111"/>
        <v>248.11380626982779</v>
      </c>
      <c r="AJ55">
        <f t="shared" ca="1" si="111"/>
        <v>248.36357628417747</v>
      </c>
      <c r="AK55">
        <f t="shared" ca="1" si="111"/>
        <v>251.78307589490262</v>
      </c>
      <c r="AL55">
        <f t="shared" ca="1" si="111"/>
        <v>262.00986636235041</v>
      </c>
      <c r="AM55">
        <f t="shared" ca="1" si="111"/>
        <v>256.12131723983748</v>
      </c>
      <c r="AN55">
        <f t="shared" ca="1" si="111"/>
        <v>261.50245445729621</v>
      </c>
      <c r="AO55">
        <f t="shared" ca="1" si="111"/>
        <v>254.29347174523124</v>
      </c>
      <c r="AP55">
        <f t="shared" ca="1" si="111"/>
        <v>251.1971982820213</v>
      </c>
      <c r="AQ55">
        <f t="shared" ca="1" si="111"/>
        <v>251.98007139037642</v>
      </c>
      <c r="AR55">
        <f t="shared" ca="1" si="111"/>
        <v>250.02535657385428</v>
      </c>
      <c r="AS55">
        <f t="shared" ca="1" si="111"/>
        <v>249.00627492829943</v>
      </c>
      <c r="AT55">
        <f t="shared" ca="1" si="111"/>
        <v>253.97579802447302</v>
      </c>
      <c r="AU55">
        <f t="shared" ca="1" si="111"/>
        <v>260.24521884204631</v>
      </c>
      <c r="AV55">
        <f t="shared" ca="1" si="111"/>
        <v>255.41953353283833</v>
      </c>
      <c r="AW55">
        <f t="shared" ca="1" si="111"/>
        <v>256.20026575249199</v>
      </c>
      <c r="AX55">
        <f t="shared" ca="1" si="111"/>
        <v>259.84770332797314</v>
      </c>
      <c r="AY55">
        <f t="shared" ca="1" si="111"/>
        <v>250.62249427847468</v>
      </c>
      <c r="AZ55">
        <f t="shared" ca="1" si="111"/>
        <v>251.20801901354477</v>
      </c>
      <c r="BA55">
        <f t="shared" ca="1" si="111"/>
        <v>255.4798866848154</v>
      </c>
      <c r="BB55">
        <f t="shared" ca="1" si="111"/>
        <v>254.38076825337629</v>
      </c>
      <c r="BC55">
        <f t="shared" ca="1" si="111"/>
        <v>254.00966004303672</v>
      </c>
      <c r="BD55">
        <f t="shared" ca="1" si="111"/>
        <v>253.15657462266003</v>
      </c>
      <c r="BE55">
        <f t="shared" ca="1" si="111"/>
        <v>257.13611634559868</v>
      </c>
      <c r="BF55">
        <f t="shared" ca="1" si="111"/>
        <v>260.48960932418288</v>
      </c>
      <c r="BG55">
        <f t="shared" ca="1" si="111"/>
        <v>258.92586228881322</v>
      </c>
      <c r="BH55">
        <f t="shared" ca="1" si="111"/>
        <v>258.76776843514398</v>
      </c>
      <c r="BI55">
        <f t="shared" ca="1" si="111"/>
        <v>253.90363589085598</v>
      </c>
      <c r="BJ55">
        <f t="shared" ca="1" si="111"/>
        <v>256.70899296202555</v>
      </c>
      <c r="BK55">
        <f t="shared" ca="1" si="111"/>
        <v>262.91670728561911</v>
      </c>
      <c r="BL55">
        <f t="shared" ca="1" si="111"/>
        <v>256.56536660606776</v>
      </c>
      <c r="BM55">
        <f t="shared" ca="1" si="111"/>
        <v>255.77566588904244</v>
      </c>
      <c r="BN55">
        <f t="shared" ca="1" si="111"/>
        <v>254.89410140710626</v>
      </c>
      <c r="BO55">
        <f t="shared" ca="1" si="111"/>
        <v>262.60360207863658</v>
      </c>
      <c r="BP55">
        <f t="shared" ca="1" si="111"/>
        <v>261.72341475010001</v>
      </c>
      <c r="BQ55">
        <f t="shared" ca="1" si="111"/>
        <v>259.16851839747557</v>
      </c>
      <c r="BR55">
        <f t="shared" ref="BR55:CU55" ca="1" si="112">BQ55*(1+$B$2*$B$4+$B$3*SQRT($B$4)*_xlfn.NORM.S.INV(RAND()))</f>
        <v>251.33497668697103</v>
      </c>
      <c r="BS55">
        <f t="shared" ca="1" si="112"/>
        <v>250.74965160579032</v>
      </c>
      <c r="BT55">
        <f t="shared" ca="1" si="112"/>
        <v>248.12254489594528</v>
      </c>
      <c r="BU55">
        <f t="shared" ca="1" si="112"/>
        <v>241.56699511422951</v>
      </c>
      <c r="BV55">
        <f t="shared" ca="1" si="112"/>
        <v>253.53460798430478</v>
      </c>
      <c r="BW55">
        <f t="shared" ca="1" si="112"/>
        <v>242.6652966492008</v>
      </c>
      <c r="BX55">
        <f t="shared" ca="1" si="112"/>
        <v>248.90320040664071</v>
      </c>
      <c r="BY55">
        <f t="shared" ca="1" si="112"/>
        <v>250.77450678780644</v>
      </c>
      <c r="BZ55">
        <f t="shared" ca="1" si="112"/>
        <v>245.4786419122926</v>
      </c>
      <c r="CA55">
        <f t="shared" ca="1" si="112"/>
        <v>255.19884176397812</v>
      </c>
      <c r="CB55">
        <f t="shared" ca="1" si="112"/>
        <v>255.6500453145884</v>
      </c>
      <c r="CC55">
        <f t="shared" ca="1" si="112"/>
        <v>255.72509544868834</v>
      </c>
      <c r="CD55">
        <f t="shared" ca="1" si="112"/>
        <v>248.26683766769582</v>
      </c>
      <c r="CE55">
        <f t="shared" ca="1" si="112"/>
        <v>250.7508580070587</v>
      </c>
      <c r="CF55">
        <f t="shared" ca="1" si="112"/>
        <v>235.00877191101145</v>
      </c>
      <c r="CG55">
        <f t="shared" ca="1" si="112"/>
        <v>236.59669538256162</v>
      </c>
      <c r="CH55">
        <f t="shared" ca="1" si="112"/>
        <v>230.97548649722631</v>
      </c>
      <c r="CI55">
        <f t="shared" ca="1" si="112"/>
        <v>237.12933051170896</v>
      </c>
      <c r="CJ55">
        <f t="shared" ca="1" si="112"/>
        <v>242.56745759155942</v>
      </c>
      <c r="CK55">
        <f t="shared" ca="1" si="112"/>
        <v>238.1729886901885</v>
      </c>
      <c r="CL55">
        <f t="shared" ca="1" si="112"/>
        <v>235.26957214917982</v>
      </c>
      <c r="CM55">
        <f t="shared" ca="1" si="112"/>
        <v>233.6453138331305</v>
      </c>
      <c r="CN55">
        <f t="shared" ca="1" si="112"/>
        <v>231.77785828370469</v>
      </c>
      <c r="CO55">
        <f t="shared" ca="1" si="112"/>
        <v>228.90885634387581</v>
      </c>
      <c r="CP55">
        <f t="shared" ca="1" si="112"/>
        <v>226.64266713578962</v>
      </c>
      <c r="CQ55">
        <f t="shared" ca="1" si="112"/>
        <v>222.16298897368051</v>
      </c>
      <c r="CR55">
        <f t="shared" ca="1" si="112"/>
        <v>222.00915967963317</v>
      </c>
      <c r="CS55">
        <f t="shared" ca="1" si="112"/>
        <v>214.50661135295326</v>
      </c>
      <c r="CT55">
        <f t="shared" ca="1" si="112"/>
        <v>210.26285534381407</v>
      </c>
      <c r="CU55">
        <f t="shared" ca="1" si="112"/>
        <v>212.29293274952801</v>
      </c>
      <c r="CV55">
        <f t="shared" ca="1" si="70"/>
        <v>0</v>
      </c>
      <c r="CW55">
        <f t="shared" ca="1" si="7"/>
        <v>0</v>
      </c>
    </row>
    <row r="56" spans="5:101" x14ac:dyDescent="0.2">
      <c r="E56">
        <v>222.13</v>
      </c>
      <c r="F56">
        <f t="shared" ref="F56:BQ56" ca="1" si="113">E56*(1+$B$2*$B$4+$B$3*SQRT($B$4)*_xlfn.NORM.S.INV(RAND()))</f>
        <v>220.12810032396658</v>
      </c>
      <c r="G56">
        <f t="shared" ca="1" si="113"/>
        <v>218.40616400655165</v>
      </c>
      <c r="H56">
        <f t="shared" ca="1" si="113"/>
        <v>220.52470267092994</v>
      </c>
      <c r="I56">
        <f t="shared" ca="1" si="113"/>
        <v>221.27832204165685</v>
      </c>
      <c r="J56">
        <f t="shared" ca="1" si="113"/>
        <v>219.61701868371964</v>
      </c>
      <c r="K56">
        <f t="shared" ca="1" si="113"/>
        <v>229.0294640111708</v>
      </c>
      <c r="L56">
        <f t="shared" ca="1" si="113"/>
        <v>226.54749822227561</v>
      </c>
      <c r="M56">
        <f t="shared" ca="1" si="113"/>
        <v>226.19099862937321</v>
      </c>
      <c r="N56">
        <f t="shared" ca="1" si="113"/>
        <v>228.21929971288907</v>
      </c>
      <c r="O56">
        <f t="shared" ca="1" si="113"/>
        <v>222.3600579828543</v>
      </c>
      <c r="P56">
        <f t="shared" ca="1" si="113"/>
        <v>222.10288890122027</v>
      </c>
      <c r="Q56">
        <f t="shared" ca="1" si="113"/>
        <v>217.03288125614574</v>
      </c>
      <c r="R56">
        <f t="shared" ca="1" si="113"/>
        <v>225.24136282810935</v>
      </c>
      <c r="S56">
        <f t="shared" ca="1" si="113"/>
        <v>230.10223005802075</v>
      </c>
      <c r="T56">
        <f t="shared" ca="1" si="113"/>
        <v>229.38126251472977</v>
      </c>
      <c r="U56">
        <f t="shared" ca="1" si="113"/>
        <v>234.78363177275898</v>
      </c>
      <c r="V56">
        <f t="shared" ca="1" si="113"/>
        <v>235.24476273346664</v>
      </c>
      <c r="W56">
        <f t="shared" ca="1" si="113"/>
        <v>225.91879144630389</v>
      </c>
      <c r="X56">
        <f t="shared" ca="1" si="113"/>
        <v>221.49395293700414</v>
      </c>
      <c r="Y56">
        <f t="shared" ca="1" si="113"/>
        <v>215.51743579567579</v>
      </c>
      <c r="Z56">
        <f t="shared" ca="1" si="113"/>
        <v>212.20744666309807</v>
      </c>
      <c r="AA56">
        <f t="shared" ca="1" si="113"/>
        <v>213.10488002628691</v>
      </c>
      <c r="AB56">
        <f t="shared" ca="1" si="113"/>
        <v>211.07065965624778</v>
      </c>
      <c r="AC56">
        <f t="shared" ca="1" si="113"/>
        <v>204.20797998292332</v>
      </c>
      <c r="AD56">
        <f t="shared" ca="1" si="113"/>
        <v>202.69777803199531</v>
      </c>
      <c r="AE56">
        <f t="shared" ca="1" si="113"/>
        <v>193.10298702429981</v>
      </c>
      <c r="AF56">
        <f t="shared" ca="1" si="113"/>
        <v>198.04659176627598</v>
      </c>
      <c r="AG56">
        <f t="shared" ca="1" si="113"/>
        <v>195.75613830018463</v>
      </c>
      <c r="AH56">
        <f t="shared" ca="1" si="113"/>
        <v>191.3520061894574</v>
      </c>
      <c r="AI56">
        <f t="shared" ca="1" si="113"/>
        <v>188.6087756118757</v>
      </c>
      <c r="AJ56">
        <f t="shared" ca="1" si="113"/>
        <v>197.67369254479487</v>
      </c>
      <c r="AK56">
        <f t="shared" ca="1" si="113"/>
        <v>197.99493223244764</v>
      </c>
      <c r="AL56">
        <f t="shared" ca="1" si="113"/>
        <v>193.03928212762659</v>
      </c>
      <c r="AM56">
        <f t="shared" ca="1" si="113"/>
        <v>185.0612306097579</v>
      </c>
      <c r="AN56">
        <f t="shared" ca="1" si="113"/>
        <v>187.41956963804643</v>
      </c>
      <c r="AO56">
        <f t="shared" ca="1" si="113"/>
        <v>184.91071890438482</v>
      </c>
      <c r="AP56">
        <f t="shared" ca="1" si="113"/>
        <v>188.29921235225035</v>
      </c>
      <c r="AQ56">
        <f t="shared" ca="1" si="113"/>
        <v>190.61301181996083</v>
      </c>
      <c r="AR56">
        <f t="shared" ca="1" si="113"/>
        <v>193.11220384791665</v>
      </c>
      <c r="AS56">
        <f t="shared" ca="1" si="113"/>
        <v>197.59769970649549</v>
      </c>
      <c r="AT56">
        <f t="shared" ca="1" si="113"/>
        <v>198.99671869701746</v>
      </c>
      <c r="AU56">
        <f t="shared" ca="1" si="113"/>
        <v>197.33766117764327</v>
      </c>
      <c r="AV56">
        <f t="shared" ca="1" si="113"/>
        <v>202.26875771705897</v>
      </c>
      <c r="AW56">
        <f t="shared" ca="1" si="113"/>
        <v>205.29215027495854</v>
      </c>
      <c r="AX56">
        <f t="shared" ca="1" si="113"/>
        <v>198.31686375375824</v>
      </c>
      <c r="AY56">
        <f t="shared" ca="1" si="113"/>
        <v>199.02486312388669</v>
      </c>
      <c r="AZ56">
        <f t="shared" ca="1" si="113"/>
        <v>200.72595681857717</v>
      </c>
      <c r="BA56">
        <f t="shared" ca="1" si="113"/>
        <v>197.14771364532376</v>
      </c>
      <c r="BB56">
        <f t="shared" ca="1" si="113"/>
        <v>196.41573600245442</v>
      </c>
      <c r="BC56">
        <f t="shared" ca="1" si="113"/>
        <v>207.03599284924627</v>
      </c>
      <c r="BD56">
        <f t="shared" ca="1" si="113"/>
        <v>203.86359312583571</v>
      </c>
      <c r="BE56">
        <f t="shared" ca="1" si="113"/>
        <v>203.76270856504453</v>
      </c>
      <c r="BF56">
        <f t="shared" ca="1" si="113"/>
        <v>203.33927753423498</v>
      </c>
      <c r="BG56">
        <f t="shared" ca="1" si="113"/>
        <v>192.34574527703057</v>
      </c>
      <c r="BH56">
        <f t="shared" ca="1" si="113"/>
        <v>195.46248330101321</v>
      </c>
      <c r="BI56">
        <f t="shared" ca="1" si="113"/>
        <v>191.51081317020345</v>
      </c>
      <c r="BJ56">
        <f t="shared" ca="1" si="113"/>
        <v>198.68910629727986</v>
      </c>
      <c r="BK56">
        <f t="shared" ca="1" si="113"/>
        <v>197.39669604039648</v>
      </c>
      <c r="BL56">
        <f t="shared" ca="1" si="113"/>
        <v>196.79407906708556</v>
      </c>
      <c r="BM56">
        <f t="shared" ca="1" si="113"/>
        <v>192.14183017059597</v>
      </c>
      <c r="BN56">
        <f t="shared" ca="1" si="113"/>
        <v>191.43688237999842</v>
      </c>
      <c r="BO56">
        <f t="shared" ca="1" si="113"/>
        <v>190.86438450304749</v>
      </c>
      <c r="BP56">
        <f t="shared" ca="1" si="113"/>
        <v>193.85889899262662</v>
      </c>
      <c r="BQ56">
        <f t="shared" ca="1" si="113"/>
        <v>193.87805996966603</v>
      </c>
      <c r="BR56">
        <f t="shared" ref="BR56:CU56" ca="1" si="114">BQ56*(1+$B$2*$B$4+$B$3*SQRT($B$4)*_xlfn.NORM.S.INV(RAND()))</f>
        <v>195.99926178544516</v>
      </c>
      <c r="BS56">
        <f t="shared" ca="1" si="114"/>
        <v>199.5079565680214</v>
      </c>
      <c r="BT56">
        <f t="shared" ca="1" si="114"/>
        <v>199.11299039291814</v>
      </c>
      <c r="BU56">
        <f t="shared" ca="1" si="114"/>
        <v>202.01863157385986</v>
      </c>
      <c r="BV56">
        <f t="shared" ca="1" si="114"/>
        <v>204.28342346878327</v>
      </c>
      <c r="BW56">
        <f t="shared" ca="1" si="114"/>
        <v>218.08717639179068</v>
      </c>
      <c r="BX56">
        <f t="shared" ca="1" si="114"/>
        <v>225.53527428823517</v>
      </c>
      <c r="BY56">
        <f t="shared" ca="1" si="114"/>
        <v>221.16291294408538</v>
      </c>
      <c r="BZ56">
        <f t="shared" ca="1" si="114"/>
        <v>217.58583218691129</v>
      </c>
      <c r="CA56">
        <f t="shared" ca="1" si="114"/>
        <v>224.68750872969881</v>
      </c>
      <c r="CB56">
        <f t="shared" ca="1" si="114"/>
        <v>226.71648867211348</v>
      </c>
      <c r="CC56">
        <f t="shared" ca="1" si="114"/>
        <v>230.94885556958633</v>
      </c>
      <c r="CD56">
        <f t="shared" ca="1" si="114"/>
        <v>226.86493100653647</v>
      </c>
      <c r="CE56">
        <f t="shared" ca="1" si="114"/>
        <v>222.00391974705795</v>
      </c>
      <c r="CF56">
        <f t="shared" ca="1" si="114"/>
        <v>225.38372634829412</v>
      </c>
      <c r="CG56">
        <f t="shared" ca="1" si="114"/>
        <v>233.72982608433526</v>
      </c>
      <c r="CH56">
        <f t="shared" ca="1" si="114"/>
        <v>229.2930017129521</v>
      </c>
      <c r="CI56">
        <f t="shared" ca="1" si="114"/>
        <v>226.07096671429187</v>
      </c>
      <c r="CJ56">
        <f t="shared" ca="1" si="114"/>
        <v>230.03400278742512</v>
      </c>
      <c r="CK56">
        <f t="shared" ca="1" si="114"/>
        <v>231.18116827471366</v>
      </c>
      <c r="CL56">
        <f t="shared" ca="1" si="114"/>
        <v>232.47042011075291</v>
      </c>
      <c r="CM56">
        <f t="shared" ca="1" si="114"/>
        <v>226.2470938182378</v>
      </c>
      <c r="CN56">
        <f t="shared" ca="1" si="114"/>
        <v>231.8686983820443</v>
      </c>
      <c r="CO56">
        <f t="shared" ca="1" si="114"/>
        <v>235.69694458044899</v>
      </c>
      <c r="CP56">
        <f t="shared" ca="1" si="114"/>
        <v>236.69584956734985</v>
      </c>
      <c r="CQ56">
        <f t="shared" ca="1" si="114"/>
        <v>240.91631641856986</v>
      </c>
      <c r="CR56">
        <f t="shared" ca="1" si="114"/>
        <v>244.70038400105906</v>
      </c>
      <c r="CS56">
        <f t="shared" ca="1" si="114"/>
        <v>245.34668906985291</v>
      </c>
      <c r="CT56">
        <f t="shared" ca="1" si="114"/>
        <v>240.18573777494822</v>
      </c>
      <c r="CU56">
        <f t="shared" ca="1" si="114"/>
        <v>238.87122509595517</v>
      </c>
      <c r="CV56">
        <f t="shared" ca="1" si="70"/>
        <v>18.871225095955168</v>
      </c>
      <c r="CW56">
        <f t="shared" ca="1" si="7"/>
        <v>18.143955198055998</v>
      </c>
    </row>
    <row r="57" spans="5:101" x14ac:dyDescent="0.2">
      <c r="E57">
        <v>222.13</v>
      </c>
      <c r="F57">
        <f t="shared" ref="F57:BQ57" ca="1" si="115">E57*(1+$B$2*$B$4+$B$3*SQRT($B$4)*_xlfn.NORM.S.INV(RAND()))</f>
        <v>221.60790639618349</v>
      </c>
      <c r="G57">
        <f t="shared" ca="1" si="115"/>
        <v>215.49553496372948</v>
      </c>
      <c r="H57">
        <f t="shared" ca="1" si="115"/>
        <v>219.9418544398529</v>
      </c>
      <c r="I57">
        <f t="shared" ca="1" si="115"/>
        <v>220.27245312197837</v>
      </c>
      <c r="J57">
        <f t="shared" ca="1" si="115"/>
        <v>219.67804265700954</v>
      </c>
      <c r="K57">
        <f t="shared" ca="1" si="115"/>
        <v>214.15607016593555</v>
      </c>
      <c r="L57">
        <f t="shared" ca="1" si="115"/>
        <v>216.76582725583594</v>
      </c>
      <c r="M57">
        <f t="shared" ca="1" si="115"/>
        <v>219.1186155513345</v>
      </c>
      <c r="N57">
        <f t="shared" ca="1" si="115"/>
        <v>223.43345432388901</v>
      </c>
      <c r="O57">
        <f t="shared" ca="1" si="115"/>
        <v>226.79503638031352</v>
      </c>
      <c r="P57">
        <f t="shared" ca="1" si="115"/>
        <v>223.98593149128124</v>
      </c>
      <c r="Q57">
        <f t="shared" ca="1" si="115"/>
        <v>231.57894447066494</v>
      </c>
      <c r="R57">
        <f t="shared" ca="1" si="115"/>
        <v>227.33812467759023</v>
      </c>
      <c r="S57">
        <f t="shared" ca="1" si="115"/>
        <v>230.99776083943354</v>
      </c>
      <c r="T57">
        <f t="shared" ca="1" si="115"/>
        <v>232.39959899203441</v>
      </c>
      <c r="U57">
        <f t="shared" ca="1" si="115"/>
        <v>227.91217554416633</v>
      </c>
      <c r="V57">
        <f t="shared" ca="1" si="115"/>
        <v>230.83144107375378</v>
      </c>
      <c r="W57">
        <f t="shared" ca="1" si="115"/>
        <v>226.40338769853034</v>
      </c>
      <c r="X57">
        <f t="shared" ca="1" si="115"/>
        <v>231.50697326797692</v>
      </c>
      <c r="Y57">
        <f t="shared" ca="1" si="115"/>
        <v>235.7163734328868</v>
      </c>
      <c r="Z57">
        <f t="shared" ca="1" si="115"/>
        <v>245.09931683287022</v>
      </c>
      <c r="AA57">
        <f t="shared" ca="1" si="115"/>
        <v>235.84985152929963</v>
      </c>
      <c r="AB57">
        <f t="shared" ca="1" si="115"/>
        <v>239.8000931780368</v>
      </c>
      <c r="AC57">
        <f t="shared" ca="1" si="115"/>
        <v>240.23336557327229</v>
      </c>
      <c r="AD57">
        <f t="shared" ca="1" si="115"/>
        <v>245.21398490910246</v>
      </c>
      <c r="AE57">
        <f t="shared" ca="1" si="115"/>
        <v>243.16330482761506</v>
      </c>
      <c r="AF57">
        <f t="shared" ca="1" si="115"/>
        <v>241.29131438534006</v>
      </c>
      <c r="AG57">
        <f t="shared" ca="1" si="115"/>
        <v>241.63068273043851</v>
      </c>
      <c r="AH57">
        <f t="shared" ca="1" si="115"/>
        <v>253.10737389468849</v>
      </c>
      <c r="AI57">
        <f t="shared" ca="1" si="115"/>
        <v>256.67829442969742</v>
      </c>
      <c r="AJ57">
        <f t="shared" ca="1" si="115"/>
        <v>252.89273005740236</v>
      </c>
      <c r="AK57">
        <f t="shared" ca="1" si="115"/>
        <v>250.48182267480897</v>
      </c>
      <c r="AL57">
        <f t="shared" ca="1" si="115"/>
        <v>264.31991102096089</v>
      </c>
      <c r="AM57">
        <f t="shared" ca="1" si="115"/>
        <v>270.42034377159183</v>
      </c>
      <c r="AN57">
        <f t="shared" ca="1" si="115"/>
        <v>266.24019603085196</v>
      </c>
      <c r="AO57">
        <f t="shared" ca="1" si="115"/>
        <v>272.3690071249477</v>
      </c>
      <c r="AP57">
        <f t="shared" ca="1" si="115"/>
        <v>257.64938866280789</v>
      </c>
      <c r="AQ57">
        <f t="shared" ca="1" si="115"/>
        <v>258.21771880792642</v>
      </c>
      <c r="AR57">
        <f t="shared" ca="1" si="115"/>
        <v>257.85658684167049</v>
      </c>
      <c r="AS57">
        <f t="shared" ca="1" si="115"/>
        <v>264.46532971738543</v>
      </c>
      <c r="AT57">
        <f t="shared" ca="1" si="115"/>
        <v>266.84695575586443</v>
      </c>
      <c r="AU57">
        <f t="shared" ca="1" si="115"/>
        <v>270.7080442630384</v>
      </c>
      <c r="AV57">
        <f t="shared" ca="1" si="115"/>
        <v>271.36907211024641</v>
      </c>
      <c r="AW57">
        <f t="shared" ca="1" si="115"/>
        <v>271.27777657066764</v>
      </c>
      <c r="AX57">
        <f t="shared" ca="1" si="115"/>
        <v>281.38900720232112</v>
      </c>
      <c r="AY57">
        <f t="shared" ca="1" si="115"/>
        <v>291.0483599611689</v>
      </c>
      <c r="AZ57">
        <f t="shared" ca="1" si="115"/>
        <v>293.5182680390991</v>
      </c>
      <c r="BA57">
        <f t="shared" ca="1" si="115"/>
        <v>308.48093398795203</v>
      </c>
      <c r="BB57">
        <f t="shared" ca="1" si="115"/>
        <v>309.05145908694294</v>
      </c>
      <c r="BC57">
        <f t="shared" ca="1" si="115"/>
        <v>304.40948683995435</v>
      </c>
      <c r="BD57">
        <f t="shared" ca="1" si="115"/>
        <v>284.70088544534116</v>
      </c>
      <c r="BE57">
        <f t="shared" ca="1" si="115"/>
        <v>275.77447080277182</v>
      </c>
      <c r="BF57">
        <f t="shared" ca="1" si="115"/>
        <v>277.08769595594038</v>
      </c>
      <c r="BG57">
        <f t="shared" ca="1" si="115"/>
        <v>275.13450944460089</v>
      </c>
      <c r="BH57">
        <f t="shared" ca="1" si="115"/>
        <v>269.84900389305187</v>
      </c>
      <c r="BI57">
        <f t="shared" ca="1" si="115"/>
        <v>276.70264083396347</v>
      </c>
      <c r="BJ57">
        <f t="shared" ca="1" si="115"/>
        <v>273.36657527076335</v>
      </c>
      <c r="BK57">
        <f t="shared" ca="1" si="115"/>
        <v>272.82375950901979</v>
      </c>
      <c r="BL57">
        <f t="shared" ca="1" si="115"/>
        <v>260.73816875617075</v>
      </c>
      <c r="BM57">
        <f t="shared" ca="1" si="115"/>
        <v>266.72764959102102</v>
      </c>
      <c r="BN57">
        <f t="shared" ca="1" si="115"/>
        <v>272.64014054675164</v>
      </c>
      <c r="BO57">
        <f t="shared" ca="1" si="115"/>
        <v>269.56498668859604</v>
      </c>
      <c r="BP57">
        <f t="shared" ca="1" si="115"/>
        <v>258.50599051359819</v>
      </c>
      <c r="BQ57">
        <f t="shared" ca="1" si="115"/>
        <v>257.20243684618021</v>
      </c>
      <c r="BR57">
        <f t="shared" ref="BR57:CU57" ca="1" si="116">BQ57*(1+$B$2*$B$4+$B$3*SQRT($B$4)*_xlfn.NORM.S.INV(RAND()))</f>
        <v>257.78257413162612</v>
      </c>
      <c r="BS57">
        <f t="shared" ca="1" si="116"/>
        <v>262.71330755032233</v>
      </c>
      <c r="BT57">
        <f t="shared" ca="1" si="116"/>
        <v>258.43557395399137</v>
      </c>
      <c r="BU57">
        <f t="shared" ca="1" si="116"/>
        <v>267.36450003619342</v>
      </c>
      <c r="BV57">
        <f t="shared" ca="1" si="116"/>
        <v>266.2277270273168</v>
      </c>
      <c r="BW57">
        <f t="shared" ca="1" si="116"/>
        <v>268.02259181945726</v>
      </c>
      <c r="BX57">
        <f t="shared" ca="1" si="116"/>
        <v>258.42086973067182</v>
      </c>
      <c r="BY57">
        <f t="shared" ca="1" si="116"/>
        <v>263.57270974072105</v>
      </c>
      <c r="BZ57">
        <f t="shared" ca="1" si="116"/>
        <v>262.46519353868678</v>
      </c>
      <c r="CA57">
        <f t="shared" ca="1" si="116"/>
        <v>266.95151977794774</v>
      </c>
      <c r="CB57">
        <f t="shared" ca="1" si="116"/>
        <v>266.66490505391346</v>
      </c>
      <c r="CC57">
        <f t="shared" ca="1" si="116"/>
        <v>259.8888900823207</v>
      </c>
      <c r="CD57">
        <f t="shared" ca="1" si="116"/>
        <v>259.87228795645325</v>
      </c>
      <c r="CE57">
        <f t="shared" ca="1" si="116"/>
        <v>266.88382316405387</v>
      </c>
      <c r="CF57">
        <f t="shared" ca="1" si="116"/>
        <v>255.81879617951668</v>
      </c>
      <c r="CG57">
        <f t="shared" ca="1" si="116"/>
        <v>256.97215839356335</v>
      </c>
      <c r="CH57">
        <f t="shared" ca="1" si="116"/>
        <v>253.71404689665937</v>
      </c>
      <c r="CI57">
        <f t="shared" ca="1" si="116"/>
        <v>255.60634616804472</v>
      </c>
      <c r="CJ57">
        <f t="shared" ca="1" si="116"/>
        <v>268.37073437947947</v>
      </c>
      <c r="CK57">
        <f t="shared" ca="1" si="116"/>
        <v>262.1867036542136</v>
      </c>
      <c r="CL57">
        <f t="shared" ca="1" si="116"/>
        <v>271.31485344080079</v>
      </c>
      <c r="CM57">
        <f t="shared" ca="1" si="116"/>
        <v>277.08007631130079</v>
      </c>
      <c r="CN57">
        <f t="shared" ca="1" si="116"/>
        <v>280.52512474231787</v>
      </c>
      <c r="CO57">
        <f t="shared" ca="1" si="116"/>
        <v>290.15305453181134</v>
      </c>
      <c r="CP57">
        <f t="shared" ca="1" si="116"/>
        <v>292.99799567226671</v>
      </c>
      <c r="CQ57">
        <f t="shared" ca="1" si="116"/>
        <v>287.20312426830685</v>
      </c>
      <c r="CR57">
        <f t="shared" ca="1" si="116"/>
        <v>285.25695159738211</v>
      </c>
      <c r="CS57">
        <f t="shared" ca="1" si="116"/>
        <v>286.82994645666577</v>
      </c>
      <c r="CT57">
        <f t="shared" ca="1" si="116"/>
        <v>287.88580668857645</v>
      </c>
      <c r="CU57">
        <f t="shared" ca="1" si="116"/>
        <v>292.15368770049491</v>
      </c>
      <c r="CV57">
        <f t="shared" ca="1" si="70"/>
        <v>72.153687700494913</v>
      </c>
      <c r="CW57">
        <f t="shared" ca="1" si="7"/>
        <v>69.372988258875992</v>
      </c>
    </row>
    <row r="58" spans="5:101" x14ac:dyDescent="0.2">
      <c r="E58">
        <v>222.13</v>
      </c>
      <c r="F58">
        <f t="shared" ref="F58:BQ58" ca="1" si="117">E58*(1+$B$2*$B$4+$B$3*SQRT($B$4)*_xlfn.NORM.S.INV(RAND()))</f>
        <v>222.49120965623842</v>
      </c>
      <c r="G58">
        <f t="shared" ca="1" si="117"/>
        <v>216.69413114281389</v>
      </c>
      <c r="H58">
        <f t="shared" ca="1" si="117"/>
        <v>219.34744863395306</v>
      </c>
      <c r="I58">
        <f t="shared" ca="1" si="117"/>
        <v>220.43297037535561</v>
      </c>
      <c r="J58">
        <f t="shared" ca="1" si="117"/>
        <v>222.19062702703022</v>
      </c>
      <c r="K58">
        <f t="shared" ca="1" si="117"/>
        <v>218.77985907791566</v>
      </c>
      <c r="L58">
        <f t="shared" ca="1" si="117"/>
        <v>212.07020320967527</v>
      </c>
      <c r="M58">
        <f t="shared" ca="1" si="117"/>
        <v>222.13989671961238</v>
      </c>
      <c r="N58">
        <f t="shared" ca="1" si="117"/>
        <v>226.32801835370151</v>
      </c>
      <c r="O58">
        <f t="shared" ca="1" si="117"/>
        <v>228.83613323734082</v>
      </c>
      <c r="P58">
        <f t="shared" ca="1" si="117"/>
        <v>228.5577107383109</v>
      </c>
      <c r="Q58">
        <f t="shared" ca="1" si="117"/>
        <v>238.57381079965793</v>
      </c>
      <c r="R58">
        <f t="shared" ca="1" si="117"/>
        <v>242.43483198173908</v>
      </c>
      <c r="S58">
        <f t="shared" ca="1" si="117"/>
        <v>246.96853394354545</v>
      </c>
      <c r="T58">
        <f t="shared" ca="1" si="117"/>
        <v>247.4285306643383</v>
      </c>
      <c r="U58">
        <f t="shared" ca="1" si="117"/>
        <v>252.25097836210304</v>
      </c>
      <c r="V58">
        <f t="shared" ca="1" si="117"/>
        <v>255.73621295053212</v>
      </c>
      <c r="W58">
        <f t="shared" ca="1" si="117"/>
        <v>264.80374407661481</v>
      </c>
      <c r="X58">
        <f t="shared" ca="1" si="117"/>
        <v>264.24730667255642</v>
      </c>
      <c r="Y58">
        <f t="shared" ca="1" si="117"/>
        <v>254.85877645131163</v>
      </c>
      <c r="Z58">
        <f t="shared" ca="1" si="117"/>
        <v>254.66134969552732</v>
      </c>
      <c r="AA58">
        <f t="shared" ca="1" si="117"/>
        <v>254.50158931559628</v>
      </c>
      <c r="AB58">
        <f t="shared" ca="1" si="117"/>
        <v>254.90347676623543</v>
      </c>
      <c r="AC58">
        <f t="shared" ca="1" si="117"/>
        <v>262.08351635842376</v>
      </c>
      <c r="AD58">
        <f t="shared" ca="1" si="117"/>
        <v>266.86081733743379</v>
      </c>
      <c r="AE58">
        <f t="shared" ca="1" si="117"/>
        <v>258.08774426927982</v>
      </c>
      <c r="AF58">
        <f t="shared" ca="1" si="117"/>
        <v>250.31152409461291</v>
      </c>
      <c r="AG58">
        <f t="shared" ca="1" si="117"/>
        <v>252.47364299833788</v>
      </c>
      <c r="AH58">
        <f t="shared" ca="1" si="117"/>
        <v>258.22972820016349</v>
      </c>
      <c r="AI58">
        <f t="shared" ca="1" si="117"/>
        <v>251.27472643837535</v>
      </c>
      <c r="AJ58">
        <f t="shared" ca="1" si="117"/>
        <v>246.97204632807822</v>
      </c>
      <c r="AK58">
        <f t="shared" ca="1" si="117"/>
        <v>243.4514789145708</v>
      </c>
      <c r="AL58">
        <f t="shared" ca="1" si="117"/>
        <v>245.08866554154238</v>
      </c>
      <c r="AM58">
        <f t="shared" ca="1" si="117"/>
        <v>241.79248999225712</v>
      </c>
      <c r="AN58">
        <f t="shared" ca="1" si="117"/>
        <v>246.78399448968926</v>
      </c>
      <c r="AO58">
        <f t="shared" ca="1" si="117"/>
        <v>243.31638484222324</v>
      </c>
      <c r="AP58">
        <f t="shared" ca="1" si="117"/>
        <v>239.81123067674531</v>
      </c>
      <c r="AQ58">
        <f t="shared" ca="1" si="117"/>
        <v>227.61211836124747</v>
      </c>
      <c r="AR58">
        <f t="shared" ca="1" si="117"/>
        <v>227.75421839643693</v>
      </c>
      <c r="AS58">
        <f t="shared" ca="1" si="117"/>
        <v>221.39677402236916</v>
      </c>
      <c r="AT58">
        <f t="shared" ca="1" si="117"/>
        <v>208.75304975814259</v>
      </c>
      <c r="AU58">
        <f t="shared" ca="1" si="117"/>
        <v>211.04542368344576</v>
      </c>
      <c r="AV58">
        <f t="shared" ca="1" si="117"/>
        <v>205.77388776066292</v>
      </c>
      <c r="AW58">
        <f t="shared" ca="1" si="117"/>
        <v>209.51282690955071</v>
      </c>
      <c r="AX58">
        <f t="shared" ca="1" si="117"/>
        <v>210.64579197553192</v>
      </c>
      <c r="AY58">
        <f t="shared" ca="1" si="117"/>
        <v>207.1061878452046</v>
      </c>
      <c r="AZ58">
        <f t="shared" ca="1" si="117"/>
        <v>213.92281943699743</v>
      </c>
      <c r="BA58">
        <f t="shared" ca="1" si="117"/>
        <v>223.55801062959026</v>
      </c>
      <c r="BB58">
        <f t="shared" ca="1" si="117"/>
        <v>219.38742115059267</v>
      </c>
      <c r="BC58">
        <f t="shared" ca="1" si="117"/>
        <v>223.52723753822008</v>
      </c>
      <c r="BD58">
        <f t="shared" ca="1" si="117"/>
        <v>232.89474118809184</v>
      </c>
      <c r="BE58">
        <f t="shared" ca="1" si="117"/>
        <v>234.50807756252527</v>
      </c>
      <c r="BF58">
        <f t="shared" ca="1" si="117"/>
        <v>221.89755119224006</v>
      </c>
      <c r="BG58">
        <f t="shared" ca="1" si="117"/>
        <v>217.20371626999483</v>
      </c>
      <c r="BH58">
        <f t="shared" ca="1" si="117"/>
        <v>219.8856538953483</v>
      </c>
      <c r="BI58">
        <f t="shared" ca="1" si="117"/>
        <v>217.81206422235365</v>
      </c>
      <c r="BJ58">
        <f t="shared" ca="1" si="117"/>
        <v>220.44404518455809</v>
      </c>
      <c r="BK58">
        <f t="shared" ca="1" si="117"/>
        <v>224.8991648336183</v>
      </c>
      <c r="BL58">
        <f t="shared" ca="1" si="117"/>
        <v>223.06573106067574</v>
      </c>
      <c r="BM58">
        <f t="shared" ca="1" si="117"/>
        <v>224.09016636580759</v>
      </c>
      <c r="BN58">
        <f t="shared" ca="1" si="117"/>
        <v>226.37321308239504</v>
      </c>
      <c r="BO58">
        <f t="shared" ca="1" si="117"/>
        <v>217.75235041967161</v>
      </c>
      <c r="BP58">
        <f t="shared" ca="1" si="117"/>
        <v>213.84948171259219</v>
      </c>
      <c r="BQ58">
        <f t="shared" ca="1" si="117"/>
        <v>220.46646151074805</v>
      </c>
      <c r="BR58">
        <f t="shared" ref="BR58:CU58" ca="1" si="118">BQ58*(1+$B$2*$B$4+$B$3*SQRT($B$4)*_xlfn.NORM.S.INV(RAND()))</f>
        <v>215.33263285560508</v>
      </c>
      <c r="BS58">
        <f t="shared" ca="1" si="118"/>
        <v>213.34583115138864</v>
      </c>
      <c r="BT58">
        <f t="shared" ca="1" si="118"/>
        <v>211.93617480248372</v>
      </c>
      <c r="BU58">
        <f t="shared" ca="1" si="118"/>
        <v>212.83152562372578</v>
      </c>
      <c r="BV58">
        <f t="shared" ca="1" si="118"/>
        <v>213.51550410959371</v>
      </c>
      <c r="BW58">
        <f t="shared" ca="1" si="118"/>
        <v>221.09895897749243</v>
      </c>
      <c r="BX58">
        <f t="shared" ca="1" si="118"/>
        <v>223.55195332120746</v>
      </c>
      <c r="BY58">
        <f t="shared" ca="1" si="118"/>
        <v>217.05746586256677</v>
      </c>
      <c r="BZ58">
        <f t="shared" ca="1" si="118"/>
        <v>219.6521457366089</v>
      </c>
      <c r="CA58">
        <f t="shared" ca="1" si="118"/>
        <v>225.85478371797475</v>
      </c>
      <c r="CB58">
        <f t="shared" ca="1" si="118"/>
        <v>227.98577434190958</v>
      </c>
      <c r="CC58">
        <f t="shared" ca="1" si="118"/>
        <v>235.51336272804733</v>
      </c>
      <c r="CD58">
        <f t="shared" ca="1" si="118"/>
        <v>241.15789914418951</v>
      </c>
      <c r="CE58">
        <f t="shared" ca="1" si="118"/>
        <v>240.97935478672443</v>
      </c>
      <c r="CF58">
        <f t="shared" ca="1" si="118"/>
        <v>237.38423097549446</v>
      </c>
      <c r="CG58">
        <f t="shared" ca="1" si="118"/>
        <v>237.9670262302723</v>
      </c>
      <c r="CH58">
        <f t="shared" ca="1" si="118"/>
        <v>242.29899446614823</v>
      </c>
      <c r="CI58">
        <f t="shared" ca="1" si="118"/>
        <v>250.17063601817247</v>
      </c>
      <c r="CJ58">
        <f t="shared" ca="1" si="118"/>
        <v>251.51073091194235</v>
      </c>
      <c r="CK58">
        <f t="shared" ca="1" si="118"/>
        <v>247.16210463770904</v>
      </c>
      <c r="CL58">
        <f t="shared" ca="1" si="118"/>
        <v>247.92337404683823</v>
      </c>
      <c r="CM58">
        <f t="shared" ca="1" si="118"/>
        <v>243.56765054930858</v>
      </c>
      <c r="CN58">
        <f t="shared" ca="1" si="118"/>
        <v>250.94591521465119</v>
      </c>
      <c r="CO58">
        <f t="shared" ca="1" si="118"/>
        <v>250.32929067384882</v>
      </c>
      <c r="CP58">
        <f t="shared" ca="1" si="118"/>
        <v>251.86680050958361</v>
      </c>
      <c r="CQ58">
        <f t="shared" ca="1" si="118"/>
        <v>252.79389977412367</v>
      </c>
      <c r="CR58">
        <f t="shared" ca="1" si="118"/>
        <v>254.19878991793126</v>
      </c>
      <c r="CS58">
        <f t="shared" ca="1" si="118"/>
        <v>254.72722786038557</v>
      </c>
      <c r="CT58">
        <f t="shared" ca="1" si="118"/>
        <v>256.52025779528736</v>
      </c>
      <c r="CU58">
        <f t="shared" ca="1" si="118"/>
        <v>255.92981020006252</v>
      </c>
      <c r="CV58">
        <f t="shared" ca="1" si="70"/>
        <v>35.929810200062519</v>
      </c>
      <c r="CW58">
        <f t="shared" ca="1" si="7"/>
        <v>34.54512694484891</v>
      </c>
    </row>
    <row r="59" spans="5:101" x14ac:dyDescent="0.2">
      <c r="E59">
        <v>222.13</v>
      </c>
      <c r="F59">
        <f t="shared" ref="F59:BQ59" ca="1" si="119">E59*(1+$B$2*$B$4+$B$3*SQRT($B$4)*_xlfn.NORM.S.INV(RAND()))</f>
        <v>219.28269977726728</v>
      </c>
      <c r="G59">
        <f t="shared" ca="1" si="119"/>
        <v>224.86148501403503</v>
      </c>
      <c r="H59">
        <f t="shared" ca="1" si="119"/>
        <v>227.60362785438787</v>
      </c>
      <c r="I59">
        <f t="shared" ca="1" si="119"/>
        <v>222.58191373371724</v>
      </c>
      <c r="J59">
        <f t="shared" ca="1" si="119"/>
        <v>220.40490655253657</v>
      </c>
      <c r="K59">
        <f t="shared" ca="1" si="119"/>
        <v>222.58600627625972</v>
      </c>
      <c r="L59">
        <f t="shared" ca="1" si="119"/>
        <v>226.66950513442765</v>
      </c>
      <c r="M59">
        <f t="shared" ca="1" si="119"/>
        <v>229.36086093071367</v>
      </c>
      <c r="N59">
        <f t="shared" ca="1" si="119"/>
        <v>228.24904140701801</v>
      </c>
      <c r="O59">
        <f t="shared" ca="1" si="119"/>
        <v>236.58059749377762</v>
      </c>
      <c r="P59">
        <f t="shared" ca="1" si="119"/>
        <v>230.11741546488969</v>
      </c>
      <c r="Q59">
        <f t="shared" ca="1" si="119"/>
        <v>233.53084685227182</v>
      </c>
      <c r="R59">
        <f t="shared" ca="1" si="119"/>
        <v>232.05049872716683</v>
      </c>
      <c r="S59">
        <f t="shared" ca="1" si="119"/>
        <v>241.37464378414322</v>
      </c>
      <c r="T59">
        <f t="shared" ca="1" si="119"/>
        <v>249.13059508199362</v>
      </c>
      <c r="U59">
        <f t="shared" ca="1" si="119"/>
        <v>244.40221319896872</v>
      </c>
      <c r="V59">
        <f t="shared" ca="1" si="119"/>
        <v>236.2642235968444</v>
      </c>
      <c r="W59">
        <f t="shared" ca="1" si="119"/>
        <v>242.19273044807355</v>
      </c>
      <c r="X59">
        <f t="shared" ca="1" si="119"/>
        <v>235.62251192207421</v>
      </c>
      <c r="Y59">
        <f t="shared" ca="1" si="119"/>
        <v>219.44368157635316</v>
      </c>
      <c r="Z59">
        <f t="shared" ca="1" si="119"/>
        <v>226.29907982608989</v>
      </c>
      <c r="AA59">
        <f t="shared" ca="1" si="119"/>
        <v>211.81821077608754</v>
      </c>
      <c r="AB59">
        <f t="shared" ca="1" si="119"/>
        <v>213.6680418428798</v>
      </c>
      <c r="AC59">
        <f t="shared" ca="1" si="119"/>
        <v>215.88201067468833</v>
      </c>
      <c r="AD59">
        <f t="shared" ca="1" si="119"/>
        <v>229.29937168726892</v>
      </c>
      <c r="AE59">
        <f t="shared" ca="1" si="119"/>
        <v>227.68896432341097</v>
      </c>
      <c r="AF59">
        <f t="shared" ca="1" si="119"/>
        <v>231.0962502685673</v>
      </c>
      <c r="AG59">
        <f t="shared" ca="1" si="119"/>
        <v>230.77930069888305</v>
      </c>
      <c r="AH59">
        <f t="shared" ca="1" si="119"/>
        <v>242.15203741523959</v>
      </c>
      <c r="AI59">
        <f t="shared" ca="1" si="119"/>
        <v>244.13130872148554</v>
      </c>
      <c r="AJ59">
        <f t="shared" ca="1" si="119"/>
        <v>244.93149091779048</v>
      </c>
      <c r="AK59">
        <f t="shared" ca="1" si="119"/>
        <v>244.40990334286457</v>
      </c>
      <c r="AL59">
        <f t="shared" ca="1" si="119"/>
        <v>250.46543238991472</v>
      </c>
      <c r="AM59">
        <f t="shared" ca="1" si="119"/>
        <v>254.36340173150163</v>
      </c>
      <c r="AN59">
        <f t="shared" ca="1" si="119"/>
        <v>251.12327629298946</v>
      </c>
      <c r="AO59">
        <f t="shared" ca="1" si="119"/>
        <v>252.82498850929221</v>
      </c>
      <c r="AP59">
        <f t="shared" ca="1" si="119"/>
        <v>254.35877897918436</v>
      </c>
      <c r="AQ59">
        <f t="shared" ca="1" si="119"/>
        <v>241.26523889959788</v>
      </c>
      <c r="AR59">
        <f t="shared" ca="1" si="119"/>
        <v>236.44959228474022</v>
      </c>
      <c r="AS59">
        <f t="shared" ca="1" si="119"/>
        <v>238.75089320742111</v>
      </c>
      <c r="AT59">
        <f t="shared" ca="1" si="119"/>
        <v>229.04233368376947</v>
      </c>
      <c r="AU59">
        <f t="shared" ca="1" si="119"/>
        <v>225.954428008126</v>
      </c>
      <c r="AV59">
        <f t="shared" ca="1" si="119"/>
        <v>220.7657495893672</v>
      </c>
      <c r="AW59">
        <f t="shared" ca="1" si="119"/>
        <v>218.45203905421764</v>
      </c>
      <c r="AX59">
        <f t="shared" ca="1" si="119"/>
        <v>226.26473870113199</v>
      </c>
      <c r="AY59">
        <f t="shared" ca="1" si="119"/>
        <v>219.53808442959766</v>
      </c>
      <c r="AZ59">
        <f t="shared" ca="1" si="119"/>
        <v>226.21774768957201</v>
      </c>
      <c r="BA59">
        <f t="shared" ca="1" si="119"/>
        <v>231.41338844542597</v>
      </c>
      <c r="BB59">
        <f t="shared" ca="1" si="119"/>
        <v>232.14846504360648</v>
      </c>
      <c r="BC59">
        <f t="shared" ca="1" si="119"/>
        <v>231.32060002435261</v>
      </c>
      <c r="BD59">
        <f t="shared" ca="1" si="119"/>
        <v>230.2582250390405</v>
      </c>
      <c r="BE59">
        <f t="shared" ca="1" si="119"/>
        <v>228.14793621381182</v>
      </c>
      <c r="BF59">
        <f t="shared" ca="1" si="119"/>
        <v>224.9163906016793</v>
      </c>
      <c r="BG59">
        <f t="shared" ca="1" si="119"/>
        <v>220.99003881052442</v>
      </c>
      <c r="BH59">
        <f t="shared" ca="1" si="119"/>
        <v>221.14523857658853</v>
      </c>
      <c r="BI59">
        <f t="shared" ca="1" si="119"/>
        <v>221.49395087757571</v>
      </c>
      <c r="BJ59">
        <f t="shared" ca="1" si="119"/>
        <v>226.20045383521742</v>
      </c>
      <c r="BK59">
        <f t="shared" ca="1" si="119"/>
        <v>225.5370143013443</v>
      </c>
      <c r="BL59">
        <f t="shared" ca="1" si="119"/>
        <v>227.08871435882585</v>
      </c>
      <c r="BM59">
        <f t="shared" ca="1" si="119"/>
        <v>229.84050760458274</v>
      </c>
      <c r="BN59">
        <f t="shared" ca="1" si="119"/>
        <v>234.09200652881805</v>
      </c>
      <c r="BO59">
        <f t="shared" ca="1" si="119"/>
        <v>240.60240939876701</v>
      </c>
      <c r="BP59">
        <f t="shared" ca="1" si="119"/>
        <v>241.00175173971871</v>
      </c>
      <c r="BQ59">
        <f t="shared" ca="1" si="119"/>
        <v>236.80056083426544</v>
      </c>
      <c r="BR59">
        <f t="shared" ref="BR59:CU59" ca="1" si="120">BQ59*(1+$B$2*$B$4+$B$3*SQRT($B$4)*_xlfn.NORM.S.INV(RAND()))</f>
        <v>233.08863522374381</v>
      </c>
      <c r="BS59">
        <f t="shared" ca="1" si="120"/>
        <v>240.22450694303237</v>
      </c>
      <c r="BT59">
        <f t="shared" ca="1" si="120"/>
        <v>240.67981102696851</v>
      </c>
      <c r="BU59">
        <f t="shared" ca="1" si="120"/>
        <v>246.71655076555851</v>
      </c>
      <c r="BV59">
        <f t="shared" ca="1" si="120"/>
        <v>256.55973170955463</v>
      </c>
      <c r="BW59">
        <f t="shared" ca="1" si="120"/>
        <v>258.57059303853106</v>
      </c>
      <c r="BX59">
        <f t="shared" ca="1" si="120"/>
        <v>265.61713325361802</v>
      </c>
      <c r="BY59">
        <f t="shared" ca="1" si="120"/>
        <v>256.12418086949481</v>
      </c>
      <c r="BZ59">
        <f t="shared" ca="1" si="120"/>
        <v>255.32838166245855</v>
      </c>
      <c r="CA59">
        <f t="shared" ca="1" si="120"/>
        <v>258.86896684307658</v>
      </c>
      <c r="CB59">
        <f t="shared" ca="1" si="120"/>
        <v>251.39551480605729</v>
      </c>
      <c r="CC59">
        <f t="shared" ca="1" si="120"/>
        <v>250.28043655994759</v>
      </c>
      <c r="CD59">
        <f t="shared" ca="1" si="120"/>
        <v>249.17392251470889</v>
      </c>
      <c r="CE59">
        <f t="shared" ca="1" si="120"/>
        <v>250.73114085799574</v>
      </c>
      <c r="CF59">
        <f t="shared" ca="1" si="120"/>
        <v>256.98392164299497</v>
      </c>
      <c r="CG59">
        <f t="shared" ca="1" si="120"/>
        <v>255.2188680070355</v>
      </c>
      <c r="CH59">
        <f t="shared" ca="1" si="120"/>
        <v>260.12796692244808</v>
      </c>
      <c r="CI59">
        <f t="shared" ca="1" si="120"/>
        <v>261.98936077563553</v>
      </c>
      <c r="CJ59">
        <f t="shared" ca="1" si="120"/>
        <v>263.5703489392277</v>
      </c>
      <c r="CK59">
        <f t="shared" ca="1" si="120"/>
        <v>267.55007847243758</v>
      </c>
      <c r="CL59">
        <f t="shared" ca="1" si="120"/>
        <v>267.65184528229582</v>
      </c>
      <c r="CM59">
        <f t="shared" ca="1" si="120"/>
        <v>271.94351025504335</v>
      </c>
      <c r="CN59">
        <f t="shared" ca="1" si="120"/>
        <v>270.87659856836711</v>
      </c>
      <c r="CO59">
        <f t="shared" ca="1" si="120"/>
        <v>274.15530283543876</v>
      </c>
      <c r="CP59">
        <f t="shared" ca="1" si="120"/>
        <v>266.92826206391572</v>
      </c>
      <c r="CQ59">
        <f t="shared" ca="1" si="120"/>
        <v>253.03158593678353</v>
      </c>
      <c r="CR59">
        <f t="shared" ca="1" si="120"/>
        <v>248.87990711099968</v>
      </c>
      <c r="CS59">
        <f t="shared" ca="1" si="120"/>
        <v>253.11985255188654</v>
      </c>
      <c r="CT59">
        <f t="shared" ca="1" si="120"/>
        <v>262.4373324827161</v>
      </c>
      <c r="CU59">
        <f t="shared" ca="1" si="120"/>
        <v>257.77868482937521</v>
      </c>
      <c r="CV59">
        <f t="shared" ca="1" si="70"/>
        <v>37.778684829375209</v>
      </c>
      <c r="CW59">
        <f t="shared" ca="1" si="7"/>
        <v>36.322748602716899</v>
      </c>
    </row>
    <row r="60" spans="5:101" x14ac:dyDescent="0.2">
      <c r="E60">
        <v>222.13</v>
      </c>
      <c r="F60">
        <f t="shared" ref="F60:BQ60" ca="1" si="121">E60*(1+$B$2*$B$4+$B$3*SQRT($B$4)*_xlfn.NORM.S.INV(RAND()))</f>
        <v>226.59247168620442</v>
      </c>
      <c r="G60">
        <f t="shared" ca="1" si="121"/>
        <v>230.07094874095614</v>
      </c>
      <c r="H60">
        <f t="shared" ca="1" si="121"/>
        <v>236.59894253825624</v>
      </c>
      <c r="I60">
        <f t="shared" ca="1" si="121"/>
        <v>247.59567885266196</v>
      </c>
      <c r="J60">
        <f t="shared" ca="1" si="121"/>
        <v>245.21322787113061</v>
      </c>
      <c r="K60">
        <f t="shared" ca="1" si="121"/>
        <v>245.49644145363328</v>
      </c>
      <c r="L60">
        <f t="shared" ca="1" si="121"/>
        <v>235.71816419739878</v>
      </c>
      <c r="M60">
        <f t="shared" ca="1" si="121"/>
        <v>231.37407287988489</v>
      </c>
      <c r="N60">
        <f t="shared" ca="1" si="121"/>
        <v>231.06716944138921</v>
      </c>
      <c r="O60">
        <f t="shared" ca="1" si="121"/>
        <v>227.84568517510544</v>
      </c>
      <c r="P60">
        <f t="shared" ca="1" si="121"/>
        <v>224.48757937576366</v>
      </c>
      <c r="Q60">
        <f t="shared" ca="1" si="121"/>
        <v>216.67851577615681</v>
      </c>
      <c r="R60">
        <f t="shared" ca="1" si="121"/>
        <v>215.16693259753788</v>
      </c>
      <c r="S60">
        <f t="shared" ca="1" si="121"/>
        <v>214.68205496432765</v>
      </c>
      <c r="T60">
        <f t="shared" ca="1" si="121"/>
        <v>213.44665965954084</v>
      </c>
      <c r="U60">
        <f t="shared" ca="1" si="121"/>
        <v>215.44777281880351</v>
      </c>
      <c r="V60">
        <f t="shared" ca="1" si="121"/>
        <v>218.64866243308359</v>
      </c>
      <c r="W60">
        <f t="shared" ca="1" si="121"/>
        <v>220.28452247744974</v>
      </c>
      <c r="X60">
        <f t="shared" ca="1" si="121"/>
        <v>213.89736346276686</v>
      </c>
      <c r="Y60">
        <f t="shared" ca="1" si="121"/>
        <v>214.60514424623662</v>
      </c>
      <c r="Z60">
        <f t="shared" ca="1" si="121"/>
        <v>220.637776495098</v>
      </c>
      <c r="AA60">
        <f t="shared" ca="1" si="121"/>
        <v>226.64003348331894</v>
      </c>
      <c r="AB60">
        <f t="shared" ca="1" si="121"/>
        <v>226.07436852005659</v>
      </c>
      <c r="AC60">
        <f t="shared" ca="1" si="121"/>
        <v>231.33025425299672</v>
      </c>
      <c r="AD60">
        <f t="shared" ca="1" si="121"/>
        <v>233.94771002022358</v>
      </c>
      <c r="AE60">
        <f t="shared" ca="1" si="121"/>
        <v>230.98814223207512</v>
      </c>
      <c r="AF60">
        <f t="shared" ca="1" si="121"/>
        <v>233.12576292626875</v>
      </c>
      <c r="AG60">
        <f t="shared" ca="1" si="121"/>
        <v>238.95910240563913</v>
      </c>
      <c r="AH60">
        <f t="shared" ca="1" si="121"/>
        <v>243.59341202608178</v>
      </c>
      <c r="AI60">
        <f t="shared" ca="1" si="121"/>
        <v>239.82299188489887</v>
      </c>
      <c r="AJ60">
        <f t="shared" ca="1" si="121"/>
        <v>245.10476854265386</v>
      </c>
      <c r="AK60">
        <f t="shared" ca="1" si="121"/>
        <v>245.77196624180891</v>
      </c>
      <c r="AL60">
        <f t="shared" ca="1" si="121"/>
        <v>244.01120994273487</v>
      </c>
      <c r="AM60">
        <f t="shared" ca="1" si="121"/>
        <v>238.57073871239143</v>
      </c>
      <c r="AN60">
        <f t="shared" ca="1" si="121"/>
        <v>247.34369846219045</v>
      </c>
      <c r="AO60">
        <f t="shared" ca="1" si="121"/>
        <v>242.37012266740246</v>
      </c>
      <c r="AP60">
        <f t="shared" ca="1" si="121"/>
        <v>233.67844227771127</v>
      </c>
      <c r="AQ60">
        <f t="shared" ca="1" si="121"/>
        <v>235.56995322053984</v>
      </c>
      <c r="AR60">
        <f t="shared" ca="1" si="121"/>
        <v>222.63233250722064</v>
      </c>
      <c r="AS60">
        <f t="shared" ca="1" si="121"/>
        <v>215.21285832423393</v>
      </c>
      <c r="AT60">
        <f t="shared" ca="1" si="121"/>
        <v>220.91242527477189</v>
      </c>
      <c r="AU60">
        <f t="shared" ca="1" si="121"/>
        <v>225.05830440554658</v>
      </c>
      <c r="AV60">
        <f t="shared" ca="1" si="121"/>
        <v>231.17880631483695</v>
      </c>
      <c r="AW60">
        <f t="shared" ca="1" si="121"/>
        <v>233.15126844464987</v>
      </c>
      <c r="AX60">
        <f t="shared" ca="1" si="121"/>
        <v>236.15573921312355</v>
      </c>
      <c r="AY60">
        <f t="shared" ca="1" si="121"/>
        <v>238.51760108890136</v>
      </c>
      <c r="AZ60">
        <f t="shared" ca="1" si="121"/>
        <v>241.29911803256027</v>
      </c>
      <c r="BA60">
        <f t="shared" ca="1" si="121"/>
        <v>244.01212028098976</v>
      </c>
      <c r="BB60">
        <f t="shared" ca="1" si="121"/>
        <v>250.59367493348444</v>
      </c>
      <c r="BC60">
        <f t="shared" ca="1" si="121"/>
        <v>248.39291910317499</v>
      </c>
      <c r="BD60">
        <f t="shared" ca="1" si="121"/>
        <v>244.71460052434929</v>
      </c>
      <c r="BE60">
        <f t="shared" ca="1" si="121"/>
        <v>245.02755766232201</v>
      </c>
      <c r="BF60">
        <f t="shared" ca="1" si="121"/>
        <v>232.59782329876364</v>
      </c>
      <c r="BG60">
        <f t="shared" ca="1" si="121"/>
        <v>229.22418605680289</v>
      </c>
      <c r="BH60">
        <f t="shared" ca="1" si="121"/>
        <v>233.77941891298374</v>
      </c>
      <c r="BI60">
        <f t="shared" ca="1" si="121"/>
        <v>231.06745708406226</v>
      </c>
      <c r="BJ60">
        <f t="shared" ca="1" si="121"/>
        <v>233.85013332554729</v>
      </c>
      <c r="BK60">
        <f t="shared" ca="1" si="121"/>
        <v>242.746061394696</v>
      </c>
      <c r="BL60">
        <f t="shared" ca="1" si="121"/>
        <v>250.84487263199901</v>
      </c>
      <c r="BM60">
        <f t="shared" ca="1" si="121"/>
        <v>251.51626646599229</v>
      </c>
      <c r="BN60">
        <f t="shared" ca="1" si="121"/>
        <v>246.55023427892326</v>
      </c>
      <c r="BO60">
        <f t="shared" ca="1" si="121"/>
        <v>250.62221541468193</v>
      </c>
      <c r="BP60">
        <f t="shared" ca="1" si="121"/>
        <v>242.68695483254288</v>
      </c>
      <c r="BQ60">
        <f t="shared" ca="1" si="121"/>
        <v>253.65553956861942</v>
      </c>
      <c r="BR60">
        <f t="shared" ref="BR60:CU60" ca="1" si="122">BQ60*(1+$B$2*$B$4+$B$3*SQRT($B$4)*_xlfn.NORM.S.INV(RAND()))</f>
        <v>257.46584463259063</v>
      </c>
      <c r="BS60">
        <f t="shared" ca="1" si="122"/>
        <v>250.98467667515627</v>
      </c>
      <c r="BT60">
        <f t="shared" ca="1" si="122"/>
        <v>253.02337885448975</v>
      </c>
      <c r="BU60">
        <f t="shared" ca="1" si="122"/>
        <v>251.5390678773667</v>
      </c>
      <c r="BV60">
        <f t="shared" ca="1" si="122"/>
        <v>258.26702951565784</v>
      </c>
      <c r="BW60">
        <f t="shared" ca="1" si="122"/>
        <v>263.78143910243313</v>
      </c>
      <c r="BX60">
        <f t="shared" ca="1" si="122"/>
        <v>267.64101421733352</v>
      </c>
      <c r="BY60">
        <f t="shared" ca="1" si="122"/>
        <v>264.55568960529507</v>
      </c>
      <c r="BZ60">
        <f t="shared" ca="1" si="122"/>
        <v>270.00023871957916</v>
      </c>
      <c r="CA60">
        <f t="shared" ca="1" si="122"/>
        <v>278.94754743850007</v>
      </c>
      <c r="CB60">
        <f t="shared" ca="1" si="122"/>
        <v>278.89293100902773</v>
      </c>
      <c r="CC60">
        <f t="shared" ca="1" si="122"/>
        <v>267.31035800308564</v>
      </c>
      <c r="CD60">
        <f t="shared" ca="1" si="122"/>
        <v>273.66620423691188</v>
      </c>
      <c r="CE60">
        <f t="shared" ca="1" si="122"/>
        <v>284.945420619743</v>
      </c>
      <c r="CF60">
        <f t="shared" ca="1" si="122"/>
        <v>297.94830769356247</v>
      </c>
      <c r="CG60">
        <f t="shared" ca="1" si="122"/>
        <v>291.39828768189358</v>
      </c>
      <c r="CH60">
        <f t="shared" ca="1" si="122"/>
        <v>291.38162938779811</v>
      </c>
      <c r="CI60">
        <f t="shared" ca="1" si="122"/>
        <v>295.26688503137535</v>
      </c>
      <c r="CJ60">
        <f t="shared" ca="1" si="122"/>
        <v>294.37841294685182</v>
      </c>
      <c r="CK60">
        <f t="shared" ca="1" si="122"/>
        <v>290.69186469770557</v>
      </c>
      <c r="CL60">
        <f t="shared" ca="1" si="122"/>
        <v>285.94802926695633</v>
      </c>
      <c r="CM60">
        <f t="shared" ca="1" si="122"/>
        <v>275.79554490298574</v>
      </c>
      <c r="CN60">
        <f t="shared" ca="1" si="122"/>
        <v>284.42137122856332</v>
      </c>
      <c r="CO60">
        <f t="shared" ca="1" si="122"/>
        <v>275.50746446797558</v>
      </c>
      <c r="CP60">
        <f t="shared" ca="1" si="122"/>
        <v>276.92587233555616</v>
      </c>
      <c r="CQ60">
        <f t="shared" ca="1" si="122"/>
        <v>279.15965118429517</v>
      </c>
      <c r="CR60">
        <f t="shared" ca="1" si="122"/>
        <v>267.61576213427207</v>
      </c>
      <c r="CS60">
        <f t="shared" ca="1" si="122"/>
        <v>253.75921797403709</v>
      </c>
      <c r="CT60">
        <f t="shared" ca="1" si="122"/>
        <v>256.5488109665738</v>
      </c>
      <c r="CU60">
        <f t="shared" ca="1" si="122"/>
        <v>259.91766330817529</v>
      </c>
      <c r="CV60">
        <f t="shared" ca="1" si="70"/>
        <v>39.917663308175293</v>
      </c>
      <c r="CW60">
        <f t="shared" ca="1" si="7"/>
        <v>38.37929392458225</v>
      </c>
    </row>
    <row r="61" spans="5:101" x14ac:dyDescent="0.2">
      <c r="E61">
        <v>222.13</v>
      </c>
      <c r="F61">
        <f t="shared" ref="F61:BQ61" ca="1" si="123">E61*(1+$B$2*$B$4+$B$3*SQRT($B$4)*_xlfn.NORM.S.INV(RAND()))</f>
        <v>220.10716539015425</v>
      </c>
      <c r="G61">
        <f t="shared" ca="1" si="123"/>
        <v>220.28319596863085</v>
      </c>
      <c r="H61">
        <f t="shared" ca="1" si="123"/>
        <v>219.15549811879831</v>
      </c>
      <c r="I61">
        <f t="shared" ca="1" si="123"/>
        <v>219.0562671340418</v>
      </c>
      <c r="J61">
        <f t="shared" ca="1" si="123"/>
        <v>217.98096484385755</v>
      </c>
      <c r="K61">
        <f t="shared" ca="1" si="123"/>
        <v>214.74006467252161</v>
      </c>
      <c r="L61">
        <f t="shared" ca="1" si="123"/>
        <v>216.38253443984357</v>
      </c>
      <c r="M61">
        <f t="shared" ca="1" si="123"/>
        <v>218.10266100627061</v>
      </c>
      <c r="N61">
        <f t="shared" ca="1" si="123"/>
        <v>212.84223009920166</v>
      </c>
      <c r="O61">
        <f t="shared" ca="1" si="123"/>
        <v>215.68877499593842</v>
      </c>
      <c r="P61">
        <f t="shared" ca="1" si="123"/>
        <v>210.96818075338092</v>
      </c>
      <c r="Q61">
        <f t="shared" ca="1" si="123"/>
        <v>209.06073346245986</v>
      </c>
      <c r="R61">
        <f t="shared" ca="1" si="123"/>
        <v>209.29476675076467</v>
      </c>
      <c r="S61">
        <f t="shared" ca="1" si="123"/>
        <v>208.06415041963061</v>
      </c>
      <c r="T61">
        <f t="shared" ca="1" si="123"/>
        <v>209.90906365264496</v>
      </c>
      <c r="U61">
        <f t="shared" ca="1" si="123"/>
        <v>202.74203034610824</v>
      </c>
      <c r="V61">
        <f t="shared" ca="1" si="123"/>
        <v>195.7419416520973</v>
      </c>
      <c r="W61">
        <f t="shared" ca="1" si="123"/>
        <v>193.81516452731159</v>
      </c>
      <c r="X61">
        <f t="shared" ca="1" si="123"/>
        <v>189.04920605871158</v>
      </c>
      <c r="Y61">
        <f t="shared" ca="1" si="123"/>
        <v>194.72412652710818</v>
      </c>
      <c r="Z61">
        <f t="shared" ca="1" si="123"/>
        <v>201.90248817495998</v>
      </c>
      <c r="AA61">
        <f t="shared" ca="1" si="123"/>
        <v>203.70929510981796</v>
      </c>
      <c r="AB61">
        <f t="shared" ca="1" si="123"/>
        <v>205.68911405750057</v>
      </c>
      <c r="AC61">
        <f t="shared" ca="1" si="123"/>
        <v>210.61593781732518</v>
      </c>
      <c r="AD61">
        <f t="shared" ca="1" si="123"/>
        <v>220.07454554283098</v>
      </c>
      <c r="AE61">
        <f t="shared" ca="1" si="123"/>
        <v>216.81802261037117</v>
      </c>
      <c r="AF61">
        <f t="shared" ca="1" si="123"/>
        <v>213.88994177057043</v>
      </c>
      <c r="AG61">
        <f t="shared" ca="1" si="123"/>
        <v>206.74444048715682</v>
      </c>
      <c r="AH61">
        <f t="shared" ca="1" si="123"/>
        <v>208.66567128850559</v>
      </c>
      <c r="AI61">
        <f t="shared" ca="1" si="123"/>
        <v>204.81492437202462</v>
      </c>
      <c r="AJ61">
        <f t="shared" ca="1" si="123"/>
        <v>205.38133798142752</v>
      </c>
      <c r="AK61">
        <f t="shared" ca="1" si="123"/>
        <v>205.73991845699828</v>
      </c>
      <c r="AL61">
        <f t="shared" ca="1" si="123"/>
        <v>204.4233867636969</v>
      </c>
      <c r="AM61">
        <f t="shared" ca="1" si="123"/>
        <v>209.05049214677319</v>
      </c>
      <c r="AN61">
        <f t="shared" ca="1" si="123"/>
        <v>210.27291145870447</v>
      </c>
      <c r="AO61">
        <f t="shared" ca="1" si="123"/>
        <v>212.9528400890255</v>
      </c>
      <c r="AP61">
        <f t="shared" ca="1" si="123"/>
        <v>214.58199061013948</v>
      </c>
      <c r="AQ61">
        <f t="shared" ca="1" si="123"/>
        <v>205.2645155458321</v>
      </c>
      <c r="AR61">
        <f t="shared" ca="1" si="123"/>
        <v>209.31212785510829</v>
      </c>
      <c r="AS61">
        <f t="shared" ca="1" si="123"/>
        <v>208.89911172388258</v>
      </c>
      <c r="AT61">
        <f t="shared" ca="1" si="123"/>
        <v>205.53779602275236</v>
      </c>
      <c r="AU61">
        <f t="shared" ca="1" si="123"/>
        <v>207.67017467007716</v>
      </c>
      <c r="AV61">
        <f t="shared" ca="1" si="123"/>
        <v>214.29535160560991</v>
      </c>
      <c r="AW61">
        <f t="shared" ca="1" si="123"/>
        <v>215.44359418413185</v>
      </c>
      <c r="AX61">
        <f t="shared" ca="1" si="123"/>
        <v>213.94954253417097</v>
      </c>
      <c r="AY61">
        <f t="shared" ca="1" si="123"/>
        <v>212.34369626219674</v>
      </c>
      <c r="AZ61">
        <f t="shared" ca="1" si="123"/>
        <v>211.93391527253706</v>
      </c>
      <c r="BA61">
        <f t="shared" ca="1" si="123"/>
        <v>224.07032214019728</v>
      </c>
      <c r="BB61">
        <f t="shared" ca="1" si="123"/>
        <v>218.07941613197039</v>
      </c>
      <c r="BC61">
        <f t="shared" ca="1" si="123"/>
        <v>229.70873269567181</v>
      </c>
      <c r="BD61">
        <f t="shared" ca="1" si="123"/>
        <v>231.57878308226512</v>
      </c>
      <c r="BE61">
        <f t="shared" ca="1" si="123"/>
        <v>235.44549228862198</v>
      </c>
      <c r="BF61">
        <f t="shared" ca="1" si="123"/>
        <v>236.02473708842021</v>
      </c>
      <c r="BG61">
        <f t="shared" ca="1" si="123"/>
        <v>238.12869866834541</v>
      </c>
      <c r="BH61">
        <f t="shared" ca="1" si="123"/>
        <v>250.23773890282115</v>
      </c>
      <c r="BI61">
        <f t="shared" ca="1" si="123"/>
        <v>263.72257916898656</v>
      </c>
      <c r="BJ61">
        <f t="shared" ca="1" si="123"/>
        <v>270.50377021855695</v>
      </c>
      <c r="BK61">
        <f t="shared" ca="1" si="123"/>
        <v>266.36583900624055</v>
      </c>
      <c r="BL61">
        <f t="shared" ca="1" si="123"/>
        <v>271.28843650520645</v>
      </c>
      <c r="BM61">
        <f t="shared" ca="1" si="123"/>
        <v>270.77334120636556</v>
      </c>
      <c r="BN61">
        <f t="shared" ca="1" si="123"/>
        <v>274.22231813176097</v>
      </c>
      <c r="BO61">
        <f t="shared" ca="1" si="123"/>
        <v>270.57705233420671</v>
      </c>
      <c r="BP61">
        <f t="shared" ca="1" si="123"/>
        <v>269.95456204717311</v>
      </c>
      <c r="BQ61">
        <f t="shared" ca="1" si="123"/>
        <v>274.09248084378515</v>
      </c>
      <c r="BR61">
        <f t="shared" ref="BR61:CU61" ca="1" si="124">BQ61*(1+$B$2*$B$4+$B$3*SQRT($B$4)*_xlfn.NORM.S.INV(RAND()))</f>
        <v>268.90788137860375</v>
      </c>
      <c r="BS61">
        <f t="shared" ca="1" si="124"/>
        <v>263.14594312985059</v>
      </c>
      <c r="BT61">
        <f t="shared" ca="1" si="124"/>
        <v>269.34443343915581</v>
      </c>
      <c r="BU61">
        <f t="shared" ca="1" si="124"/>
        <v>262.88087753528436</v>
      </c>
      <c r="BV61">
        <f t="shared" ca="1" si="124"/>
        <v>260.93538498691174</v>
      </c>
      <c r="BW61">
        <f t="shared" ca="1" si="124"/>
        <v>268.73409779455733</v>
      </c>
      <c r="BX61">
        <f t="shared" ca="1" si="124"/>
        <v>269.89495913062814</v>
      </c>
      <c r="BY61">
        <f t="shared" ca="1" si="124"/>
        <v>267.95777172839701</v>
      </c>
      <c r="BZ61">
        <f t="shared" ca="1" si="124"/>
        <v>273.66653261132905</v>
      </c>
      <c r="CA61">
        <f t="shared" ca="1" si="124"/>
        <v>279.31215769554274</v>
      </c>
      <c r="CB61">
        <f t="shared" ca="1" si="124"/>
        <v>285.60546233055766</v>
      </c>
      <c r="CC61">
        <f t="shared" ca="1" si="124"/>
        <v>289.35710737945379</v>
      </c>
      <c r="CD61">
        <f t="shared" ca="1" si="124"/>
        <v>290.27662719970169</v>
      </c>
      <c r="CE61">
        <f t="shared" ca="1" si="124"/>
        <v>288.57576110402118</v>
      </c>
      <c r="CF61">
        <f t="shared" ca="1" si="124"/>
        <v>286.35149942980928</v>
      </c>
      <c r="CG61">
        <f t="shared" ca="1" si="124"/>
        <v>280.0218141565104</v>
      </c>
      <c r="CH61">
        <f t="shared" ca="1" si="124"/>
        <v>271.20669885775328</v>
      </c>
      <c r="CI61">
        <f t="shared" ca="1" si="124"/>
        <v>272.06722939812306</v>
      </c>
      <c r="CJ61">
        <f t="shared" ca="1" si="124"/>
        <v>267.59412017163731</v>
      </c>
      <c r="CK61">
        <f t="shared" ca="1" si="124"/>
        <v>263.58926183889463</v>
      </c>
      <c r="CL61">
        <f t="shared" ca="1" si="124"/>
        <v>263.09552243384445</v>
      </c>
      <c r="CM61">
        <f t="shared" ca="1" si="124"/>
        <v>267.38816943332728</v>
      </c>
      <c r="CN61">
        <f t="shared" ca="1" si="124"/>
        <v>269.37774770260586</v>
      </c>
      <c r="CO61">
        <f t="shared" ca="1" si="124"/>
        <v>273.27363628858211</v>
      </c>
      <c r="CP61">
        <f t="shared" ca="1" si="124"/>
        <v>258.41861511934906</v>
      </c>
      <c r="CQ61">
        <f t="shared" ca="1" si="124"/>
        <v>255.84374645442617</v>
      </c>
      <c r="CR61">
        <f t="shared" ca="1" si="124"/>
        <v>263.9719514061681</v>
      </c>
      <c r="CS61">
        <f t="shared" ca="1" si="124"/>
        <v>251.47739250466114</v>
      </c>
      <c r="CT61">
        <f t="shared" ca="1" si="124"/>
        <v>248.39568039563287</v>
      </c>
      <c r="CU61">
        <f t="shared" ca="1" si="124"/>
        <v>250.46336516944746</v>
      </c>
      <c r="CV61">
        <f t="shared" ca="1" si="70"/>
        <v>30.463365169447457</v>
      </c>
      <c r="CW61">
        <f t="shared" ca="1" si="7"/>
        <v>29.289350850620966</v>
      </c>
    </row>
    <row r="62" spans="5:101" x14ac:dyDescent="0.2">
      <c r="E62">
        <v>222.13</v>
      </c>
      <c r="F62">
        <f t="shared" ref="F62:BQ62" ca="1" si="125">E62*(1+$B$2*$B$4+$B$3*SQRT($B$4)*_xlfn.NORM.S.INV(RAND()))</f>
        <v>212.08711499326165</v>
      </c>
      <c r="G62">
        <f t="shared" ca="1" si="125"/>
        <v>216.12605246786194</v>
      </c>
      <c r="H62">
        <f t="shared" ca="1" si="125"/>
        <v>223.28446001056764</v>
      </c>
      <c r="I62">
        <f t="shared" ca="1" si="125"/>
        <v>228.60924340639713</v>
      </c>
      <c r="J62">
        <f t="shared" ca="1" si="125"/>
        <v>230.58218522354039</v>
      </c>
      <c r="K62">
        <f t="shared" ca="1" si="125"/>
        <v>221.38059464828831</v>
      </c>
      <c r="L62">
        <f t="shared" ca="1" si="125"/>
        <v>220.88725554969193</v>
      </c>
      <c r="M62">
        <f t="shared" ca="1" si="125"/>
        <v>219.41167069012309</v>
      </c>
      <c r="N62">
        <f t="shared" ca="1" si="125"/>
        <v>219.24884075839645</v>
      </c>
      <c r="O62">
        <f t="shared" ca="1" si="125"/>
        <v>223.33771727150304</v>
      </c>
      <c r="P62">
        <f t="shared" ca="1" si="125"/>
        <v>223.74164389320802</v>
      </c>
      <c r="Q62">
        <f t="shared" ca="1" si="125"/>
        <v>226.98688614942472</v>
      </c>
      <c r="R62">
        <f t="shared" ca="1" si="125"/>
        <v>227.61752448976836</v>
      </c>
      <c r="S62">
        <f t="shared" ca="1" si="125"/>
        <v>234.91470937519699</v>
      </c>
      <c r="T62">
        <f t="shared" ca="1" si="125"/>
        <v>220.06656808839841</v>
      </c>
      <c r="U62">
        <f t="shared" ca="1" si="125"/>
        <v>217.21713461256149</v>
      </c>
      <c r="V62">
        <f t="shared" ca="1" si="125"/>
        <v>214.16307175905206</v>
      </c>
      <c r="W62">
        <f t="shared" ca="1" si="125"/>
        <v>216.6703227137138</v>
      </c>
      <c r="X62">
        <f t="shared" ca="1" si="125"/>
        <v>208.07060952085496</v>
      </c>
      <c r="Y62">
        <f t="shared" ca="1" si="125"/>
        <v>213.70325876758815</v>
      </c>
      <c r="Z62">
        <f t="shared" ca="1" si="125"/>
        <v>209.90551071345743</v>
      </c>
      <c r="AA62">
        <f t="shared" ca="1" si="125"/>
        <v>207.95581977659913</v>
      </c>
      <c r="AB62">
        <f t="shared" ca="1" si="125"/>
        <v>205.57983386111576</v>
      </c>
      <c r="AC62">
        <f t="shared" ca="1" si="125"/>
        <v>200.05590917771596</v>
      </c>
      <c r="AD62">
        <f t="shared" ca="1" si="125"/>
        <v>191.34390206777479</v>
      </c>
      <c r="AE62">
        <f t="shared" ca="1" si="125"/>
        <v>193.14263531623641</v>
      </c>
      <c r="AF62">
        <f t="shared" ca="1" si="125"/>
        <v>192.17501191411407</v>
      </c>
      <c r="AG62">
        <f t="shared" ca="1" si="125"/>
        <v>191.16689796391361</v>
      </c>
      <c r="AH62">
        <f t="shared" ca="1" si="125"/>
        <v>188.60359544244611</v>
      </c>
      <c r="AI62">
        <f t="shared" ca="1" si="125"/>
        <v>187.11147385619299</v>
      </c>
      <c r="AJ62">
        <f t="shared" ca="1" si="125"/>
        <v>194.26528296347672</v>
      </c>
      <c r="AK62">
        <f t="shared" ca="1" si="125"/>
        <v>199.43261608624283</v>
      </c>
      <c r="AL62">
        <f t="shared" ca="1" si="125"/>
        <v>195.346440778176</v>
      </c>
      <c r="AM62">
        <f t="shared" ca="1" si="125"/>
        <v>195.60283247496454</v>
      </c>
      <c r="AN62">
        <f t="shared" ca="1" si="125"/>
        <v>191.34154103810857</v>
      </c>
      <c r="AO62">
        <f t="shared" ca="1" si="125"/>
        <v>186.86586141860391</v>
      </c>
      <c r="AP62">
        <f t="shared" ca="1" si="125"/>
        <v>191.32315420368334</v>
      </c>
      <c r="AQ62">
        <f t="shared" ca="1" si="125"/>
        <v>184.05717006392899</v>
      </c>
      <c r="AR62">
        <f t="shared" ca="1" si="125"/>
        <v>188.00645206090235</v>
      </c>
      <c r="AS62">
        <f t="shared" ca="1" si="125"/>
        <v>190.01456167458613</v>
      </c>
      <c r="AT62">
        <f t="shared" ca="1" si="125"/>
        <v>189.84140962197228</v>
      </c>
      <c r="AU62">
        <f t="shared" ca="1" si="125"/>
        <v>183.70808324936399</v>
      </c>
      <c r="AV62">
        <f t="shared" ca="1" si="125"/>
        <v>182.00605050518718</v>
      </c>
      <c r="AW62">
        <f t="shared" ca="1" si="125"/>
        <v>174.40238320425718</v>
      </c>
      <c r="AX62">
        <f t="shared" ca="1" si="125"/>
        <v>176.41647722606578</v>
      </c>
      <c r="AY62">
        <f t="shared" ca="1" si="125"/>
        <v>176.93138898250089</v>
      </c>
      <c r="AZ62">
        <f t="shared" ca="1" si="125"/>
        <v>179.06287376224984</v>
      </c>
      <c r="BA62">
        <f t="shared" ca="1" si="125"/>
        <v>173.17023312156101</v>
      </c>
      <c r="BB62">
        <f t="shared" ca="1" si="125"/>
        <v>176.70995867145228</v>
      </c>
      <c r="BC62">
        <f t="shared" ca="1" si="125"/>
        <v>177.96820940164312</v>
      </c>
      <c r="BD62">
        <f t="shared" ca="1" si="125"/>
        <v>173.79493535330752</v>
      </c>
      <c r="BE62">
        <f t="shared" ca="1" si="125"/>
        <v>171.39960504914851</v>
      </c>
      <c r="BF62">
        <f t="shared" ca="1" si="125"/>
        <v>168.65470223775063</v>
      </c>
      <c r="BG62">
        <f t="shared" ca="1" si="125"/>
        <v>164.42196924316124</v>
      </c>
      <c r="BH62">
        <f t="shared" ca="1" si="125"/>
        <v>167.53516287719876</v>
      </c>
      <c r="BI62">
        <f t="shared" ca="1" si="125"/>
        <v>166.69495814055091</v>
      </c>
      <c r="BJ62">
        <f t="shared" ca="1" si="125"/>
        <v>171.46620318559042</v>
      </c>
      <c r="BK62">
        <f t="shared" ca="1" si="125"/>
        <v>174.74440507585712</v>
      </c>
      <c r="BL62">
        <f t="shared" ca="1" si="125"/>
        <v>174.53962066205077</v>
      </c>
      <c r="BM62">
        <f t="shared" ca="1" si="125"/>
        <v>166.92173648547742</v>
      </c>
      <c r="BN62">
        <f t="shared" ca="1" si="125"/>
        <v>160.78682448362466</v>
      </c>
      <c r="BO62">
        <f t="shared" ca="1" si="125"/>
        <v>158.64687133096612</v>
      </c>
      <c r="BP62">
        <f t="shared" ca="1" si="125"/>
        <v>153.86200676241702</v>
      </c>
      <c r="BQ62">
        <f t="shared" ca="1" si="125"/>
        <v>150.98274909250244</v>
      </c>
      <c r="BR62">
        <f t="shared" ref="BR62:CU62" ca="1" si="126">BQ62*(1+$B$2*$B$4+$B$3*SQRT($B$4)*_xlfn.NORM.S.INV(RAND()))</f>
        <v>147.97392826554471</v>
      </c>
      <c r="BS62">
        <f t="shared" ca="1" si="126"/>
        <v>148.61577693404189</v>
      </c>
      <c r="BT62">
        <f t="shared" ca="1" si="126"/>
        <v>151.2667032405063</v>
      </c>
      <c r="BU62">
        <f t="shared" ca="1" si="126"/>
        <v>151.22465681785806</v>
      </c>
      <c r="BV62">
        <f t="shared" ca="1" si="126"/>
        <v>154.27160098178678</v>
      </c>
      <c r="BW62">
        <f t="shared" ca="1" si="126"/>
        <v>150.6778727595802</v>
      </c>
      <c r="BX62">
        <f t="shared" ca="1" si="126"/>
        <v>150.33599095588562</v>
      </c>
      <c r="BY62">
        <f t="shared" ca="1" si="126"/>
        <v>149.50762100069241</v>
      </c>
      <c r="BZ62">
        <f t="shared" ca="1" si="126"/>
        <v>142.93529535146541</v>
      </c>
      <c r="CA62">
        <f t="shared" ca="1" si="126"/>
        <v>151.19593160655444</v>
      </c>
      <c r="CB62">
        <f t="shared" ca="1" si="126"/>
        <v>153.7973761888378</v>
      </c>
      <c r="CC62">
        <f t="shared" ca="1" si="126"/>
        <v>152.84035619988634</v>
      </c>
      <c r="CD62">
        <f t="shared" ca="1" si="126"/>
        <v>150.15673524331564</v>
      </c>
      <c r="CE62">
        <f t="shared" ca="1" si="126"/>
        <v>155.1356900193461</v>
      </c>
      <c r="CF62">
        <f t="shared" ca="1" si="126"/>
        <v>158.94326641412599</v>
      </c>
      <c r="CG62">
        <f t="shared" ca="1" si="126"/>
        <v>160.9042894340777</v>
      </c>
      <c r="CH62">
        <f t="shared" ca="1" si="126"/>
        <v>162.41149363068078</v>
      </c>
      <c r="CI62">
        <f t="shared" ca="1" si="126"/>
        <v>158.24933108526781</v>
      </c>
      <c r="CJ62">
        <f t="shared" ca="1" si="126"/>
        <v>167.02002952667084</v>
      </c>
      <c r="CK62">
        <f t="shared" ca="1" si="126"/>
        <v>166.5652915571543</v>
      </c>
      <c r="CL62">
        <f t="shared" ca="1" si="126"/>
        <v>164.08641949697358</v>
      </c>
      <c r="CM62">
        <f t="shared" ca="1" si="126"/>
        <v>169.79704833063229</v>
      </c>
      <c r="CN62">
        <f t="shared" ca="1" si="126"/>
        <v>168.47332009848196</v>
      </c>
      <c r="CO62">
        <f t="shared" ca="1" si="126"/>
        <v>170.97025220797798</v>
      </c>
      <c r="CP62">
        <f t="shared" ca="1" si="126"/>
        <v>168.90328249820087</v>
      </c>
      <c r="CQ62">
        <f t="shared" ca="1" si="126"/>
        <v>163.02708336347342</v>
      </c>
      <c r="CR62">
        <f t="shared" ca="1" si="126"/>
        <v>161.63126523651931</v>
      </c>
      <c r="CS62">
        <f t="shared" ca="1" si="126"/>
        <v>161.87725147400906</v>
      </c>
      <c r="CT62">
        <f t="shared" ca="1" si="126"/>
        <v>162.46681990126604</v>
      </c>
      <c r="CU62">
        <f t="shared" ca="1" si="126"/>
        <v>162.37584331194583</v>
      </c>
      <c r="CV62">
        <f t="shared" ca="1" si="70"/>
        <v>0</v>
      </c>
      <c r="CW62">
        <f t="shared" ca="1" si="7"/>
        <v>0</v>
      </c>
    </row>
    <row r="63" spans="5:101" x14ac:dyDescent="0.2">
      <c r="E63">
        <v>222.13</v>
      </c>
      <c r="F63">
        <f t="shared" ref="F63:BQ63" ca="1" si="127">E63*(1+$B$2*$B$4+$B$3*SQRT($B$4)*_xlfn.NORM.S.INV(RAND()))</f>
        <v>218.63703781827795</v>
      </c>
      <c r="G63">
        <f t="shared" ca="1" si="127"/>
        <v>217.62128196786878</v>
      </c>
      <c r="H63">
        <f t="shared" ca="1" si="127"/>
        <v>224.29496238358121</v>
      </c>
      <c r="I63">
        <f t="shared" ca="1" si="127"/>
        <v>224.55691110042082</v>
      </c>
      <c r="J63">
        <f t="shared" ca="1" si="127"/>
        <v>229.08494185377972</v>
      </c>
      <c r="K63">
        <f t="shared" ca="1" si="127"/>
        <v>238.06707822385542</v>
      </c>
      <c r="L63">
        <f t="shared" ca="1" si="127"/>
        <v>226.79941783519089</v>
      </c>
      <c r="M63">
        <f t="shared" ca="1" si="127"/>
        <v>229.84336214963085</v>
      </c>
      <c r="N63">
        <f t="shared" ca="1" si="127"/>
        <v>239.73430859923118</v>
      </c>
      <c r="O63">
        <f t="shared" ca="1" si="127"/>
        <v>236.50822093274442</v>
      </c>
      <c r="P63">
        <f t="shared" ca="1" si="127"/>
        <v>232.686928763514</v>
      </c>
      <c r="Q63">
        <f t="shared" ca="1" si="127"/>
        <v>228.65064631204675</v>
      </c>
      <c r="R63">
        <f t="shared" ca="1" si="127"/>
        <v>227.62533324315444</v>
      </c>
      <c r="S63">
        <f t="shared" ca="1" si="127"/>
        <v>224.91950424992166</v>
      </c>
      <c r="T63">
        <f t="shared" ca="1" si="127"/>
        <v>204.20425649360703</v>
      </c>
      <c r="U63">
        <f t="shared" ca="1" si="127"/>
        <v>205.26880723527782</v>
      </c>
      <c r="V63">
        <f t="shared" ca="1" si="127"/>
        <v>200.88218776238787</v>
      </c>
      <c r="W63">
        <f t="shared" ca="1" si="127"/>
        <v>203.11243314044253</v>
      </c>
      <c r="X63">
        <f t="shared" ca="1" si="127"/>
        <v>206.59219948746991</v>
      </c>
      <c r="Y63">
        <f t="shared" ca="1" si="127"/>
        <v>209.26709879184369</v>
      </c>
      <c r="Z63">
        <f t="shared" ca="1" si="127"/>
        <v>216.80249416785509</v>
      </c>
      <c r="AA63">
        <f t="shared" ca="1" si="127"/>
        <v>221.11251272564311</v>
      </c>
      <c r="AB63">
        <f t="shared" ca="1" si="127"/>
        <v>227.8357072039482</v>
      </c>
      <c r="AC63">
        <f t="shared" ca="1" si="127"/>
        <v>220.67092466871162</v>
      </c>
      <c r="AD63">
        <f t="shared" ca="1" si="127"/>
        <v>212.65042215111532</v>
      </c>
      <c r="AE63">
        <f t="shared" ca="1" si="127"/>
        <v>215.50566597166741</v>
      </c>
      <c r="AF63">
        <f t="shared" ca="1" si="127"/>
        <v>215.8173130526082</v>
      </c>
      <c r="AG63">
        <f t="shared" ca="1" si="127"/>
        <v>220.57013331884087</v>
      </c>
      <c r="AH63">
        <f t="shared" ca="1" si="127"/>
        <v>227.96144426976957</v>
      </c>
      <c r="AI63">
        <f t="shared" ca="1" si="127"/>
        <v>233.72974747973956</v>
      </c>
      <c r="AJ63">
        <f t="shared" ca="1" si="127"/>
        <v>236.66949493175809</v>
      </c>
      <c r="AK63">
        <f t="shared" ca="1" si="127"/>
        <v>241.98604429962373</v>
      </c>
      <c r="AL63">
        <f t="shared" ca="1" si="127"/>
        <v>241.12675867551295</v>
      </c>
      <c r="AM63">
        <f t="shared" ca="1" si="127"/>
        <v>247.27191607085356</v>
      </c>
      <c r="AN63">
        <f t="shared" ca="1" si="127"/>
        <v>244.41747584556353</v>
      </c>
      <c r="AO63">
        <f t="shared" ca="1" si="127"/>
        <v>242.7852728864095</v>
      </c>
      <c r="AP63">
        <f t="shared" ca="1" si="127"/>
        <v>240.15370921001505</v>
      </c>
      <c r="AQ63">
        <f t="shared" ca="1" si="127"/>
        <v>236.14574222657373</v>
      </c>
      <c r="AR63">
        <f t="shared" ca="1" si="127"/>
        <v>233.77122420465656</v>
      </c>
      <c r="AS63">
        <f t="shared" ca="1" si="127"/>
        <v>239.53747537609883</v>
      </c>
      <c r="AT63">
        <f t="shared" ca="1" si="127"/>
        <v>240.29335919930202</v>
      </c>
      <c r="AU63">
        <f t="shared" ca="1" si="127"/>
        <v>242.49446246715522</v>
      </c>
      <c r="AV63">
        <f t="shared" ca="1" si="127"/>
        <v>246.95041463248634</v>
      </c>
      <c r="AW63">
        <f t="shared" ca="1" si="127"/>
        <v>249.61616578057891</v>
      </c>
      <c r="AX63">
        <f t="shared" ca="1" si="127"/>
        <v>241.4718632863169</v>
      </c>
      <c r="AY63">
        <f t="shared" ca="1" si="127"/>
        <v>242.1791637022985</v>
      </c>
      <c r="AZ63">
        <f t="shared" ca="1" si="127"/>
        <v>245.01404185803923</v>
      </c>
      <c r="BA63">
        <f t="shared" ca="1" si="127"/>
        <v>240.3015497535539</v>
      </c>
      <c r="BB63">
        <f t="shared" ca="1" si="127"/>
        <v>240.12406298949927</v>
      </c>
      <c r="BC63">
        <f t="shared" ca="1" si="127"/>
        <v>246.05478799376192</v>
      </c>
      <c r="BD63">
        <f t="shared" ca="1" si="127"/>
        <v>243.18572335367605</v>
      </c>
      <c r="BE63">
        <f t="shared" ca="1" si="127"/>
        <v>239.94363071066431</v>
      </c>
      <c r="BF63">
        <f t="shared" ca="1" si="127"/>
        <v>233.02869243740852</v>
      </c>
      <c r="BG63">
        <f t="shared" ca="1" si="127"/>
        <v>234.08860048773948</v>
      </c>
      <c r="BH63">
        <f t="shared" ca="1" si="127"/>
        <v>232.79136201886547</v>
      </c>
      <c r="BI63">
        <f t="shared" ca="1" si="127"/>
        <v>238.11356395987124</v>
      </c>
      <c r="BJ63">
        <f t="shared" ca="1" si="127"/>
        <v>235.24923104930178</v>
      </c>
      <c r="BK63">
        <f t="shared" ca="1" si="127"/>
        <v>239.37880353140716</v>
      </c>
      <c r="BL63">
        <f t="shared" ca="1" si="127"/>
        <v>239.68301316869525</v>
      </c>
      <c r="BM63">
        <f t="shared" ca="1" si="127"/>
        <v>231.39175616820654</v>
      </c>
      <c r="BN63">
        <f t="shared" ca="1" si="127"/>
        <v>237.15776442899889</v>
      </c>
      <c r="BO63">
        <f t="shared" ca="1" si="127"/>
        <v>243.22676342748082</v>
      </c>
      <c r="BP63">
        <f t="shared" ca="1" si="127"/>
        <v>239.76035734460123</v>
      </c>
      <c r="BQ63">
        <f t="shared" ca="1" si="127"/>
        <v>243.96767204999711</v>
      </c>
      <c r="BR63">
        <f t="shared" ref="BR63:CU63" ca="1" si="128">BQ63*(1+$B$2*$B$4+$B$3*SQRT($B$4)*_xlfn.NORM.S.INV(RAND()))</f>
        <v>240.78776192559434</v>
      </c>
      <c r="BS63">
        <f t="shared" ca="1" si="128"/>
        <v>256.99390469788472</v>
      </c>
      <c r="BT63">
        <f t="shared" ca="1" si="128"/>
        <v>251.25720403913095</v>
      </c>
      <c r="BU63">
        <f t="shared" ca="1" si="128"/>
        <v>252.25103496839031</v>
      </c>
      <c r="BV63">
        <f t="shared" ca="1" si="128"/>
        <v>253.8336864691519</v>
      </c>
      <c r="BW63">
        <f t="shared" ca="1" si="128"/>
        <v>256.58133373992024</v>
      </c>
      <c r="BX63">
        <f t="shared" ca="1" si="128"/>
        <v>253.87201354067179</v>
      </c>
      <c r="BY63">
        <f t="shared" ca="1" si="128"/>
        <v>255.54980844448562</v>
      </c>
      <c r="BZ63">
        <f t="shared" ca="1" si="128"/>
        <v>261.999225585678</v>
      </c>
      <c r="CA63">
        <f t="shared" ca="1" si="128"/>
        <v>258.60573015660896</v>
      </c>
      <c r="CB63">
        <f t="shared" ca="1" si="128"/>
        <v>260.46823466146049</v>
      </c>
      <c r="CC63">
        <f t="shared" ca="1" si="128"/>
        <v>258.80128769147149</v>
      </c>
      <c r="CD63">
        <f t="shared" ca="1" si="128"/>
        <v>252.80191841696706</v>
      </c>
      <c r="CE63">
        <f t="shared" ca="1" si="128"/>
        <v>264.11590690059757</v>
      </c>
      <c r="CF63">
        <f t="shared" ca="1" si="128"/>
        <v>277.09718396116824</v>
      </c>
      <c r="CG63">
        <f t="shared" ca="1" si="128"/>
        <v>270.41746823949552</v>
      </c>
      <c r="CH63">
        <f t="shared" ca="1" si="128"/>
        <v>275.70739195092392</v>
      </c>
      <c r="CI63">
        <f t="shared" ca="1" si="128"/>
        <v>270.32336492030288</v>
      </c>
      <c r="CJ63">
        <f t="shared" ca="1" si="128"/>
        <v>274.37500175687899</v>
      </c>
      <c r="CK63">
        <f t="shared" ca="1" si="128"/>
        <v>282.57097365561191</v>
      </c>
      <c r="CL63">
        <f t="shared" ca="1" si="128"/>
        <v>293.47978846193854</v>
      </c>
      <c r="CM63">
        <f t="shared" ca="1" si="128"/>
        <v>305.17239649569012</v>
      </c>
      <c r="CN63">
        <f t="shared" ca="1" si="128"/>
        <v>304.67166239485147</v>
      </c>
      <c r="CO63">
        <f t="shared" ca="1" si="128"/>
        <v>309.40623582815499</v>
      </c>
      <c r="CP63">
        <f t="shared" ca="1" si="128"/>
        <v>295.95877609348366</v>
      </c>
      <c r="CQ63">
        <f t="shared" ca="1" si="128"/>
        <v>294.88323076136749</v>
      </c>
      <c r="CR63">
        <f t="shared" ca="1" si="128"/>
        <v>294.27672012253197</v>
      </c>
      <c r="CS63">
        <f t="shared" ca="1" si="128"/>
        <v>299.49664654238211</v>
      </c>
      <c r="CT63">
        <f t="shared" ca="1" si="128"/>
        <v>309.15741438180532</v>
      </c>
      <c r="CU63">
        <f t="shared" ca="1" si="128"/>
        <v>310.18674691226556</v>
      </c>
      <c r="CV63">
        <f t="shared" ca="1" si="70"/>
        <v>90.186746912265562</v>
      </c>
      <c r="CW63">
        <f t="shared" ca="1" si="7"/>
        <v>86.711079281508503</v>
      </c>
    </row>
    <row r="64" spans="5:101" x14ac:dyDescent="0.2">
      <c r="E64">
        <v>222.13</v>
      </c>
      <c r="F64">
        <f t="shared" ref="F64:BQ64" ca="1" si="129">E64*(1+$B$2*$B$4+$B$3*SQRT($B$4)*_xlfn.NORM.S.INV(RAND()))</f>
        <v>228.55128534700498</v>
      </c>
      <c r="G64">
        <f t="shared" ca="1" si="129"/>
        <v>232.53370486524099</v>
      </c>
      <c r="H64">
        <f t="shared" ca="1" si="129"/>
        <v>247.55510851941347</v>
      </c>
      <c r="I64">
        <f t="shared" ca="1" si="129"/>
        <v>246.57438385100525</v>
      </c>
      <c r="J64">
        <f t="shared" ca="1" si="129"/>
        <v>241.76614073962381</v>
      </c>
      <c r="K64">
        <f t="shared" ca="1" si="129"/>
        <v>235.38688727931489</v>
      </c>
      <c r="L64">
        <f t="shared" ca="1" si="129"/>
        <v>222.60108840219274</v>
      </c>
      <c r="M64">
        <f t="shared" ca="1" si="129"/>
        <v>214.61368390002389</v>
      </c>
      <c r="N64">
        <f t="shared" ca="1" si="129"/>
        <v>221.8690662109143</v>
      </c>
      <c r="O64">
        <f t="shared" ca="1" si="129"/>
        <v>219.86694665963026</v>
      </c>
      <c r="P64">
        <f t="shared" ca="1" si="129"/>
        <v>221.46247340918021</v>
      </c>
      <c r="Q64">
        <f t="shared" ca="1" si="129"/>
        <v>225.10786161897022</v>
      </c>
      <c r="R64">
        <f t="shared" ca="1" si="129"/>
        <v>228.27501664156003</v>
      </c>
      <c r="S64">
        <f t="shared" ca="1" si="129"/>
        <v>230.45756466840268</v>
      </c>
      <c r="T64">
        <f t="shared" ca="1" si="129"/>
        <v>238.08420921933052</v>
      </c>
      <c r="U64">
        <f t="shared" ca="1" si="129"/>
        <v>227.11787865348552</v>
      </c>
      <c r="V64">
        <f t="shared" ca="1" si="129"/>
        <v>231.34118876790208</v>
      </c>
      <c r="W64">
        <f t="shared" ca="1" si="129"/>
        <v>224.5496945355911</v>
      </c>
      <c r="X64">
        <f t="shared" ca="1" si="129"/>
        <v>225.7174413623564</v>
      </c>
      <c r="Y64">
        <f t="shared" ca="1" si="129"/>
        <v>221.52439687975516</v>
      </c>
      <c r="Z64">
        <f t="shared" ca="1" si="129"/>
        <v>225.49882456120562</v>
      </c>
      <c r="AA64">
        <f t="shared" ca="1" si="129"/>
        <v>221.95531573428812</v>
      </c>
      <c r="AB64">
        <f t="shared" ca="1" si="129"/>
        <v>218.38265025240511</v>
      </c>
      <c r="AC64">
        <f t="shared" ca="1" si="129"/>
        <v>217.4230490326581</v>
      </c>
      <c r="AD64">
        <f t="shared" ca="1" si="129"/>
        <v>220.18724946319128</v>
      </c>
      <c r="AE64">
        <f t="shared" ca="1" si="129"/>
        <v>217.8525076165221</v>
      </c>
      <c r="AF64">
        <f t="shared" ca="1" si="129"/>
        <v>223.216992081223</v>
      </c>
      <c r="AG64">
        <f t="shared" ca="1" si="129"/>
        <v>227.38187787157514</v>
      </c>
      <c r="AH64">
        <f t="shared" ca="1" si="129"/>
        <v>232.94002724493305</v>
      </c>
      <c r="AI64">
        <f t="shared" ca="1" si="129"/>
        <v>230.63127156061719</v>
      </c>
      <c r="AJ64">
        <f t="shared" ca="1" si="129"/>
        <v>230.37886901145941</v>
      </c>
      <c r="AK64">
        <f t="shared" ca="1" si="129"/>
        <v>233.87852394783991</v>
      </c>
      <c r="AL64">
        <f t="shared" ca="1" si="129"/>
        <v>235.25219503470473</v>
      </c>
      <c r="AM64">
        <f t="shared" ca="1" si="129"/>
        <v>238.99279459041153</v>
      </c>
      <c r="AN64">
        <f t="shared" ca="1" si="129"/>
        <v>234.98732181211707</v>
      </c>
      <c r="AO64">
        <f t="shared" ca="1" si="129"/>
        <v>239.13437936422901</v>
      </c>
      <c r="AP64">
        <f t="shared" ca="1" si="129"/>
        <v>226.56086134751379</v>
      </c>
      <c r="AQ64">
        <f t="shared" ca="1" si="129"/>
        <v>224.70575303129073</v>
      </c>
      <c r="AR64">
        <f t="shared" ca="1" si="129"/>
        <v>231.29025796737113</v>
      </c>
      <c r="AS64">
        <f t="shared" ca="1" si="129"/>
        <v>236.10969498690272</v>
      </c>
      <c r="AT64">
        <f t="shared" ca="1" si="129"/>
        <v>230.24393240962269</v>
      </c>
      <c r="AU64">
        <f t="shared" ca="1" si="129"/>
        <v>239.44503162449996</v>
      </c>
      <c r="AV64">
        <f t="shared" ca="1" si="129"/>
        <v>249.03672037142735</v>
      </c>
      <c r="AW64">
        <f t="shared" ca="1" si="129"/>
        <v>245.79533000691382</v>
      </c>
      <c r="AX64">
        <f t="shared" ca="1" si="129"/>
        <v>235.90696692310289</v>
      </c>
      <c r="AY64">
        <f t="shared" ca="1" si="129"/>
        <v>233.00127133753458</v>
      </c>
      <c r="AZ64">
        <f t="shared" ca="1" si="129"/>
        <v>231.12851976799016</v>
      </c>
      <c r="BA64">
        <f t="shared" ca="1" si="129"/>
        <v>236.67982940515003</v>
      </c>
      <c r="BB64">
        <f t="shared" ca="1" si="129"/>
        <v>233.97196834312695</v>
      </c>
      <c r="BC64">
        <f t="shared" ca="1" si="129"/>
        <v>223.23449417123359</v>
      </c>
      <c r="BD64">
        <f t="shared" ca="1" si="129"/>
        <v>232.9986430811374</v>
      </c>
      <c r="BE64">
        <f t="shared" ca="1" si="129"/>
        <v>241.27804188464879</v>
      </c>
      <c r="BF64">
        <f t="shared" ca="1" si="129"/>
        <v>230.03703164056395</v>
      </c>
      <c r="BG64">
        <f t="shared" ca="1" si="129"/>
        <v>223.24368252292555</v>
      </c>
      <c r="BH64">
        <f t="shared" ca="1" si="129"/>
        <v>224.00954648386056</v>
      </c>
      <c r="BI64">
        <f t="shared" ca="1" si="129"/>
        <v>217.91074612429227</v>
      </c>
      <c r="BJ64">
        <f t="shared" ca="1" si="129"/>
        <v>219.09217470691095</v>
      </c>
      <c r="BK64">
        <f t="shared" ca="1" si="129"/>
        <v>213.73843922458343</v>
      </c>
      <c r="BL64">
        <f t="shared" ca="1" si="129"/>
        <v>221.03600694862507</v>
      </c>
      <c r="BM64">
        <f t="shared" ca="1" si="129"/>
        <v>224.42772899229101</v>
      </c>
      <c r="BN64">
        <f t="shared" ca="1" si="129"/>
        <v>220.89845603179361</v>
      </c>
      <c r="BO64">
        <f t="shared" ca="1" si="129"/>
        <v>218.35842683520565</v>
      </c>
      <c r="BP64">
        <f t="shared" ca="1" si="129"/>
        <v>217.47941377697495</v>
      </c>
      <c r="BQ64">
        <f t="shared" ca="1" si="129"/>
        <v>217.90296218504625</v>
      </c>
      <c r="BR64">
        <f t="shared" ref="BR64:CU64" ca="1" si="130">BQ64*(1+$B$2*$B$4+$B$3*SQRT($B$4)*_xlfn.NORM.S.INV(RAND()))</f>
        <v>213.79152401435616</v>
      </c>
      <c r="BS64">
        <f t="shared" ca="1" si="130"/>
        <v>223.18330089355399</v>
      </c>
      <c r="BT64">
        <f t="shared" ca="1" si="130"/>
        <v>220.58458418450297</v>
      </c>
      <c r="BU64">
        <f t="shared" ca="1" si="130"/>
        <v>218.26780493030415</v>
      </c>
      <c r="BV64">
        <f t="shared" ca="1" si="130"/>
        <v>218.82382401287595</v>
      </c>
      <c r="BW64">
        <f t="shared" ca="1" si="130"/>
        <v>218.21337460257823</v>
      </c>
      <c r="BX64">
        <f t="shared" ca="1" si="130"/>
        <v>211.85560274909159</v>
      </c>
      <c r="BY64">
        <f t="shared" ca="1" si="130"/>
        <v>206.23403193404755</v>
      </c>
      <c r="BZ64">
        <f t="shared" ca="1" si="130"/>
        <v>212.16853640409809</v>
      </c>
      <c r="CA64">
        <f t="shared" ca="1" si="130"/>
        <v>212.29240497951957</v>
      </c>
      <c r="CB64">
        <f t="shared" ca="1" si="130"/>
        <v>210.2095660591921</v>
      </c>
      <c r="CC64">
        <f t="shared" ca="1" si="130"/>
        <v>219.08439111601163</v>
      </c>
      <c r="CD64">
        <f t="shared" ca="1" si="130"/>
        <v>218.97106703153392</v>
      </c>
      <c r="CE64">
        <f t="shared" ca="1" si="130"/>
        <v>217.51362292071789</v>
      </c>
      <c r="CF64">
        <f t="shared" ca="1" si="130"/>
        <v>212.69800111259687</v>
      </c>
      <c r="CG64">
        <f t="shared" ca="1" si="130"/>
        <v>218.58209492257777</v>
      </c>
      <c r="CH64">
        <f t="shared" ca="1" si="130"/>
        <v>213.81597751275774</v>
      </c>
      <c r="CI64">
        <f t="shared" ca="1" si="130"/>
        <v>221.75515905956411</v>
      </c>
      <c r="CJ64">
        <f t="shared" ca="1" si="130"/>
        <v>216.58765425384235</v>
      </c>
      <c r="CK64">
        <f t="shared" ca="1" si="130"/>
        <v>217.23342913544832</v>
      </c>
      <c r="CL64">
        <f t="shared" ca="1" si="130"/>
        <v>209.5092540550252</v>
      </c>
      <c r="CM64">
        <f t="shared" ca="1" si="130"/>
        <v>220.0952972882254</v>
      </c>
      <c r="CN64">
        <f t="shared" ca="1" si="130"/>
        <v>220.14783783344146</v>
      </c>
      <c r="CO64">
        <f t="shared" ca="1" si="130"/>
        <v>227.91095157892966</v>
      </c>
      <c r="CP64">
        <f t="shared" ca="1" si="130"/>
        <v>236.52238193723562</v>
      </c>
      <c r="CQ64">
        <f t="shared" ca="1" si="130"/>
        <v>239.16621996931028</v>
      </c>
      <c r="CR64">
        <f t="shared" ca="1" si="130"/>
        <v>231.55337400938595</v>
      </c>
      <c r="CS64">
        <f t="shared" ca="1" si="130"/>
        <v>228.59116538641283</v>
      </c>
      <c r="CT64">
        <f t="shared" ca="1" si="130"/>
        <v>225.19458592050279</v>
      </c>
      <c r="CU64">
        <f t="shared" ca="1" si="130"/>
        <v>219.33345991998763</v>
      </c>
      <c r="CV64">
        <f t="shared" ca="1" si="70"/>
        <v>0</v>
      </c>
      <c r="CW64">
        <f t="shared" ca="1" si="7"/>
        <v>0</v>
      </c>
    </row>
    <row r="65" spans="5:101" x14ac:dyDescent="0.2">
      <c r="E65">
        <v>222.13</v>
      </c>
      <c r="F65">
        <f t="shared" ref="F65:BQ65" ca="1" si="131">E65*(1+$B$2*$B$4+$B$3*SQRT($B$4)*_xlfn.NORM.S.INV(RAND()))</f>
        <v>223.06803890176209</v>
      </c>
      <c r="G65">
        <f t="shared" ca="1" si="131"/>
        <v>226.24155320662908</v>
      </c>
      <c r="H65">
        <f t="shared" ca="1" si="131"/>
        <v>223.59404178562687</v>
      </c>
      <c r="I65">
        <f t="shared" ca="1" si="131"/>
        <v>228.7724468630999</v>
      </c>
      <c r="J65">
        <f t="shared" ca="1" si="131"/>
        <v>216.72142850529985</v>
      </c>
      <c r="K65">
        <f t="shared" ca="1" si="131"/>
        <v>220.71022156531629</v>
      </c>
      <c r="L65">
        <f t="shared" ca="1" si="131"/>
        <v>218.86130772995202</v>
      </c>
      <c r="M65">
        <f t="shared" ca="1" si="131"/>
        <v>221.49028279761686</v>
      </c>
      <c r="N65">
        <f t="shared" ca="1" si="131"/>
        <v>221.27166352181206</v>
      </c>
      <c r="O65">
        <f t="shared" ca="1" si="131"/>
        <v>228.73109670430304</v>
      </c>
      <c r="P65">
        <f t="shared" ca="1" si="131"/>
        <v>229.2904431454991</v>
      </c>
      <c r="Q65">
        <f t="shared" ca="1" si="131"/>
        <v>230.78537704353263</v>
      </c>
      <c r="R65">
        <f t="shared" ca="1" si="131"/>
        <v>227.57771823963984</v>
      </c>
      <c r="S65">
        <f t="shared" ca="1" si="131"/>
        <v>212.95527452139609</v>
      </c>
      <c r="T65">
        <f t="shared" ca="1" si="131"/>
        <v>214.32138529765771</v>
      </c>
      <c r="U65">
        <f t="shared" ca="1" si="131"/>
        <v>208.56090495447725</v>
      </c>
      <c r="V65">
        <f t="shared" ca="1" si="131"/>
        <v>202.37033097017351</v>
      </c>
      <c r="W65">
        <f t="shared" ca="1" si="131"/>
        <v>205.23937832208105</v>
      </c>
      <c r="X65">
        <f t="shared" ca="1" si="131"/>
        <v>196.75286482424011</v>
      </c>
      <c r="Y65">
        <f t="shared" ca="1" si="131"/>
        <v>194.31112431774136</v>
      </c>
      <c r="Z65">
        <f t="shared" ca="1" si="131"/>
        <v>187.16702764661784</v>
      </c>
      <c r="AA65">
        <f t="shared" ca="1" si="131"/>
        <v>191.55076257147189</v>
      </c>
      <c r="AB65">
        <f t="shared" ca="1" si="131"/>
        <v>189.17607872866282</v>
      </c>
      <c r="AC65">
        <f t="shared" ca="1" si="131"/>
        <v>188.3665136927504</v>
      </c>
      <c r="AD65">
        <f t="shared" ca="1" si="131"/>
        <v>186.82066441251615</v>
      </c>
      <c r="AE65">
        <f t="shared" ca="1" si="131"/>
        <v>192.66727650526269</v>
      </c>
      <c r="AF65">
        <f t="shared" ca="1" si="131"/>
        <v>197.08449147464097</v>
      </c>
      <c r="AG65">
        <f t="shared" ca="1" si="131"/>
        <v>191.98410786947551</v>
      </c>
      <c r="AH65">
        <f t="shared" ca="1" si="131"/>
        <v>193.774256161734</v>
      </c>
      <c r="AI65">
        <f t="shared" ca="1" si="131"/>
        <v>200.10335465594562</v>
      </c>
      <c r="AJ65">
        <f t="shared" ca="1" si="131"/>
        <v>209.15610149103489</v>
      </c>
      <c r="AK65">
        <f t="shared" ca="1" si="131"/>
        <v>210.99248506763084</v>
      </c>
      <c r="AL65">
        <f t="shared" ca="1" si="131"/>
        <v>213.07204052200231</v>
      </c>
      <c r="AM65">
        <f t="shared" ca="1" si="131"/>
        <v>214.22351961536245</v>
      </c>
      <c r="AN65">
        <f t="shared" ca="1" si="131"/>
        <v>218.51672413525668</v>
      </c>
      <c r="AO65">
        <f t="shared" ca="1" si="131"/>
        <v>215.97472903355353</v>
      </c>
      <c r="AP65">
        <f t="shared" ca="1" si="131"/>
        <v>213.36883535701753</v>
      </c>
      <c r="AQ65">
        <f t="shared" ca="1" si="131"/>
        <v>200.8354212357836</v>
      </c>
      <c r="AR65">
        <f t="shared" ca="1" si="131"/>
        <v>207.3396780915636</v>
      </c>
      <c r="AS65">
        <f t="shared" ca="1" si="131"/>
        <v>207.41735836204953</v>
      </c>
      <c r="AT65">
        <f t="shared" ca="1" si="131"/>
        <v>202.8825460060138</v>
      </c>
      <c r="AU65">
        <f t="shared" ca="1" si="131"/>
        <v>202.19898409057797</v>
      </c>
      <c r="AV65">
        <f t="shared" ca="1" si="131"/>
        <v>205.70127445323556</v>
      </c>
      <c r="AW65">
        <f t="shared" ca="1" si="131"/>
        <v>210.60227029866817</v>
      </c>
      <c r="AX65">
        <f t="shared" ca="1" si="131"/>
        <v>206.1094596184777</v>
      </c>
      <c r="AY65">
        <f t="shared" ca="1" si="131"/>
        <v>204.61001026226197</v>
      </c>
      <c r="AZ65">
        <f t="shared" ca="1" si="131"/>
        <v>212.64974688975281</v>
      </c>
      <c r="BA65">
        <f t="shared" ca="1" si="131"/>
        <v>207.2168979051923</v>
      </c>
      <c r="BB65">
        <f t="shared" ca="1" si="131"/>
        <v>208.0429033204332</v>
      </c>
      <c r="BC65">
        <f t="shared" ca="1" si="131"/>
        <v>197.51750464988075</v>
      </c>
      <c r="BD65">
        <f t="shared" ca="1" si="131"/>
        <v>195.06956052016761</v>
      </c>
      <c r="BE65">
        <f t="shared" ca="1" si="131"/>
        <v>193.896905609437</v>
      </c>
      <c r="BF65">
        <f t="shared" ca="1" si="131"/>
        <v>188.40971046741979</v>
      </c>
      <c r="BG65">
        <f t="shared" ca="1" si="131"/>
        <v>184.80575068730306</v>
      </c>
      <c r="BH65">
        <f t="shared" ca="1" si="131"/>
        <v>188.42657778236932</v>
      </c>
      <c r="BI65">
        <f t="shared" ca="1" si="131"/>
        <v>194.77268920946028</v>
      </c>
      <c r="BJ65">
        <f t="shared" ca="1" si="131"/>
        <v>199.22585683085606</v>
      </c>
      <c r="BK65">
        <f t="shared" ca="1" si="131"/>
        <v>201.34038603509345</v>
      </c>
      <c r="BL65">
        <f t="shared" ca="1" si="131"/>
        <v>204.25127643746731</v>
      </c>
      <c r="BM65">
        <f t="shared" ca="1" si="131"/>
        <v>202.02443046469239</v>
      </c>
      <c r="BN65">
        <f t="shared" ca="1" si="131"/>
        <v>205.59554391417822</v>
      </c>
      <c r="BO65">
        <f t="shared" ca="1" si="131"/>
        <v>208.13878169886627</v>
      </c>
      <c r="BP65">
        <f t="shared" ca="1" si="131"/>
        <v>208.60398455661834</v>
      </c>
      <c r="BQ65">
        <f t="shared" ca="1" si="131"/>
        <v>208.13681077875501</v>
      </c>
      <c r="BR65">
        <f t="shared" ref="BR65:CU65" ca="1" si="132">BQ65*(1+$B$2*$B$4+$B$3*SQRT($B$4)*_xlfn.NORM.S.INV(RAND()))</f>
        <v>205.95853788485954</v>
      </c>
      <c r="BS65">
        <f t="shared" ca="1" si="132"/>
        <v>204.49995232969894</v>
      </c>
      <c r="BT65">
        <f t="shared" ca="1" si="132"/>
        <v>209.92179287453416</v>
      </c>
      <c r="BU65">
        <f t="shared" ca="1" si="132"/>
        <v>214.65714501617003</v>
      </c>
      <c r="BV65">
        <f t="shared" ca="1" si="132"/>
        <v>217.57605870762185</v>
      </c>
      <c r="BW65">
        <f t="shared" ca="1" si="132"/>
        <v>219.9338651350449</v>
      </c>
      <c r="BX65">
        <f t="shared" ca="1" si="132"/>
        <v>236.04596575234268</v>
      </c>
      <c r="BY65">
        <f t="shared" ca="1" si="132"/>
        <v>237.26331897399555</v>
      </c>
      <c r="BZ65">
        <f t="shared" ca="1" si="132"/>
        <v>237.35400368237288</v>
      </c>
      <c r="CA65">
        <f t="shared" ca="1" si="132"/>
        <v>233.98744171693303</v>
      </c>
      <c r="CB65">
        <f t="shared" ca="1" si="132"/>
        <v>236.69720552557976</v>
      </c>
      <c r="CC65">
        <f t="shared" ca="1" si="132"/>
        <v>241.85463374452212</v>
      </c>
      <c r="CD65">
        <f t="shared" ca="1" si="132"/>
        <v>246.00280081577907</v>
      </c>
      <c r="CE65">
        <f t="shared" ca="1" si="132"/>
        <v>253.19889825747376</v>
      </c>
      <c r="CF65">
        <f t="shared" ca="1" si="132"/>
        <v>252.04797765985694</v>
      </c>
      <c r="CG65">
        <f t="shared" ca="1" si="132"/>
        <v>240.50579824977146</v>
      </c>
      <c r="CH65">
        <f t="shared" ca="1" si="132"/>
        <v>243.98757948151956</v>
      </c>
      <c r="CI65">
        <f t="shared" ca="1" si="132"/>
        <v>245.67562130496324</v>
      </c>
      <c r="CJ65">
        <f t="shared" ca="1" si="132"/>
        <v>235.36012002511384</v>
      </c>
      <c r="CK65">
        <f t="shared" ca="1" si="132"/>
        <v>230.76633792261748</v>
      </c>
      <c r="CL65">
        <f t="shared" ca="1" si="132"/>
        <v>239.95892893076547</v>
      </c>
      <c r="CM65">
        <f t="shared" ca="1" si="132"/>
        <v>237.21736122351794</v>
      </c>
      <c r="CN65">
        <f t="shared" ca="1" si="132"/>
        <v>226.78480436362076</v>
      </c>
      <c r="CO65">
        <f t="shared" ca="1" si="132"/>
        <v>223.10473722505819</v>
      </c>
      <c r="CP65">
        <f t="shared" ca="1" si="132"/>
        <v>229.2067160668461</v>
      </c>
      <c r="CQ65">
        <f t="shared" ca="1" si="132"/>
        <v>232.62474766707496</v>
      </c>
      <c r="CR65">
        <f t="shared" ca="1" si="132"/>
        <v>243.25590929133818</v>
      </c>
      <c r="CS65">
        <f t="shared" ca="1" si="132"/>
        <v>246.61197423276786</v>
      </c>
      <c r="CT65">
        <f t="shared" ca="1" si="132"/>
        <v>253.370171068247</v>
      </c>
      <c r="CU65">
        <f t="shared" ca="1" si="132"/>
        <v>245.23382671227387</v>
      </c>
      <c r="CV65">
        <f t="shared" ca="1" si="70"/>
        <v>25.233826712273867</v>
      </c>
      <c r="CW65">
        <f t="shared" ca="1" si="7"/>
        <v>24.261351290920633</v>
      </c>
    </row>
    <row r="66" spans="5:101" x14ac:dyDescent="0.2">
      <c r="E66">
        <v>222.13</v>
      </c>
      <c r="F66">
        <f t="shared" ref="F66:BQ66" ca="1" si="133">E66*(1+$B$2*$B$4+$B$3*SQRT($B$4)*_xlfn.NORM.S.INV(RAND()))</f>
        <v>217.8899917149061</v>
      </c>
      <c r="G66">
        <f t="shared" ca="1" si="133"/>
        <v>216.61731878283638</v>
      </c>
      <c r="H66">
        <f t="shared" ca="1" si="133"/>
        <v>215.97343447440866</v>
      </c>
      <c r="I66">
        <f t="shared" ca="1" si="133"/>
        <v>213.97520460243317</v>
      </c>
      <c r="J66">
        <f t="shared" ca="1" si="133"/>
        <v>214.37305909191849</v>
      </c>
      <c r="K66">
        <f t="shared" ca="1" si="133"/>
        <v>214.25146402755317</v>
      </c>
      <c r="L66">
        <f t="shared" ca="1" si="133"/>
        <v>218.6094351309354</v>
      </c>
      <c r="M66">
        <f t="shared" ca="1" si="133"/>
        <v>224.21222408300264</v>
      </c>
      <c r="N66">
        <f t="shared" ca="1" si="133"/>
        <v>223.85628207347852</v>
      </c>
      <c r="O66">
        <f t="shared" ca="1" si="133"/>
        <v>223.12145628852025</v>
      </c>
      <c r="P66">
        <f t="shared" ca="1" si="133"/>
        <v>222.35682548105419</v>
      </c>
      <c r="Q66">
        <f t="shared" ca="1" si="133"/>
        <v>225.15855601324884</v>
      </c>
      <c r="R66">
        <f t="shared" ca="1" si="133"/>
        <v>225.93171059399907</v>
      </c>
      <c r="S66">
        <f t="shared" ca="1" si="133"/>
        <v>227.03578683863839</v>
      </c>
      <c r="T66">
        <f t="shared" ca="1" si="133"/>
        <v>245.47774791023261</v>
      </c>
      <c r="U66">
        <f t="shared" ca="1" si="133"/>
        <v>252.90581448708994</v>
      </c>
      <c r="V66">
        <f t="shared" ca="1" si="133"/>
        <v>250.97887992683451</v>
      </c>
      <c r="W66">
        <f t="shared" ca="1" si="133"/>
        <v>247.55795961601802</v>
      </c>
      <c r="X66">
        <f t="shared" ca="1" si="133"/>
        <v>251.88334679284205</v>
      </c>
      <c r="Y66">
        <f t="shared" ca="1" si="133"/>
        <v>241.997182804457</v>
      </c>
      <c r="Z66">
        <f t="shared" ca="1" si="133"/>
        <v>237.8760670767455</v>
      </c>
      <c r="AA66">
        <f t="shared" ca="1" si="133"/>
        <v>242.35678161893404</v>
      </c>
      <c r="AB66">
        <f t="shared" ca="1" si="133"/>
        <v>244.79520573038727</v>
      </c>
      <c r="AC66">
        <f t="shared" ca="1" si="133"/>
        <v>248.8139240902251</v>
      </c>
      <c r="AD66">
        <f t="shared" ca="1" si="133"/>
        <v>264.90851612022664</v>
      </c>
      <c r="AE66">
        <f t="shared" ca="1" si="133"/>
        <v>266.65218546985625</v>
      </c>
      <c r="AF66">
        <f t="shared" ca="1" si="133"/>
        <v>272.37028635302261</v>
      </c>
      <c r="AG66">
        <f t="shared" ca="1" si="133"/>
        <v>264.52360014483173</v>
      </c>
      <c r="AH66">
        <f t="shared" ca="1" si="133"/>
        <v>265.66730578327895</v>
      </c>
      <c r="AI66">
        <f t="shared" ca="1" si="133"/>
        <v>262.1029214242663</v>
      </c>
      <c r="AJ66">
        <f t="shared" ca="1" si="133"/>
        <v>258.90530836600868</v>
      </c>
      <c r="AK66">
        <f t="shared" ca="1" si="133"/>
        <v>250.59029899093034</v>
      </c>
      <c r="AL66">
        <f t="shared" ca="1" si="133"/>
        <v>246.27020613958848</v>
      </c>
      <c r="AM66">
        <f t="shared" ca="1" si="133"/>
        <v>246.06733058260045</v>
      </c>
      <c r="AN66">
        <f t="shared" ca="1" si="133"/>
        <v>236.52809403141569</v>
      </c>
      <c r="AO66">
        <f t="shared" ca="1" si="133"/>
        <v>225.09338477663567</v>
      </c>
      <c r="AP66">
        <f t="shared" ca="1" si="133"/>
        <v>215.61125475655879</v>
      </c>
      <c r="AQ66">
        <f t="shared" ca="1" si="133"/>
        <v>217.87863938174914</v>
      </c>
      <c r="AR66">
        <f t="shared" ca="1" si="133"/>
        <v>211.86474985340547</v>
      </c>
      <c r="AS66">
        <f t="shared" ca="1" si="133"/>
        <v>204.49988550153626</v>
      </c>
      <c r="AT66">
        <f t="shared" ca="1" si="133"/>
        <v>212.35139432083218</v>
      </c>
      <c r="AU66">
        <f t="shared" ca="1" si="133"/>
        <v>213.67315965286352</v>
      </c>
      <c r="AV66">
        <f t="shared" ca="1" si="133"/>
        <v>212.49391569541385</v>
      </c>
      <c r="AW66">
        <f t="shared" ca="1" si="133"/>
        <v>213.78031459252338</v>
      </c>
      <c r="AX66">
        <f t="shared" ca="1" si="133"/>
        <v>213.22199478422027</v>
      </c>
      <c r="AY66">
        <f t="shared" ca="1" si="133"/>
        <v>208.28953108024555</v>
      </c>
      <c r="AZ66">
        <f t="shared" ca="1" si="133"/>
        <v>197.99077750531836</v>
      </c>
      <c r="BA66">
        <f t="shared" ca="1" si="133"/>
        <v>199.05733785155255</v>
      </c>
      <c r="BB66">
        <f t="shared" ca="1" si="133"/>
        <v>201.10347159384219</v>
      </c>
      <c r="BC66">
        <f t="shared" ca="1" si="133"/>
        <v>195.55061714535711</v>
      </c>
      <c r="BD66">
        <f t="shared" ca="1" si="133"/>
        <v>191.1636037761435</v>
      </c>
      <c r="BE66">
        <f t="shared" ca="1" si="133"/>
        <v>183.47174804085421</v>
      </c>
      <c r="BF66">
        <f t="shared" ca="1" si="133"/>
        <v>183.11121906829513</v>
      </c>
      <c r="BG66">
        <f t="shared" ca="1" si="133"/>
        <v>184.91276114962179</v>
      </c>
      <c r="BH66">
        <f t="shared" ca="1" si="133"/>
        <v>189.51230247414637</v>
      </c>
      <c r="BI66">
        <f t="shared" ca="1" si="133"/>
        <v>188.22480113180245</v>
      </c>
      <c r="BJ66">
        <f t="shared" ca="1" si="133"/>
        <v>190.6777257245723</v>
      </c>
      <c r="BK66">
        <f t="shared" ca="1" si="133"/>
        <v>188.99265321387685</v>
      </c>
      <c r="BL66">
        <f t="shared" ca="1" si="133"/>
        <v>182.01303743025375</v>
      </c>
      <c r="BM66">
        <f t="shared" ca="1" si="133"/>
        <v>184.8301109773067</v>
      </c>
      <c r="BN66">
        <f t="shared" ca="1" si="133"/>
        <v>185.53124713593601</v>
      </c>
      <c r="BO66">
        <f t="shared" ca="1" si="133"/>
        <v>195.38823762854904</v>
      </c>
      <c r="BP66">
        <f t="shared" ca="1" si="133"/>
        <v>189.95991531812086</v>
      </c>
      <c r="BQ66">
        <f t="shared" ca="1" si="133"/>
        <v>193.41006420944723</v>
      </c>
      <c r="BR66">
        <f t="shared" ref="BR66:CU66" ca="1" si="134">BQ66*(1+$B$2*$B$4+$B$3*SQRT($B$4)*_xlfn.NORM.S.INV(RAND()))</f>
        <v>194.20511249652674</v>
      </c>
      <c r="BS66">
        <f t="shared" ca="1" si="134"/>
        <v>191.8242526570111</v>
      </c>
      <c r="BT66">
        <f t="shared" ca="1" si="134"/>
        <v>194.33064122879438</v>
      </c>
      <c r="BU66">
        <f t="shared" ca="1" si="134"/>
        <v>192.66076869946494</v>
      </c>
      <c r="BV66">
        <f t="shared" ca="1" si="134"/>
        <v>187.10239893506181</v>
      </c>
      <c r="BW66">
        <f t="shared" ca="1" si="134"/>
        <v>185.49282210062086</v>
      </c>
      <c r="BX66">
        <f t="shared" ca="1" si="134"/>
        <v>184.98832249846018</v>
      </c>
      <c r="BY66">
        <f t="shared" ca="1" si="134"/>
        <v>183.99663608182968</v>
      </c>
      <c r="BZ66">
        <f t="shared" ca="1" si="134"/>
        <v>182.55795452541696</v>
      </c>
      <c r="CA66">
        <f t="shared" ca="1" si="134"/>
        <v>191.03930897678086</v>
      </c>
      <c r="CB66">
        <f t="shared" ca="1" si="134"/>
        <v>191.92455210505133</v>
      </c>
      <c r="CC66">
        <f t="shared" ca="1" si="134"/>
        <v>199.62726854253489</v>
      </c>
      <c r="CD66">
        <f t="shared" ca="1" si="134"/>
        <v>204.40066939885119</v>
      </c>
      <c r="CE66">
        <f t="shared" ca="1" si="134"/>
        <v>201.67086190569515</v>
      </c>
      <c r="CF66">
        <f t="shared" ca="1" si="134"/>
        <v>200.69553538345903</v>
      </c>
      <c r="CG66">
        <f t="shared" ca="1" si="134"/>
        <v>201.54918250712623</v>
      </c>
      <c r="CH66">
        <f t="shared" ca="1" si="134"/>
        <v>195.8369451016774</v>
      </c>
      <c r="CI66">
        <f t="shared" ca="1" si="134"/>
        <v>190.50898468717531</v>
      </c>
      <c r="CJ66">
        <f t="shared" ca="1" si="134"/>
        <v>185.77330802292468</v>
      </c>
      <c r="CK66">
        <f t="shared" ca="1" si="134"/>
        <v>185.20661041534899</v>
      </c>
      <c r="CL66">
        <f t="shared" ca="1" si="134"/>
        <v>182.06820181892567</v>
      </c>
      <c r="CM66">
        <f t="shared" ca="1" si="134"/>
        <v>182.54748799431454</v>
      </c>
      <c r="CN66">
        <f t="shared" ca="1" si="134"/>
        <v>184.08181324431581</v>
      </c>
      <c r="CO66">
        <f t="shared" ca="1" si="134"/>
        <v>184.3128134211683</v>
      </c>
      <c r="CP66">
        <f t="shared" ca="1" si="134"/>
        <v>185.88283661153557</v>
      </c>
      <c r="CQ66">
        <f t="shared" ca="1" si="134"/>
        <v>185.7331355485629</v>
      </c>
      <c r="CR66">
        <f t="shared" ca="1" si="134"/>
        <v>184.90989857527566</v>
      </c>
      <c r="CS66">
        <f t="shared" ca="1" si="134"/>
        <v>182.57190117621542</v>
      </c>
      <c r="CT66">
        <f t="shared" ca="1" si="134"/>
        <v>181.42484935619748</v>
      </c>
      <c r="CU66">
        <f t="shared" ca="1" si="134"/>
        <v>184.66771578932222</v>
      </c>
      <c r="CV66">
        <f t="shared" ref="CV66:CV96" ca="1" si="135">MAX(CU66-$CU$102,0)</f>
        <v>0</v>
      </c>
      <c r="CW66">
        <f t="shared" ca="1" si="7"/>
        <v>0</v>
      </c>
    </row>
    <row r="67" spans="5:101" x14ac:dyDescent="0.2">
      <c r="E67">
        <v>222.13</v>
      </c>
      <c r="F67">
        <f t="shared" ref="F67:BQ67" ca="1" si="136">E67*(1+$B$2*$B$4+$B$3*SQRT($B$4)*_xlfn.NORM.S.INV(RAND()))</f>
        <v>214.31284368134408</v>
      </c>
      <c r="G67">
        <f t="shared" ca="1" si="136"/>
        <v>203.84728397426693</v>
      </c>
      <c r="H67">
        <f t="shared" ca="1" si="136"/>
        <v>209.64406509631189</v>
      </c>
      <c r="I67">
        <f t="shared" ca="1" si="136"/>
        <v>211.64575895050541</v>
      </c>
      <c r="J67">
        <f t="shared" ca="1" si="136"/>
        <v>211.81213144510616</v>
      </c>
      <c r="K67">
        <f t="shared" ca="1" si="136"/>
        <v>214.68152545666044</v>
      </c>
      <c r="L67">
        <f t="shared" ca="1" si="136"/>
        <v>215.33977091522334</v>
      </c>
      <c r="M67">
        <f t="shared" ca="1" si="136"/>
        <v>226.78569373168344</v>
      </c>
      <c r="N67">
        <f t="shared" ca="1" si="136"/>
        <v>234.61936337958028</v>
      </c>
      <c r="O67">
        <f t="shared" ca="1" si="136"/>
        <v>227.24633143254749</v>
      </c>
      <c r="P67">
        <f t="shared" ca="1" si="136"/>
        <v>226.49089195229556</v>
      </c>
      <c r="Q67">
        <f t="shared" ca="1" si="136"/>
        <v>224.42706312833278</v>
      </c>
      <c r="R67">
        <f t="shared" ca="1" si="136"/>
        <v>218.90242549035594</v>
      </c>
      <c r="S67">
        <f t="shared" ca="1" si="136"/>
        <v>214.64440709775425</v>
      </c>
      <c r="T67">
        <f t="shared" ca="1" si="136"/>
        <v>223.69661567177033</v>
      </c>
      <c r="U67">
        <f t="shared" ca="1" si="136"/>
        <v>218.7224430732484</v>
      </c>
      <c r="V67">
        <f t="shared" ca="1" si="136"/>
        <v>216.48732986108126</v>
      </c>
      <c r="W67">
        <f t="shared" ca="1" si="136"/>
        <v>206.52442841087279</v>
      </c>
      <c r="X67">
        <f t="shared" ca="1" si="136"/>
        <v>209.59393423941552</v>
      </c>
      <c r="Y67">
        <f t="shared" ca="1" si="136"/>
        <v>215.87618097244044</v>
      </c>
      <c r="Z67">
        <f t="shared" ca="1" si="136"/>
        <v>213.3927022177202</v>
      </c>
      <c r="AA67">
        <f t="shared" ca="1" si="136"/>
        <v>212.74213814605994</v>
      </c>
      <c r="AB67">
        <f t="shared" ca="1" si="136"/>
        <v>215.61787001142352</v>
      </c>
      <c r="AC67">
        <f t="shared" ca="1" si="136"/>
        <v>212.88827292074893</v>
      </c>
      <c r="AD67">
        <f t="shared" ca="1" si="136"/>
        <v>208.48894852752991</v>
      </c>
      <c r="AE67">
        <f t="shared" ca="1" si="136"/>
        <v>214.63827188625569</v>
      </c>
      <c r="AF67">
        <f t="shared" ca="1" si="136"/>
        <v>210.52771329777656</v>
      </c>
      <c r="AG67">
        <f t="shared" ca="1" si="136"/>
        <v>217.20495230622586</v>
      </c>
      <c r="AH67">
        <f t="shared" ca="1" si="136"/>
        <v>223.53485284198922</v>
      </c>
      <c r="AI67">
        <f t="shared" ca="1" si="136"/>
        <v>219.96974619014932</v>
      </c>
      <c r="AJ67">
        <f t="shared" ca="1" si="136"/>
        <v>225.8676280880795</v>
      </c>
      <c r="AK67">
        <f t="shared" ca="1" si="136"/>
        <v>231.89476123700527</v>
      </c>
      <c r="AL67">
        <f t="shared" ca="1" si="136"/>
        <v>224.59407526204961</v>
      </c>
      <c r="AM67">
        <f t="shared" ca="1" si="136"/>
        <v>228.08419552043975</v>
      </c>
      <c r="AN67">
        <f t="shared" ca="1" si="136"/>
        <v>233.59429338218081</v>
      </c>
      <c r="AO67">
        <f t="shared" ca="1" si="136"/>
        <v>242.5197136058822</v>
      </c>
      <c r="AP67">
        <f t="shared" ca="1" si="136"/>
        <v>250.05693923988508</v>
      </c>
      <c r="AQ67">
        <f t="shared" ca="1" si="136"/>
        <v>239.40363939026915</v>
      </c>
      <c r="AR67">
        <f t="shared" ca="1" si="136"/>
        <v>237.78914519766062</v>
      </c>
      <c r="AS67">
        <f t="shared" ca="1" si="136"/>
        <v>243.50865381661032</v>
      </c>
      <c r="AT67">
        <f t="shared" ca="1" si="136"/>
        <v>252.21737741029412</v>
      </c>
      <c r="AU67">
        <f t="shared" ca="1" si="136"/>
        <v>250.12670909987668</v>
      </c>
      <c r="AV67">
        <f t="shared" ca="1" si="136"/>
        <v>249.49808610305635</v>
      </c>
      <c r="AW67">
        <f t="shared" ca="1" si="136"/>
        <v>235.65242088733268</v>
      </c>
      <c r="AX67">
        <f t="shared" ca="1" si="136"/>
        <v>237.11364550085111</v>
      </c>
      <c r="AY67">
        <f t="shared" ca="1" si="136"/>
        <v>238.03936704290541</v>
      </c>
      <c r="AZ67">
        <f t="shared" ca="1" si="136"/>
        <v>239.34026001852382</v>
      </c>
      <c r="BA67">
        <f t="shared" ca="1" si="136"/>
        <v>234.07776415988471</v>
      </c>
      <c r="BB67">
        <f t="shared" ca="1" si="136"/>
        <v>245.1153879445954</v>
      </c>
      <c r="BC67">
        <f t="shared" ca="1" si="136"/>
        <v>246.61264604090084</v>
      </c>
      <c r="BD67">
        <f t="shared" ca="1" si="136"/>
        <v>244.74953029698199</v>
      </c>
      <c r="BE67">
        <f t="shared" ca="1" si="136"/>
        <v>249.0649520701279</v>
      </c>
      <c r="BF67">
        <f t="shared" ca="1" si="136"/>
        <v>253.52021967296383</v>
      </c>
      <c r="BG67">
        <f t="shared" ca="1" si="136"/>
        <v>255.16184736649282</v>
      </c>
      <c r="BH67">
        <f t="shared" ca="1" si="136"/>
        <v>262.68098491259997</v>
      </c>
      <c r="BI67">
        <f t="shared" ca="1" si="136"/>
        <v>259.39582307645298</v>
      </c>
      <c r="BJ67">
        <f t="shared" ca="1" si="136"/>
        <v>270.75107288365973</v>
      </c>
      <c r="BK67">
        <f t="shared" ca="1" si="136"/>
        <v>268.91600401648157</v>
      </c>
      <c r="BL67">
        <f t="shared" ca="1" si="136"/>
        <v>278.50038075170147</v>
      </c>
      <c r="BM67">
        <f t="shared" ca="1" si="136"/>
        <v>269.58890818902347</v>
      </c>
      <c r="BN67">
        <f t="shared" ca="1" si="136"/>
        <v>275.91095343105235</v>
      </c>
      <c r="BO67">
        <f t="shared" ca="1" si="136"/>
        <v>282.41458961197901</v>
      </c>
      <c r="BP67">
        <f t="shared" ca="1" si="136"/>
        <v>282.8979657135518</v>
      </c>
      <c r="BQ67">
        <f t="shared" ca="1" si="136"/>
        <v>271.57732393150923</v>
      </c>
      <c r="BR67">
        <f t="shared" ref="BR67:CU67" ca="1" si="137">BQ67*(1+$B$2*$B$4+$B$3*SQRT($B$4)*_xlfn.NORM.S.INV(RAND()))</f>
        <v>274.02357356739208</v>
      </c>
      <c r="BS67">
        <f t="shared" ca="1" si="137"/>
        <v>275.65512234985562</v>
      </c>
      <c r="BT67">
        <f t="shared" ca="1" si="137"/>
        <v>269.14599205450924</v>
      </c>
      <c r="BU67">
        <f t="shared" ca="1" si="137"/>
        <v>273.45347050775638</v>
      </c>
      <c r="BV67">
        <f t="shared" ca="1" si="137"/>
        <v>275.17271224183008</v>
      </c>
      <c r="BW67">
        <f t="shared" ca="1" si="137"/>
        <v>267.97875818720684</v>
      </c>
      <c r="BX67">
        <f t="shared" ca="1" si="137"/>
        <v>267.64898973775513</v>
      </c>
      <c r="BY67">
        <f t="shared" ca="1" si="137"/>
        <v>274.42649322123907</v>
      </c>
      <c r="BZ67">
        <f t="shared" ca="1" si="137"/>
        <v>266.78892970952688</v>
      </c>
      <c r="CA67">
        <f t="shared" ca="1" si="137"/>
        <v>266.24871404585804</v>
      </c>
      <c r="CB67">
        <f t="shared" ca="1" si="137"/>
        <v>264.25238969102253</v>
      </c>
      <c r="CC67">
        <f t="shared" ca="1" si="137"/>
        <v>257.09320886589586</v>
      </c>
      <c r="CD67">
        <f t="shared" ca="1" si="137"/>
        <v>255.52259941996192</v>
      </c>
      <c r="CE67">
        <f t="shared" ca="1" si="137"/>
        <v>255.72244318612397</v>
      </c>
      <c r="CF67">
        <f t="shared" ca="1" si="137"/>
        <v>244.5671557754327</v>
      </c>
      <c r="CG67">
        <f t="shared" ca="1" si="137"/>
        <v>244.09931819901999</v>
      </c>
      <c r="CH67">
        <f t="shared" ca="1" si="137"/>
        <v>245.56864490874599</v>
      </c>
      <c r="CI67">
        <f t="shared" ca="1" si="137"/>
        <v>247.4873083707173</v>
      </c>
      <c r="CJ67">
        <f t="shared" ca="1" si="137"/>
        <v>244.80270341381444</v>
      </c>
      <c r="CK67">
        <f t="shared" ca="1" si="137"/>
        <v>252.93049349967231</v>
      </c>
      <c r="CL67">
        <f t="shared" ca="1" si="137"/>
        <v>260.68390487360483</v>
      </c>
      <c r="CM67">
        <f t="shared" ca="1" si="137"/>
        <v>256.35457252522997</v>
      </c>
      <c r="CN67">
        <f t="shared" ca="1" si="137"/>
        <v>254.43092461525035</v>
      </c>
      <c r="CO67">
        <f t="shared" ca="1" si="137"/>
        <v>249.26410095573624</v>
      </c>
      <c r="CP67">
        <f t="shared" ca="1" si="137"/>
        <v>252.41464671960628</v>
      </c>
      <c r="CQ67">
        <f t="shared" ca="1" si="137"/>
        <v>246.90664669763993</v>
      </c>
      <c r="CR67">
        <f t="shared" ca="1" si="137"/>
        <v>254.53436021748638</v>
      </c>
      <c r="CS67">
        <f t="shared" ca="1" si="137"/>
        <v>264.01024445752722</v>
      </c>
      <c r="CT67">
        <f t="shared" ca="1" si="137"/>
        <v>252.54431707822184</v>
      </c>
      <c r="CU67">
        <f t="shared" ca="1" si="137"/>
        <v>247.01926457959399</v>
      </c>
      <c r="CV67">
        <f t="shared" ca="1" si="135"/>
        <v>27.019264579593994</v>
      </c>
      <c r="CW67">
        <f t="shared" ref="CW67:CW101" ca="1" si="138">CV67*EXP(-$B$11*$CU$103)</f>
        <v>25.977980948446817</v>
      </c>
    </row>
    <row r="68" spans="5:101" x14ac:dyDescent="0.2">
      <c r="E68">
        <v>222.13</v>
      </c>
      <c r="F68">
        <f t="shared" ref="F68:BQ68" ca="1" si="139">E68*(1+$B$2*$B$4+$B$3*SQRT($B$4)*_xlfn.NORM.S.INV(RAND()))</f>
        <v>216.79039369301651</v>
      </c>
      <c r="G68">
        <f t="shared" ca="1" si="139"/>
        <v>214.10140395459629</v>
      </c>
      <c r="H68">
        <f t="shared" ca="1" si="139"/>
        <v>207.65667973100048</v>
      </c>
      <c r="I68">
        <f t="shared" ca="1" si="139"/>
        <v>204.44328154296454</v>
      </c>
      <c r="J68">
        <f t="shared" ca="1" si="139"/>
        <v>206.76530770090335</v>
      </c>
      <c r="K68">
        <f t="shared" ca="1" si="139"/>
        <v>204.23591723454038</v>
      </c>
      <c r="L68">
        <f t="shared" ca="1" si="139"/>
        <v>194.37310949077923</v>
      </c>
      <c r="M68">
        <f t="shared" ca="1" si="139"/>
        <v>196.43878440801686</v>
      </c>
      <c r="N68">
        <f t="shared" ca="1" si="139"/>
        <v>193.19211082622854</v>
      </c>
      <c r="O68">
        <f t="shared" ca="1" si="139"/>
        <v>193.66234987633504</v>
      </c>
      <c r="P68">
        <f t="shared" ca="1" si="139"/>
        <v>180.4971817575514</v>
      </c>
      <c r="Q68">
        <f t="shared" ca="1" si="139"/>
        <v>177.81678021073017</v>
      </c>
      <c r="R68">
        <f t="shared" ca="1" si="139"/>
        <v>176.83222794751535</v>
      </c>
      <c r="S68">
        <f t="shared" ca="1" si="139"/>
        <v>181.91777575886522</v>
      </c>
      <c r="T68">
        <f t="shared" ca="1" si="139"/>
        <v>181.84976887815699</v>
      </c>
      <c r="U68">
        <f t="shared" ca="1" si="139"/>
        <v>178.01779820028079</v>
      </c>
      <c r="V68">
        <f t="shared" ca="1" si="139"/>
        <v>178.23114593698335</v>
      </c>
      <c r="W68">
        <f t="shared" ca="1" si="139"/>
        <v>173.9470849736947</v>
      </c>
      <c r="X68">
        <f t="shared" ca="1" si="139"/>
        <v>178.4890527711662</v>
      </c>
      <c r="Y68">
        <f t="shared" ca="1" si="139"/>
        <v>185.45854153831772</v>
      </c>
      <c r="Z68">
        <f t="shared" ca="1" si="139"/>
        <v>186.05158391448364</v>
      </c>
      <c r="AA68">
        <f t="shared" ca="1" si="139"/>
        <v>184.96053215870856</v>
      </c>
      <c r="AB68">
        <f t="shared" ca="1" si="139"/>
        <v>186.84588925422807</v>
      </c>
      <c r="AC68">
        <f t="shared" ca="1" si="139"/>
        <v>187.31443673923357</v>
      </c>
      <c r="AD68">
        <f t="shared" ca="1" si="139"/>
        <v>183.49120770537149</v>
      </c>
      <c r="AE68">
        <f t="shared" ca="1" si="139"/>
        <v>184.28655918176111</v>
      </c>
      <c r="AF68">
        <f t="shared" ca="1" si="139"/>
        <v>184.42113598326131</v>
      </c>
      <c r="AG68">
        <f t="shared" ca="1" si="139"/>
        <v>177.31256584836407</v>
      </c>
      <c r="AH68">
        <f t="shared" ca="1" si="139"/>
        <v>174.14969097448133</v>
      </c>
      <c r="AI68">
        <f t="shared" ca="1" si="139"/>
        <v>179.80088515783632</v>
      </c>
      <c r="AJ68">
        <f t="shared" ca="1" si="139"/>
        <v>175.50891273718531</v>
      </c>
      <c r="AK68">
        <f t="shared" ca="1" si="139"/>
        <v>171.39716722763364</v>
      </c>
      <c r="AL68">
        <f t="shared" ca="1" si="139"/>
        <v>174.43652131166252</v>
      </c>
      <c r="AM68">
        <f t="shared" ca="1" si="139"/>
        <v>162.86426298275575</v>
      </c>
      <c r="AN68">
        <f t="shared" ca="1" si="139"/>
        <v>160.12023595402744</v>
      </c>
      <c r="AO68">
        <f t="shared" ca="1" si="139"/>
        <v>158.19129040160777</v>
      </c>
      <c r="AP68">
        <f t="shared" ca="1" si="139"/>
        <v>160.29052003339089</v>
      </c>
      <c r="AQ68">
        <f t="shared" ca="1" si="139"/>
        <v>155.57713646183359</v>
      </c>
      <c r="AR68">
        <f t="shared" ca="1" si="139"/>
        <v>151.80062386320574</v>
      </c>
      <c r="AS68">
        <f t="shared" ca="1" si="139"/>
        <v>154.05917709007289</v>
      </c>
      <c r="AT68">
        <f t="shared" ca="1" si="139"/>
        <v>147.5890049395251</v>
      </c>
      <c r="AU68">
        <f t="shared" ca="1" si="139"/>
        <v>146.58800905407142</v>
      </c>
      <c r="AV68">
        <f t="shared" ca="1" si="139"/>
        <v>149.97575261502985</v>
      </c>
      <c r="AW68">
        <f t="shared" ca="1" si="139"/>
        <v>144.9574088156379</v>
      </c>
      <c r="AX68">
        <f t="shared" ca="1" si="139"/>
        <v>137.94287388436808</v>
      </c>
      <c r="AY68">
        <f t="shared" ca="1" si="139"/>
        <v>132.98205070314768</v>
      </c>
      <c r="AZ68">
        <f t="shared" ca="1" si="139"/>
        <v>136.93627100800052</v>
      </c>
      <c r="BA68">
        <f t="shared" ca="1" si="139"/>
        <v>136.16857297105386</v>
      </c>
      <c r="BB68">
        <f t="shared" ca="1" si="139"/>
        <v>134.78522121794933</v>
      </c>
      <c r="BC68">
        <f t="shared" ca="1" si="139"/>
        <v>138.84747658526501</v>
      </c>
      <c r="BD68">
        <f t="shared" ca="1" si="139"/>
        <v>136.85392800140806</v>
      </c>
      <c r="BE68">
        <f t="shared" ca="1" si="139"/>
        <v>135.38110408317397</v>
      </c>
      <c r="BF68">
        <f t="shared" ca="1" si="139"/>
        <v>131.68303048314499</v>
      </c>
      <c r="BG68">
        <f t="shared" ca="1" si="139"/>
        <v>130.31440056870923</v>
      </c>
      <c r="BH68">
        <f t="shared" ca="1" si="139"/>
        <v>124.37646182904851</v>
      </c>
      <c r="BI68">
        <f t="shared" ca="1" si="139"/>
        <v>122.49794991940021</v>
      </c>
      <c r="BJ68">
        <f t="shared" ca="1" si="139"/>
        <v>117.82418731318322</v>
      </c>
      <c r="BK68">
        <f t="shared" ca="1" si="139"/>
        <v>120.3467686738645</v>
      </c>
      <c r="BL68">
        <f t="shared" ca="1" si="139"/>
        <v>125.16073045870381</v>
      </c>
      <c r="BM68">
        <f t="shared" ca="1" si="139"/>
        <v>124.49142498434452</v>
      </c>
      <c r="BN68">
        <f t="shared" ca="1" si="139"/>
        <v>122.6588636558928</v>
      </c>
      <c r="BO68">
        <f t="shared" ca="1" si="139"/>
        <v>125.05597268638637</v>
      </c>
      <c r="BP68">
        <f t="shared" ca="1" si="139"/>
        <v>126.91156906279878</v>
      </c>
      <c r="BQ68">
        <f t="shared" ca="1" si="139"/>
        <v>116.15859393776343</v>
      </c>
      <c r="BR68">
        <f t="shared" ref="BR68:CU68" ca="1" si="140">BQ68*(1+$B$2*$B$4+$B$3*SQRT($B$4)*_xlfn.NORM.S.INV(RAND()))</f>
        <v>113.81352956370495</v>
      </c>
      <c r="BS68">
        <f t="shared" ca="1" si="140"/>
        <v>110.39253564713512</v>
      </c>
      <c r="BT68">
        <f t="shared" ca="1" si="140"/>
        <v>111.43218168951945</v>
      </c>
      <c r="BU68">
        <f t="shared" ca="1" si="140"/>
        <v>112.63061961571225</v>
      </c>
      <c r="BV68">
        <f t="shared" ca="1" si="140"/>
        <v>113.44538646192616</v>
      </c>
      <c r="BW68">
        <f t="shared" ca="1" si="140"/>
        <v>113.67423562798089</v>
      </c>
      <c r="BX68">
        <f t="shared" ca="1" si="140"/>
        <v>117.64717495723471</v>
      </c>
      <c r="BY68">
        <f t="shared" ca="1" si="140"/>
        <v>114.21317914730591</v>
      </c>
      <c r="BZ68">
        <f t="shared" ca="1" si="140"/>
        <v>115.95769224841624</v>
      </c>
      <c r="CA68">
        <f t="shared" ca="1" si="140"/>
        <v>113.72866377932243</v>
      </c>
      <c r="CB68">
        <f t="shared" ca="1" si="140"/>
        <v>113.55536450802144</v>
      </c>
      <c r="CC68">
        <f t="shared" ca="1" si="140"/>
        <v>116.7027866723168</v>
      </c>
      <c r="CD68">
        <f t="shared" ca="1" si="140"/>
        <v>119.48532556206931</v>
      </c>
      <c r="CE68">
        <f t="shared" ca="1" si="140"/>
        <v>115.47368533274118</v>
      </c>
      <c r="CF68">
        <f t="shared" ca="1" si="140"/>
        <v>120.71274922826393</v>
      </c>
      <c r="CG68">
        <f t="shared" ca="1" si="140"/>
        <v>116.54579815999995</v>
      </c>
      <c r="CH68">
        <f t="shared" ca="1" si="140"/>
        <v>116.47654275818942</v>
      </c>
      <c r="CI68">
        <f t="shared" ca="1" si="140"/>
        <v>118.53749601331796</v>
      </c>
      <c r="CJ68">
        <f t="shared" ca="1" si="140"/>
        <v>113.4829915807439</v>
      </c>
      <c r="CK68">
        <f t="shared" ca="1" si="140"/>
        <v>113.0243627360272</v>
      </c>
      <c r="CL68">
        <f t="shared" ca="1" si="140"/>
        <v>110.58185777342543</v>
      </c>
      <c r="CM68">
        <f t="shared" ca="1" si="140"/>
        <v>112.62805239378233</v>
      </c>
      <c r="CN68">
        <f t="shared" ca="1" si="140"/>
        <v>111.6512980469425</v>
      </c>
      <c r="CO68">
        <f t="shared" ca="1" si="140"/>
        <v>112.30619287906225</v>
      </c>
      <c r="CP68">
        <f t="shared" ca="1" si="140"/>
        <v>111.43599098804967</v>
      </c>
      <c r="CQ68">
        <f t="shared" ca="1" si="140"/>
        <v>109.54394089150937</v>
      </c>
      <c r="CR68">
        <f t="shared" ca="1" si="140"/>
        <v>111.23347739146961</v>
      </c>
      <c r="CS68">
        <f t="shared" ca="1" si="140"/>
        <v>111.70501928767784</v>
      </c>
      <c r="CT68">
        <f t="shared" ca="1" si="140"/>
        <v>112.87643897862844</v>
      </c>
      <c r="CU68">
        <f t="shared" ca="1" si="140"/>
        <v>115.41631318510056</v>
      </c>
      <c r="CV68">
        <f t="shared" ca="1" si="135"/>
        <v>0</v>
      </c>
      <c r="CW68">
        <f t="shared" ca="1" si="138"/>
        <v>0</v>
      </c>
    </row>
    <row r="69" spans="5:101" x14ac:dyDescent="0.2">
      <c r="E69">
        <v>222.13</v>
      </c>
      <c r="F69">
        <f t="shared" ref="F69:BQ69" ca="1" si="141">E69*(1+$B$2*$B$4+$B$3*SQRT($B$4)*_xlfn.NORM.S.INV(RAND()))</f>
        <v>216.23766066207813</v>
      </c>
      <c r="G69">
        <f t="shared" ca="1" si="141"/>
        <v>220.01363521292515</v>
      </c>
      <c r="H69">
        <f t="shared" ca="1" si="141"/>
        <v>219.24998229012542</v>
      </c>
      <c r="I69">
        <f t="shared" ca="1" si="141"/>
        <v>223.89198362275329</v>
      </c>
      <c r="J69">
        <f t="shared" ca="1" si="141"/>
        <v>218.06328156658699</v>
      </c>
      <c r="K69">
        <f t="shared" ca="1" si="141"/>
        <v>223.23307443719435</v>
      </c>
      <c r="L69">
        <f t="shared" ca="1" si="141"/>
        <v>222.5477586684683</v>
      </c>
      <c r="M69">
        <f t="shared" ca="1" si="141"/>
        <v>220.07819265741765</v>
      </c>
      <c r="N69">
        <f t="shared" ca="1" si="141"/>
        <v>217.71015329741732</v>
      </c>
      <c r="O69">
        <f t="shared" ca="1" si="141"/>
        <v>220.99953302841436</v>
      </c>
      <c r="P69">
        <f t="shared" ca="1" si="141"/>
        <v>231.62589903527484</v>
      </c>
      <c r="Q69">
        <f t="shared" ca="1" si="141"/>
        <v>231.69072226228087</v>
      </c>
      <c r="R69">
        <f t="shared" ca="1" si="141"/>
        <v>236.86883085176285</v>
      </c>
      <c r="S69">
        <f t="shared" ca="1" si="141"/>
        <v>244.19798011973566</v>
      </c>
      <c r="T69">
        <f t="shared" ca="1" si="141"/>
        <v>253.83506930773132</v>
      </c>
      <c r="U69">
        <f t="shared" ca="1" si="141"/>
        <v>259.99261345887197</v>
      </c>
      <c r="V69">
        <f t="shared" ca="1" si="141"/>
        <v>263.31034690438617</v>
      </c>
      <c r="W69">
        <f t="shared" ca="1" si="141"/>
        <v>263.78904238467163</v>
      </c>
      <c r="X69">
        <f t="shared" ca="1" si="141"/>
        <v>261.45439557831895</v>
      </c>
      <c r="Y69">
        <f t="shared" ca="1" si="141"/>
        <v>265.49321547978394</v>
      </c>
      <c r="Z69">
        <f t="shared" ca="1" si="141"/>
        <v>257.17052462109831</v>
      </c>
      <c r="AA69">
        <f t="shared" ca="1" si="141"/>
        <v>247.10981094807806</v>
      </c>
      <c r="AB69">
        <f t="shared" ca="1" si="141"/>
        <v>247.54313457378055</v>
      </c>
      <c r="AC69">
        <f t="shared" ca="1" si="141"/>
        <v>257.92687317729849</v>
      </c>
      <c r="AD69">
        <f t="shared" ca="1" si="141"/>
        <v>265.95470309181144</v>
      </c>
      <c r="AE69">
        <f t="shared" ca="1" si="141"/>
        <v>253.96025142262584</v>
      </c>
      <c r="AF69">
        <f t="shared" ca="1" si="141"/>
        <v>241.52127791034226</v>
      </c>
      <c r="AG69">
        <f t="shared" ca="1" si="141"/>
        <v>239.75362368177085</v>
      </c>
      <c r="AH69">
        <f t="shared" ca="1" si="141"/>
        <v>241.26036039949727</v>
      </c>
      <c r="AI69">
        <f t="shared" ca="1" si="141"/>
        <v>232.30506681320691</v>
      </c>
      <c r="AJ69">
        <f t="shared" ca="1" si="141"/>
        <v>225.83699967858996</v>
      </c>
      <c r="AK69">
        <f t="shared" ca="1" si="141"/>
        <v>226.56949734183362</v>
      </c>
      <c r="AL69">
        <f t="shared" ca="1" si="141"/>
        <v>222.11485130724779</v>
      </c>
      <c r="AM69">
        <f t="shared" ca="1" si="141"/>
        <v>216.83539211478691</v>
      </c>
      <c r="AN69">
        <f t="shared" ca="1" si="141"/>
        <v>218.31502121940576</v>
      </c>
      <c r="AO69">
        <f t="shared" ca="1" si="141"/>
        <v>235.48514678032805</v>
      </c>
      <c r="AP69">
        <f t="shared" ca="1" si="141"/>
        <v>234.48733181598021</v>
      </c>
      <c r="AQ69">
        <f t="shared" ca="1" si="141"/>
        <v>240.04279552671957</v>
      </c>
      <c r="AR69">
        <f t="shared" ca="1" si="141"/>
        <v>229.17314586652816</v>
      </c>
      <c r="AS69">
        <f t="shared" ca="1" si="141"/>
        <v>229.88812832188532</v>
      </c>
      <c r="AT69">
        <f t="shared" ca="1" si="141"/>
        <v>217.54328616858461</v>
      </c>
      <c r="AU69">
        <f t="shared" ca="1" si="141"/>
        <v>215.99559516764432</v>
      </c>
      <c r="AV69">
        <f t="shared" ca="1" si="141"/>
        <v>220.53873780188462</v>
      </c>
      <c r="AW69">
        <f t="shared" ca="1" si="141"/>
        <v>225.85904640026382</v>
      </c>
      <c r="AX69">
        <f t="shared" ca="1" si="141"/>
        <v>225.64021957728841</v>
      </c>
      <c r="AY69">
        <f t="shared" ca="1" si="141"/>
        <v>224.74592754915213</v>
      </c>
      <c r="AZ69">
        <f t="shared" ca="1" si="141"/>
        <v>223.03856088548611</v>
      </c>
      <c r="BA69">
        <f t="shared" ca="1" si="141"/>
        <v>223.27031576724511</v>
      </c>
      <c r="BB69">
        <f t="shared" ca="1" si="141"/>
        <v>221.05752659086642</v>
      </c>
      <c r="BC69">
        <f t="shared" ca="1" si="141"/>
        <v>209.42492715729179</v>
      </c>
      <c r="BD69">
        <f t="shared" ca="1" si="141"/>
        <v>205.19318985336852</v>
      </c>
      <c r="BE69">
        <f t="shared" ca="1" si="141"/>
        <v>201.3584719218764</v>
      </c>
      <c r="BF69">
        <f t="shared" ca="1" si="141"/>
        <v>197.5280839706526</v>
      </c>
      <c r="BG69">
        <f t="shared" ca="1" si="141"/>
        <v>195.15306512557132</v>
      </c>
      <c r="BH69">
        <f t="shared" ca="1" si="141"/>
        <v>196.60613075109376</v>
      </c>
      <c r="BI69">
        <f t="shared" ca="1" si="141"/>
        <v>202.5792936397205</v>
      </c>
      <c r="BJ69">
        <f t="shared" ca="1" si="141"/>
        <v>203.10421898037632</v>
      </c>
      <c r="BK69">
        <f t="shared" ca="1" si="141"/>
        <v>210.49848948662768</v>
      </c>
      <c r="BL69">
        <f t="shared" ca="1" si="141"/>
        <v>202.09818032756274</v>
      </c>
      <c r="BM69">
        <f t="shared" ca="1" si="141"/>
        <v>205.06766527473405</v>
      </c>
      <c r="BN69">
        <f t="shared" ca="1" si="141"/>
        <v>197.72465145196406</v>
      </c>
      <c r="BO69">
        <f t="shared" ca="1" si="141"/>
        <v>193.75429304344414</v>
      </c>
      <c r="BP69">
        <f t="shared" ca="1" si="141"/>
        <v>195.45550854700775</v>
      </c>
      <c r="BQ69">
        <f t="shared" ca="1" si="141"/>
        <v>185.90520251118522</v>
      </c>
      <c r="BR69">
        <f t="shared" ref="BR69:CU69" ca="1" si="142">BQ69*(1+$B$2*$B$4+$B$3*SQRT($B$4)*_xlfn.NORM.S.INV(RAND()))</f>
        <v>191.33473957134441</v>
      </c>
      <c r="BS69">
        <f t="shared" ca="1" si="142"/>
        <v>185.35929426803716</v>
      </c>
      <c r="BT69">
        <f t="shared" ca="1" si="142"/>
        <v>194.93157085444122</v>
      </c>
      <c r="BU69">
        <f t="shared" ca="1" si="142"/>
        <v>190.47307094695825</v>
      </c>
      <c r="BV69">
        <f t="shared" ca="1" si="142"/>
        <v>188.32365717273865</v>
      </c>
      <c r="BW69">
        <f t="shared" ca="1" si="142"/>
        <v>200.96668723747129</v>
      </c>
      <c r="BX69">
        <f t="shared" ca="1" si="142"/>
        <v>204.55331344743877</v>
      </c>
      <c r="BY69">
        <f t="shared" ca="1" si="142"/>
        <v>214.19312030183613</v>
      </c>
      <c r="BZ69">
        <f t="shared" ca="1" si="142"/>
        <v>213.59137012139729</v>
      </c>
      <c r="CA69">
        <f t="shared" ca="1" si="142"/>
        <v>215.9620280977025</v>
      </c>
      <c r="CB69">
        <f t="shared" ca="1" si="142"/>
        <v>219.92276747831437</v>
      </c>
      <c r="CC69">
        <f t="shared" ca="1" si="142"/>
        <v>228.55087540497513</v>
      </c>
      <c r="CD69">
        <f t="shared" ca="1" si="142"/>
        <v>226.10956652758827</v>
      </c>
      <c r="CE69">
        <f t="shared" ca="1" si="142"/>
        <v>221.29019653140233</v>
      </c>
      <c r="CF69">
        <f t="shared" ca="1" si="142"/>
        <v>227.31885139442784</v>
      </c>
      <c r="CG69">
        <f t="shared" ca="1" si="142"/>
        <v>238.69292095977778</v>
      </c>
      <c r="CH69">
        <f t="shared" ca="1" si="142"/>
        <v>237.46856437687529</v>
      </c>
      <c r="CI69">
        <f t="shared" ca="1" si="142"/>
        <v>232.98876811766678</v>
      </c>
      <c r="CJ69">
        <f t="shared" ca="1" si="142"/>
        <v>235.32342332644026</v>
      </c>
      <c r="CK69">
        <f t="shared" ca="1" si="142"/>
        <v>232.70209394218682</v>
      </c>
      <c r="CL69">
        <f t="shared" ca="1" si="142"/>
        <v>233.34097025436401</v>
      </c>
      <c r="CM69">
        <f t="shared" ca="1" si="142"/>
        <v>230.94131435818321</v>
      </c>
      <c r="CN69">
        <f t="shared" ca="1" si="142"/>
        <v>227.89437283231334</v>
      </c>
      <c r="CO69">
        <f t="shared" ca="1" si="142"/>
        <v>238.83098931554761</v>
      </c>
      <c r="CP69">
        <f t="shared" ca="1" si="142"/>
        <v>251.96133498036886</v>
      </c>
      <c r="CQ69">
        <f t="shared" ca="1" si="142"/>
        <v>258.74235011488963</v>
      </c>
      <c r="CR69">
        <f t="shared" ca="1" si="142"/>
        <v>264.8019667569676</v>
      </c>
      <c r="CS69">
        <f t="shared" ca="1" si="142"/>
        <v>259.08051528562947</v>
      </c>
      <c r="CT69">
        <f t="shared" ca="1" si="142"/>
        <v>255.60428451057476</v>
      </c>
      <c r="CU69">
        <f t="shared" ca="1" si="142"/>
        <v>251.28247396061386</v>
      </c>
      <c r="CV69">
        <f t="shared" ca="1" si="135"/>
        <v>31.282473960613856</v>
      </c>
      <c r="CW69">
        <f t="shared" ca="1" si="138"/>
        <v>30.076892366006867</v>
      </c>
    </row>
    <row r="70" spans="5:101" x14ac:dyDescent="0.2">
      <c r="E70">
        <v>222.13</v>
      </c>
      <c r="F70">
        <f t="shared" ref="F70:BQ70" ca="1" si="143">E70*(1+$B$2*$B$4+$B$3*SQRT($B$4)*_xlfn.NORM.S.INV(RAND()))</f>
        <v>225.45323082900927</v>
      </c>
      <c r="G70">
        <f t="shared" ca="1" si="143"/>
        <v>226.33268624822352</v>
      </c>
      <c r="H70">
        <f t="shared" ca="1" si="143"/>
        <v>231.87930463540178</v>
      </c>
      <c r="I70">
        <f t="shared" ca="1" si="143"/>
        <v>233.17132329790681</v>
      </c>
      <c r="J70">
        <f t="shared" ca="1" si="143"/>
        <v>221.95129236975092</v>
      </c>
      <c r="K70">
        <f t="shared" ca="1" si="143"/>
        <v>223.24287829546833</v>
      </c>
      <c r="L70">
        <f t="shared" ca="1" si="143"/>
        <v>215.15630124575091</v>
      </c>
      <c r="M70">
        <f t="shared" ca="1" si="143"/>
        <v>217.87043044910939</v>
      </c>
      <c r="N70">
        <f t="shared" ca="1" si="143"/>
        <v>218.86660560080605</v>
      </c>
      <c r="O70">
        <f t="shared" ca="1" si="143"/>
        <v>220.12404932227489</v>
      </c>
      <c r="P70">
        <f t="shared" ca="1" si="143"/>
        <v>216.26045324276686</v>
      </c>
      <c r="Q70">
        <f t="shared" ca="1" si="143"/>
        <v>216.2234111656787</v>
      </c>
      <c r="R70">
        <f t="shared" ca="1" si="143"/>
        <v>220.98797377445635</v>
      </c>
      <c r="S70">
        <f t="shared" ca="1" si="143"/>
        <v>222.18346069517915</v>
      </c>
      <c r="T70">
        <f t="shared" ca="1" si="143"/>
        <v>212.9449799274924</v>
      </c>
      <c r="U70">
        <f t="shared" ca="1" si="143"/>
        <v>209.37181485461332</v>
      </c>
      <c r="V70">
        <f t="shared" ca="1" si="143"/>
        <v>207.64197625843519</v>
      </c>
      <c r="W70">
        <f t="shared" ca="1" si="143"/>
        <v>214.5638657681142</v>
      </c>
      <c r="X70">
        <f t="shared" ca="1" si="143"/>
        <v>211.39884011610684</v>
      </c>
      <c r="Y70">
        <f t="shared" ca="1" si="143"/>
        <v>223.23165866318163</v>
      </c>
      <c r="Z70">
        <f t="shared" ca="1" si="143"/>
        <v>235.73473460483643</v>
      </c>
      <c r="AA70">
        <f t="shared" ca="1" si="143"/>
        <v>238.75350271775389</v>
      </c>
      <c r="AB70">
        <f t="shared" ca="1" si="143"/>
        <v>250.00128227870874</v>
      </c>
      <c r="AC70">
        <f t="shared" ca="1" si="143"/>
        <v>248.26531861703569</v>
      </c>
      <c r="AD70">
        <f t="shared" ca="1" si="143"/>
        <v>244.52157485795348</v>
      </c>
      <c r="AE70">
        <f t="shared" ca="1" si="143"/>
        <v>241.90930546166317</v>
      </c>
      <c r="AF70">
        <f t="shared" ca="1" si="143"/>
        <v>247.65226183430437</v>
      </c>
      <c r="AG70">
        <f t="shared" ca="1" si="143"/>
        <v>245.49173048307782</v>
      </c>
      <c r="AH70">
        <f t="shared" ca="1" si="143"/>
        <v>249.40557566504043</v>
      </c>
      <c r="AI70">
        <f t="shared" ca="1" si="143"/>
        <v>249.49606539611801</v>
      </c>
      <c r="AJ70">
        <f t="shared" ca="1" si="143"/>
        <v>243.72966185321803</v>
      </c>
      <c r="AK70">
        <f t="shared" ca="1" si="143"/>
        <v>247.04521488467455</v>
      </c>
      <c r="AL70">
        <f t="shared" ca="1" si="143"/>
        <v>248.15538596559776</v>
      </c>
      <c r="AM70">
        <f t="shared" ca="1" si="143"/>
        <v>251.12207898844693</v>
      </c>
      <c r="AN70">
        <f t="shared" ca="1" si="143"/>
        <v>254.05987830989108</v>
      </c>
      <c r="AO70">
        <f t="shared" ca="1" si="143"/>
        <v>241.45921943034591</v>
      </c>
      <c r="AP70">
        <f t="shared" ca="1" si="143"/>
        <v>247.6632098716814</v>
      </c>
      <c r="AQ70">
        <f t="shared" ca="1" si="143"/>
        <v>249.70216028525471</v>
      </c>
      <c r="AR70">
        <f t="shared" ca="1" si="143"/>
        <v>253.36432441863258</v>
      </c>
      <c r="AS70">
        <f t="shared" ca="1" si="143"/>
        <v>259.54573492314955</v>
      </c>
      <c r="AT70">
        <f t="shared" ca="1" si="143"/>
        <v>268.63918558844318</v>
      </c>
      <c r="AU70">
        <f t="shared" ca="1" si="143"/>
        <v>273.14080701137652</v>
      </c>
      <c r="AV70">
        <f t="shared" ca="1" si="143"/>
        <v>262.26880975867084</v>
      </c>
      <c r="AW70">
        <f t="shared" ca="1" si="143"/>
        <v>261.51378054804843</v>
      </c>
      <c r="AX70">
        <f t="shared" ca="1" si="143"/>
        <v>270.11787687468996</v>
      </c>
      <c r="AY70">
        <f t="shared" ca="1" si="143"/>
        <v>266.46467540741241</v>
      </c>
      <c r="AZ70">
        <f t="shared" ca="1" si="143"/>
        <v>266.68618278479443</v>
      </c>
      <c r="BA70">
        <f t="shared" ca="1" si="143"/>
        <v>258.82107748132296</v>
      </c>
      <c r="BB70">
        <f t="shared" ca="1" si="143"/>
        <v>259.52190446110995</v>
      </c>
      <c r="BC70">
        <f t="shared" ca="1" si="143"/>
        <v>269.41621345136463</v>
      </c>
      <c r="BD70">
        <f t="shared" ca="1" si="143"/>
        <v>261.49386041076667</v>
      </c>
      <c r="BE70">
        <f t="shared" ca="1" si="143"/>
        <v>254.91228807308337</v>
      </c>
      <c r="BF70">
        <f t="shared" ca="1" si="143"/>
        <v>244.81590327587085</v>
      </c>
      <c r="BG70">
        <f t="shared" ca="1" si="143"/>
        <v>234.48369240421769</v>
      </c>
      <c r="BH70">
        <f t="shared" ca="1" si="143"/>
        <v>240.21537940405486</v>
      </c>
      <c r="BI70">
        <f t="shared" ca="1" si="143"/>
        <v>232.60653324552715</v>
      </c>
      <c r="BJ70">
        <f t="shared" ca="1" si="143"/>
        <v>230.05265186194995</v>
      </c>
      <c r="BK70">
        <f t="shared" ca="1" si="143"/>
        <v>228.72264480551641</v>
      </c>
      <c r="BL70">
        <f t="shared" ca="1" si="143"/>
        <v>219.90457124598709</v>
      </c>
      <c r="BM70">
        <f t="shared" ca="1" si="143"/>
        <v>222.81471105430583</v>
      </c>
      <c r="BN70">
        <f t="shared" ca="1" si="143"/>
        <v>219.33112883174104</v>
      </c>
      <c r="BO70">
        <f t="shared" ca="1" si="143"/>
        <v>215.32615070500066</v>
      </c>
      <c r="BP70">
        <f t="shared" ca="1" si="143"/>
        <v>217.09584961701694</v>
      </c>
      <c r="BQ70">
        <f t="shared" ca="1" si="143"/>
        <v>213.40183107866571</v>
      </c>
      <c r="BR70">
        <f t="shared" ref="BR70:CU70" ca="1" si="144">BQ70*(1+$B$2*$B$4+$B$3*SQRT($B$4)*_xlfn.NORM.S.INV(RAND()))</f>
        <v>209.39004309931977</v>
      </c>
      <c r="BS70">
        <f t="shared" ca="1" si="144"/>
        <v>212.45531005494718</v>
      </c>
      <c r="BT70">
        <f t="shared" ca="1" si="144"/>
        <v>214.11842804463342</v>
      </c>
      <c r="BU70">
        <f t="shared" ca="1" si="144"/>
        <v>212.19142132938637</v>
      </c>
      <c r="BV70">
        <f t="shared" ca="1" si="144"/>
        <v>210.10420546498705</v>
      </c>
      <c r="BW70">
        <f t="shared" ca="1" si="144"/>
        <v>211.68775724170249</v>
      </c>
      <c r="BX70">
        <f t="shared" ca="1" si="144"/>
        <v>207.18054690836522</v>
      </c>
      <c r="BY70">
        <f t="shared" ca="1" si="144"/>
        <v>210.79020348779878</v>
      </c>
      <c r="BZ70">
        <f t="shared" ca="1" si="144"/>
        <v>200.87661103797419</v>
      </c>
      <c r="CA70">
        <f t="shared" ca="1" si="144"/>
        <v>200.11894683831741</v>
      </c>
      <c r="CB70">
        <f t="shared" ca="1" si="144"/>
        <v>201.10650728200142</v>
      </c>
      <c r="CC70">
        <f t="shared" ca="1" si="144"/>
        <v>208.49250801628412</v>
      </c>
      <c r="CD70">
        <f t="shared" ca="1" si="144"/>
        <v>207.16400929676675</v>
      </c>
      <c r="CE70">
        <f t="shared" ca="1" si="144"/>
        <v>208.88852744259967</v>
      </c>
      <c r="CF70">
        <f t="shared" ca="1" si="144"/>
        <v>211.0421119160159</v>
      </c>
      <c r="CG70">
        <f t="shared" ca="1" si="144"/>
        <v>210.01933596812844</v>
      </c>
      <c r="CH70">
        <f t="shared" ca="1" si="144"/>
        <v>213.16612052335765</v>
      </c>
      <c r="CI70">
        <f t="shared" ca="1" si="144"/>
        <v>217.44364569575171</v>
      </c>
      <c r="CJ70">
        <f t="shared" ca="1" si="144"/>
        <v>222.37995320834713</v>
      </c>
      <c r="CK70">
        <f t="shared" ca="1" si="144"/>
        <v>220.49247223846677</v>
      </c>
      <c r="CL70">
        <f t="shared" ca="1" si="144"/>
        <v>229.60475002514252</v>
      </c>
      <c r="CM70">
        <f t="shared" ca="1" si="144"/>
        <v>229.36070387802184</v>
      </c>
      <c r="CN70">
        <f t="shared" ca="1" si="144"/>
        <v>232.92824240906683</v>
      </c>
      <c r="CO70">
        <f t="shared" ca="1" si="144"/>
        <v>238.02894995557187</v>
      </c>
      <c r="CP70">
        <f t="shared" ca="1" si="144"/>
        <v>247.47659581458257</v>
      </c>
      <c r="CQ70">
        <f t="shared" ca="1" si="144"/>
        <v>250.03451003920276</v>
      </c>
      <c r="CR70">
        <f t="shared" ca="1" si="144"/>
        <v>240.63498807591301</v>
      </c>
      <c r="CS70">
        <f t="shared" ca="1" si="144"/>
        <v>242.8511457660027</v>
      </c>
      <c r="CT70">
        <f t="shared" ca="1" si="144"/>
        <v>248.08838738545253</v>
      </c>
      <c r="CU70">
        <f t="shared" ca="1" si="144"/>
        <v>246.00854488678488</v>
      </c>
      <c r="CV70">
        <f t="shared" ca="1" si="135"/>
        <v>26.008544886784875</v>
      </c>
      <c r="CW70">
        <f t="shared" ca="1" si="138"/>
        <v>25.006212940229258</v>
      </c>
    </row>
    <row r="71" spans="5:101" x14ac:dyDescent="0.2">
      <c r="E71">
        <v>222.13</v>
      </c>
      <c r="F71">
        <f t="shared" ref="F71:BQ71" ca="1" si="145">E71*(1+$B$2*$B$4+$B$3*SQRT($B$4)*_xlfn.NORM.S.INV(RAND()))</f>
        <v>221.49023840433006</v>
      </c>
      <c r="G71">
        <f t="shared" ca="1" si="145"/>
        <v>213.49139998703063</v>
      </c>
      <c r="H71">
        <f t="shared" ca="1" si="145"/>
        <v>215.01199964011929</v>
      </c>
      <c r="I71">
        <f t="shared" ca="1" si="145"/>
        <v>209.47529156993545</v>
      </c>
      <c r="J71">
        <f t="shared" ca="1" si="145"/>
        <v>213.98509519916925</v>
      </c>
      <c r="K71">
        <f t="shared" ca="1" si="145"/>
        <v>213.10560686059583</v>
      </c>
      <c r="L71">
        <f t="shared" ca="1" si="145"/>
        <v>213.19350341356963</v>
      </c>
      <c r="M71">
        <f t="shared" ca="1" si="145"/>
        <v>210.12925314332051</v>
      </c>
      <c r="N71">
        <f t="shared" ca="1" si="145"/>
        <v>213.16481616161551</v>
      </c>
      <c r="O71">
        <f t="shared" ca="1" si="145"/>
        <v>211.74495120615293</v>
      </c>
      <c r="P71">
        <f t="shared" ca="1" si="145"/>
        <v>214.79816143535606</v>
      </c>
      <c r="Q71">
        <f t="shared" ca="1" si="145"/>
        <v>219.39083054550025</v>
      </c>
      <c r="R71">
        <f t="shared" ca="1" si="145"/>
        <v>210.89794400011951</v>
      </c>
      <c r="S71">
        <f t="shared" ca="1" si="145"/>
        <v>206.15909268542731</v>
      </c>
      <c r="T71">
        <f t="shared" ca="1" si="145"/>
        <v>210.90051079649288</v>
      </c>
      <c r="U71">
        <f t="shared" ca="1" si="145"/>
        <v>206.328008888336</v>
      </c>
      <c r="V71">
        <f t="shared" ca="1" si="145"/>
        <v>211.94644744907387</v>
      </c>
      <c r="W71">
        <f t="shared" ca="1" si="145"/>
        <v>221.14778034925672</v>
      </c>
      <c r="X71">
        <f t="shared" ca="1" si="145"/>
        <v>224.1396899265701</v>
      </c>
      <c r="Y71">
        <f t="shared" ca="1" si="145"/>
        <v>223.72153518800178</v>
      </c>
      <c r="Z71">
        <f t="shared" ca="1" si="145"/>
        <v>214.60693762181734</v>
      </c>
      <c r="AA71">
        <f t="shared" ca="1" si="145"/>
        <v>219.44819996129166</v>
      </c>
      <c r="AB71">
        <f t="shared" ca="1" si="145"/>
        <v>217.85880387334066</v>
      </c>
      <c r="AC71">
        <f t="shared" ca="1" si="145"/>
        <v>212.20943136855152</v>
      </c>
      <c r="AD71">
        <f t="shared" ca="1" si="145"/>
        <v>207.19235184245369</v>
      </c>
      <c r="AE71">
        <f t="shared" ca="1" si="145"/>
        <v>205.80219084775419</v>
      </c>
      <c r="AF71">
        <f t="shared" ca="1" si="145"/>
        <v>210.89455625044459</v>
      </c>
      <c r="AG71">
        <f t="shared" ca="1" si="145"/>
        <v>219.66239028117997</v>
      </c>
      <c r="AH71">
        <f t="shared" ca="1" si="145"/>
        <v>227.19938918207941</v>
      </c>
      <c r="AI71">
        <f t="shared" ca="1" si="145"/>
        <v>238.07383969688615</v>
      </c>
      <c r="AJ71">
        <f t="shared" ca="1" si="145"/>
        <v>235.63317803281939</v>
      </c>
      <c r="AK71">
        <f t="shared" ca="1" si="145"/>
        <v>233.2052939636875</v>
      </c>
      <c r="AL71">
        <f t="shared" ca="1" si="145"/>
        <v>227.91274500599488</v>
      </c>
      <c r="AM71">
        <f t="shared" ca="1" si="145"/>
        <v>232.77398358522726</v>
      </c>
      <c r="AN71">
        <f t="shared" ca="1" si="145"/>
        <v>225.70288654144653</v>
      </c>
      <c r="AO71">
        <f t="shared" ca="1" si="145"/>
        <v>226.18217658601614</v>
      </c>
      <c r="AP71">
        <f t="shared" ca="1" si="145"/>
        <v>223.34667635070562</v>
      </c>
      <c r="AQ71">
        <f t="shared" ca="1" si="145"/>
        <v>227.65086063763124</v>
      </c>
      <c r="AR71">
        <f t="shared" ca="1" si="145"/>
        <v>226.24666981184984</v>
      </c>
      <c r="AS71">
        <f t="shared" ca="1" si="145"/>
        <v>224.72773694945943</v>
      </c>
      <c r="AT71">
        <f t="shared" ca="1" si="145"/>
        <v>224.98445407037042</v>
      </c>
      <c r="AU71">
        <f t="shared" ca="1" si="145"/>
        <v>222.06333776431791</v>
      </c>
      <c r="AV71">
        <f t="shared" ca="1" si="145"/>
        <v>223.2349491120259</v>
      </c>
      <c r="AW71">
        <f t="shared" ca="1" si="145"/>
        <v>223.35925049849564</v>
      </c>
      <c r="AX71">
        <f t="shared" ca="1" si="145"/>
        <v>224.9585940584534</v>
      </c>
      <c r="AY71">
        <f t="shared" ca="1" si="145"/>
        <v>224.69634227322311</v>
      </c>
      <c r="AZ71">
        <f t="shared" ca="1" si="145"/>
        <v>222.2942737111745</v>
      </c>
      <c r="BA71">
        <f t="shared" ca="1" si="145"/>
        <v>227.08133350698907</v>
      </c>
      <c r="BB71">
        <f t="shared" ca="1" si="145"/>
        <v>233.40919735339429</v>
      </c>
      <c r="BC71">
        <f t="shared" ca="1" si="145"/>
        <v>231.8298268583795</v>
      </c>
      <c r="BD71">
        <f t="shared" ca="1" si="145"/>
        <v>230.70961152482491</v>
      </c>
      <c r="BE71">
        <f t="shared" ca="1" si="145"/>
        <v>229.53660503654959</v>
      </c>
      <c r="BF71">
        <f t="shared" ca="1" si="145"/>
        <v>225.14176906293815</v>
      </c>
      <c r="BG71">
        <f t="shared" ca="1" si="145"/>
        <v>222.71037749283161</v>
      </c>
      <c r="BH71">
        <f t="shared" ca="1" si="145"/>
        <v>223.80853527834503</v>
      </c>
      <c r="BI71">
        <f t="shared" ca="1" si="145"/>
        <v>222.51303484789139</v>
      </c>
      <c r="BJ71">
        <f t="shared" ca="1" si="145"/>
        <v>221.74772533261785</v>
      </c>
      <c r="BK71">
        <f t="shared" ca="1" si="145"/>
        <v>225.52283654070547</v>
      </c>
      <c r="BL71">
        <f t="shared" ca="1" si="145"/>
        <v>222.05711723205744</v>
      </c>
      <c r="BM71">
        <f t="shared" ca="1" si="145"/>
        <v>217.62248220612557</v>
      </c>
      <c r="BN71">
        <f t="shared" ca="1" si="145"/>
        <v>218.63274445787115</v>
      </c>
      <c r="BO71">
        <f t="shared" ca="1" si="145"/>
        <v>219.73272957759932</v>
      </c>
      <c r="BP71">
        <f t="shared" ca="1" si="145"/>
        <v>219.90957988832068</v>
      </c>
      <c r="BQ71">
        <f t="shared" ca="1" si="145"/>
        <v>216.46135584683859</v>
      </c>
      <c r="BR71">
        <f t="shared" ref="BR71:CU71" ca="1" si="146">BQ71*(1+$B$2*$B$4+$B$3*SQRT($B$4)*_xlfn.NORM.S.INV(RAND()))</f>
        <v>220.83390046740013</v>
      </c>
      <c r="BS71">
        <f t="shared" ca="1" si="146"/>
        <v>221.87416587770022</v>
      </c>
      <c r="BT71">
        <f t="shared" ca="1" si="146"/>
        <v>216.42455123152149</v>
      </c>
      <c r="BU71">
        <f t="shared" ca="1" si="146"/>
        <v>216.87257157823609</v>
      </c>
      <c r="BV71">
        <f t="shared" ca="1" si="146"/>
        <v>214.90840472003745</v>
      </c>
      <c r="BW71">
        <f t="shared" ca="1" si="146"/>
        <v>213.24173008895349</v>
      </c>
      <c r="BX71">
        <f t="shared" ca="1" si="146"/>
        <v>210.03376128800647</v>
      </c>
      <c r="BY71">
        <f t="shared" ca="1" si="146"/>
        <v>214.7861655518623</v>
      </c>
      <c r="BZ71">
        <f t="shared" ca="1" si="146"/>
        <v>213.91298080421274</v>
      </c>
      <c r="CA71">
        <f t="shared" ca="1" si="146"/>
        <v>220.59953173354393</v>
      </c>
      <c r="CB71">
        <f t="shared" ca="1" si="146"/>
        <v>227.18317284725472</v>
      </c>
      <c r="CC71">
        <f t="shared" ca="1" si="146"/>
        <v>237.38181099905873</v>
      </c>
      <c r="CD71">
        <f t="shared" ca="1" si="146"/>
        <v>232.6489451709148</v>
      </c>
      <c r="CE71">
        <f t="shared" ca="1" si="146"/>
        <v>226.9069491230359</v>
      </c>
      <c r="CF71">
        <f t="shared" ca="1" si="146"/>
        <v>229.1714220567533</v>
      </c>
      <c r="CG71">
        <f t="shared" ca="1" si="146"/>
        <v>226.12668295012571</v>
      </c>
      <c r="CH71">
        <f t="shared" ca="1" si="146"/>
        <v>226.91645034321587</v>
      </c>
      <c r="CI71">
        <f t="shared" ca="1" si="146"/>
        <v>224.53147254656525</v>
      </c>
      <c r="CJ71">
        <f t="shared" ca="1" si="146"/>
        <v>228.86349274849914</v>
      </c>
      <c r="CK71">
        <f t="shared" ca="1" si="146"/>
        <v>236.35060881119702</v>
      </c>
      <c r="CL71">
        <f t="shared" ca="1" si="146"/>
        <v>237.77034547265566</v>
      </c>
      <c r="CM71">
        <f t="shared" ca="1" si="146"/>
        <v>221.55362365852685</v>
      </c>
      <c r="CN71">
        <f t="shared" ca="1" si="146"/>
        <v>223.66776904008742</v>
      </c>
      <c r="CO71">
        <f t="shared" ca="1" si="146"/>
        <v>232.19054676844942</v>
      </c>
      <c r="CP71">
        <f t="shared" ca="1" si="146"/>
        <v>225.80470444659053</v>
      </c>
      <c r="CQ71">
        <f t="shared" ca="1" si="146"/>
        <v>229.79069646161045</v>
      </c>
      <c r="CR71">
        <f t="shared" ca="1" si="146"/>
        <v>222.85898871229949</v>
      </c>
      <c r="CS71">
        <f t="shared" ca="1" si="146"/>
        <v>224.19812788765609</v>
      </c>
      <c r="CT71">
        <f t="shared" ca="1" si="146"/>
        <v>220.05417256059755</v>
      </c>
      <c r="CU71">
        <f t="shared" ca="1" si="146"/>
        <v>220.39969572511046</v>
      </c>
      <c r="CV71">
        <f t="shared" ca="1" si="135"/>
        <v>0.39969572511046181</v>
      </c>
      <c r="CW71">
        <f t="shared" ca="1" si="138"/>
        <v>0.38429202621366226</v>
      </c>
    </row>
    <row r="72" spans="5:101" x14ac:dyDescent="0.2">
      <c r="E72">
        <v>222.13</v>
      </c>
      <c r="F72">
        <f t="shared" ref="F72:BQ72" ca="1" si="147">E72*(1+$B$2*$B$4+$B$3*SQRT($B$4)*_xlfn.NORM.S.INV(RAND()))</f>
        <v>220.86448697779781</v>
      </c>
      <c r="G72">
        <f t="shared" ca="1" si="147"/>
        <v>228.55514105749901</v>
      </c>
      <c r="H72">
        <f t="shared" ca="1" si="147"/>
        <v>225.49689664830066</v>
      </c>
      <c r="I72">
        <f t="shared" ca="1" si="147"/>
        <v>222.43833943010947</v>
      </c>
      <c r="J72">
        <f t="shared" ca="1" si="147"/>
        <v>220.87703534129366</v>
      </c>
      <c r="K72">
        <f t="shared" ca="1" si="147"/>
        <v>234.49624510506578</v>
      </c>
      <c r="L72">
        <f t="shared" ca="1" si="147"/>
        <v>219.9645992661757</v>
      </c>
      <c r="M72">
        <f t="shared" ca="1" si="147"/>
        <v>226.65748419485732</v>
      </c>
      <c r="N72">
        <f t="shared" ca="1" si="147"/>
        <v>233.03080875867033</v>
      </c>
      <c r="O72">
        <f t="shared" ca="1" si="147"/>
        <v>228.9289769738358</v>
      </c>
      <c r="P72">
        <f t="shared" ca="1" si="147"/>
        <v>220.38200178078725</v>
      </c>
      <c r="Q72">
        <f t="shared" ca="1" si="147"/>
        <v>225.52203152729433</v>
      </c>
      <c r="R72">
        <f t="shared" ca="1" si="147"/>
        <v>225.24693048909913</v>
      </c>
      <c r="S72">
        <f t="shared" ca="1" si="147"/>
        <v>222.49523315213318</v>
      </c>
      <c r="T72">
        <f t="shared" ca="1" si="147"/>
        <v>222.3981394938298</v>
      </c>
      <c r="U72">
        <f t="shared" ca="1" si="147"/>
        <v>228.77160825740845</v>
      </c>
      <c r="V72">
        <f t="shared" ca="1" si="147"/>
        <v>247.74846160044947</v>
      </c>
      <c r="W72">
        <f t="shared" ca="1" si="147"/>
        <v>244.67839831774026</v>
      </c>
      <c r="X72">
        <f t="shared" ca="1" si="147"/>
        <v>233.72682692973959</v>
      </c>
      <c r="Y72">
        <f t="shared" ca="1" si="147"/>
        <v>223.01234906859915</v>
      </c>
      <c r="Z72">
        <f t="shared" ca="1" si="147"/>
        <v>218.02205088404042</v>
      </c>
      <c r="AA72">
        <f t="shared" ca="1" si="147"/>
        <v>220.88754787702675</v>
      </c>
      <c r="AB72">
        <f t="shared" ca="1" si="147"/>
        <v>216.02321291524984</v>
      </c>
      <c r="AC72">
        <f t="shared" ca="1" si="147"/>
        <v>216.18695764739604</v>
      </c>
      <c r="AD72">
        <f t="shared" ca="1" si="147"/>
        <v>215.84774498330955</v>
      </c>
      <c r="AE72">
        <f t="shared" ca="1" si="147"/>
        <v>209.74074088798565</v>
      </c>
      <c r="AF72">
        <f t="shared" ca="1" si="147"/>
        <v>200.81024712560151</v>
      </c>
      <c r="AG72">
        <f t="shared" ca="1" si="147"/>
        <v>197.97061509327034</v>
      </c>
      <c r="AH72">
        <f t="shared" ca="1" si="147"/>
        <v>191.18463499498927</v>
      </c>
      <c r="AI72">
        <f t="shared" ca="1" si="147"/>
        <v>184.99596728606792</v>
      </c>
      <c r="AJ72">
        <f t="shared" ca="1" si="147"/>
        <v>181.49987891672455</v>
      </c>
      <c r="AK72">
        <f t="shared" ca="1" si="147"/>
        <v>175.78641480290389</v>
      </c>
      <c r="AL72">
        <f t="shared" ca="1" si="147"/>
        <v>176.89328296824786</v>
      </c>
      <c r="AM72">
        <f t="shared" ca="1" si="147"/>
        <v>175.05259489360731</v>
      </c>
      <c r="AN72">
        <f t="shared" ca="1" si="147"/>
        <v>175.14285532574425</v>
      </c>
      <c r="AO72">
        <f t="shared" ca="1" si="147"/>
        <v>165.764042050515</v>
      </c>
      <c r="AP72">
        <f t="shared" ca="1" si="147"/>
        <v>174.3074841628133</v>
      </c>
      <c r="AQ72">
        <f t="shared" ca="1" si="147"/>
        <v>184.08399918219578</v>
      </c>
      <c r="AR72">
        <f t="shared" ca="1" si="147"/>
        <v>181.70317386030598</v>
      </c>
      <c r="AS72">
        <f t="shared" ca="1" si="147"/>
        <v>176.12676216372628</v>
      </c>
      <c r="AT72">
        <f t="shared" ca="1" si="147"/>
        <v>174.49258229150649</v>
      </c>
      <c r="AU72">
        <f t="shared" ca="1" si="147"/>
        <v>179.19518265986642</v>
      </c>
      <c r="AV72">
        <f t="shared" ca="1" si="147"/>
        <v>183.63577242420098</v>
      </c>
      <c r="AW72">
        <f t="shared" ca="1" si="147"/>
        <v>191.10979735315823</v>
      </c>
      <c r="AX72">
        <f t="shared" ca="1" si="147"/>
        <v>190.4760536543767</v>
      </c>
      <c r="AY72">
        <f t="shared" ca="1" si="147"/>
        <v>192.23453064995246</v>
      </c>
      <c r="AZ72">
        <f t="shared" ca="1" si="147"/>
        <v>198.39968054141355</v>
      </c>
      <c r="BA72">
        <f t="shared" ca="1" si="147"/>
        <v>194.49927017263886</v>
      </c>
      <c r="BB72">
        <f t="shared" ca="1" si="147"/>
        <v>194.63319963767051</v>
      </c>
      <c r="BC72">
        <f t="shared" ca="1" si="147"/>
        <v>197.11064745567148</v>
      </c>
      <c r="BD72">
        <f t="shared" ca="1" si="147"/>
        <v>198.37718352345345</v>
      </c>
      <c r="BE72">
        <f t="shared" ca="1" si="147"/>
        <v>199.87346796257975</v>
      </c>
      <c r="BF72">
        <f t="shared" ca="1" si="147"/>
        <v>195.3120810382969</v>
      </c>
      <c r="BG72">
        <f t="shared" ca="1" si="147"/>
        <v>186.74516641818599</v>
      </c>
      <c r="BH72">
        <f t="shared" ca="1" si="147"/>
        <v>184.33555223682009</v>
      </c>
      <c r="BI72">
        <f t="shared" ca="1" si="147"/>
        <v>190.26561531990598</v>
      </c>
      <c r="BJ72">
        <f t="shared" ca="1" si="147"/>
        <v>187.93846461695108</v>
      </c>
      <c r="BK72">
        <f t="shared" ca="1" si="147"/>
        <v>184.16622010860326</v>
      </c>
      <c r="BL72">
        <f t="shared" ca="1" si="147"/>
        <v>181.17711910472946</v>
      </c>
      <c r="BM72">
        <f t="shared" ca="1" si="147"/>
        <v>183.66163196846378</v>
      </c>
      <c r="BN72">
        <f t="shared" ca="1" si="147"/>
        <v>188.5866224275922</v>
      </c>
      <c r="BO72">
        <f t="shared" ca="1" si="147"/>
        <v>186.40359827993765</v>
      </c>
      <c r="BP72">
        <f t="shared" ca="1" si="147"/>
        <v>189.88351665770969</v>
      </c>
      <c r="BQ72">
        <f t="shared" ca="1" si="147"/>
        <v>192.06016059721316</v>
      </c>
      <c r="BR72">
        <f t="shared" ref="BR72:CU72" ca="1" si="148">BQ72*(1+$B$2*$B$4+$B$3*SQRT($B$4)*_xlfn.NORM.S.INV(RAND()))</f>
        <v>201.13419531219677</v>
      </c>
      <c r="BS72">
        <f t="shared" ca="1" si="148"/>
        <v>201.40000004447845</v>
      </c>
      <c r="BT72">
        <f t="shared" ca="1" si="148"/>
        <v>201.72021589625467</v>
      </c>
      <c r="BU72">
        <f t="shared" ca="1" si="148"/>
        <v>201.44620672912473</v>
      </c>
      <c r="BV72">
        <f t="shared" ca="1" si="148"/>
        <v>198.41320756798882</v>
      </c>
      <c r="BW72">
        <f t="shared" ca="1" si="148"/>
        <v>204.87382960294562</v>
      </c>
      <c r="BX72">
        <f t="shared" ca="1" si="148"/>
        <v>207.64680499535098</v>
      </c>
      <c r="BY72">
        <f t="shared" ca="1" si="148"/>
        <v>202.58961023939142</v>
      </c>
      <c r="BZ72">
        <f t="shared" ca="1" si="148"/>
        <v>200.68151279561394</v>
      </c>
      <c r="CA72">
        <f t="shared" ca="1" si="148"/>
        <v>198.03820127618596</v>
      </c>
      <c r="CB72">
        <f t="shared" ca="1" si="148"/>
        <v>204.41769341031997</v>
      </c>
      <c r="CC72">
        <f t="shared" ca="1" si="148"/>
        <v>207.53485108625583</v>
      </c>
      <c r="CD72">
        <f t="shared" ca="1" si="148"/>
        <v>202.76686134566563</v>
      </c>
      <c r="CE72">
        <f t="shared" ca="1" si="148"/>
        <v>195.56970770669122</v>
      </c>
      <c r="CF72">
        <f t="shared" ca="1" si="148"/>
        <v>192.21131741297987</v>
      </c>
      <c r="CG72">
        <f t="shared" ca="1" si="148"/>
        <v>199.77974143625565</v>
      </c>
      <c r="CH72">
        <f t="shared" ca="1" si="148"/>
        <v>203.72287393231474</v>
      </c>
      <c r="CI72">
        <f t="shared" ca="1" si="148"/>
        <v>197.98544851061718</v>
      </c>
      <c r="CJ72">
        <f t="shared" ca="1" si="148"/>
        <v>191.26363338368964</v>
      </c>
      <c r="CK72">
        <f t="shared" ca="1" si="148"/>
        <v>187.69411330820276</v>
      </c>
      <c r="CL72">
        <f t="shared" ca="1" si="148"/>
        <v>191.89633760044046</v>
      </c>
      <c r="CM72">
        <f t="shared" ca="1" si="148"/>
        <v>201.51954107629331</v>
      </c>
      <c r="CN72">
        <f t="shared" ca="1" si="148"/>
        <v>198.00982923562799</v>
      </c>
      <c r="CO72">
        <f t="shared" ca="1" si="148"/>
        <v>202.03497598423826</v>
      </c>
      <c r="CP72">
        <f t="shared" ca="1" si="148"/>
        <v>197.4980672917159</v>
      </c>
      <c r="CQ72">
        <f t="shared" ca="1" si="148"/>
        <v>190.58407700239852</v>
      </c>
      <c r="CR72">
        <f t="shared" ca="1" si="148"/>
        <v>190.61464952736611</v>
      </c>
      <c r="CS72">
        <f t="shared" ca="1" si="148"/>
        <v>182.38818271370761</v>
      </c>
      <c r="CT72">
        <f t="shared" ca="1" si="148"/>
        <v>182.99927247806144</v>
      </c>
      <c r="CU72">
        <f t="shared" ca="1" si="148"/>
        <v>188.81413812295119</v>
      </c>
      <c r="CV72">
        <f t="shared" ca="1" si="135"/>
        <v>0</v>
      </c>
      <c r="CW72">
        <f t="shared" ca="1" si="138"/>
        <v>0</v>
      </c>
    </row>
    <row r="73" spans="5:101" x14ac:dyDescent="0.2">
      <c r="E73">
        <v>222.13</v>
      </c>
      <c r="F73">
        <f t="shared" ref="F73:BQ73" ca="1" si="149">E73*(1+$B$2*$B$4+$B$3*SQRT($B$4)*_xlfn.NORM.S.INV(RAND()))</f>
        <v>230.61961569314431</v>
      </c>
      <c r="G73">
        <f t="shared" ca="1" si="149"/>
        <v>220.82741510468142</v>
      </c>
      <c r="H73">
        <f t="shared" ca="1" si="149"/>
        <v>218.70563832736033</v>
      </c>
      <c r="I73">
        <f t="shared" ca="1" si="149"/>
        <v>218.62010495652493</v>
      </c>
      <c r="J73">
        <f t="shared" ca="1" si="149"/>
        <v>226.85791477372842</v>
      </c>
      <c r="K73">
        <f t="shared" ca="1" si="149"/>
        <v>230.45580267074644</v>
      </c>
      <c r="L73">
        <f t="shared" ca="1" si="149"/>
        <v>232.26440020526059</v>
      </c>
      <c r="M73">
        <f t="shared" ca="1" si="149"/>
        <v>235.86439542400223</v>
      </c>
      <c r="N73">
        <f t="shared" ca="1" si="149"/>
        <v>233.31209355027445</v>
      </c>
      <c r="O73">
        <f t="shared" ca="1" si="149"/>
        <v>231.70705947515441</v>
      </c>
      <c r="P73">
        <f t="shared" ca="1" si="149"/>
        <v>225.75032084308836</v>
      </c>
      <c r="Q73">
        <f t="shared" ca="1" si="149"/>
        <v>227.03063358795598</v>
      </c>
      <c r="R73">
        <f t="shared" ca="1" si="149"/>
        <v>221.29327797414314</v>
      </c>
      <c r="S73">
        <f t="shared" ca="1" si="149"/>
        <v>221.12032911126292</v>
      </c>
      <c r="T73">
        <f t="shared" ca="1" si="149"/>
        <v>220.07977302070952</v>
      </c>
      <c r="U73">
        <f t="shared" ca="1" si="149"/>
        <v>218.04438759972535</v>
      </c>
      <c r="V73">
        <f t="shared" ca="1" si="149"/>
        <v>218.1461366256857</v>
      </c>
      <c r="W73">
        <f t="shared" ca="1" si="149"/>
        <v>225.14750126631293</v>
      </c>
      <c r="X73">
        <f t="shared" ca="1" si="149"/>
        <v>222.84261035985227</v>
      </c>
      <c r="Y73">
        <f t="shared" ca="1" si="149"/>
        <v>230.59379697472511</v>
      </c>
      <c r="Z73">
        <f t="shared" ca="1" si="149"/>
        <v>227.7527966577446</v>
      </c>
      <c r="AA73">
        <f t="shared" ca="1" si="149"/>
        <v>222.98714363314545</v>
      </c>
      <c r="AB73">
        <f t="shared" ca="1" si="149"/>
        <v>222.26321433478313</v>
      </c>
      <c r="AC73">
        <f t="shared" ca="1" si="149"/>
        <v>217.72974944552283</v>
      </c>
      <c r="AD73">
        <f t="shared" ca="1" si="149"/>
        <v>216.75127479060981</v>
      </c>
      <c r="AE73">
        <f t="shared" ca="1" si="149"/>
        <v>213.75296875341684</v>
      </c>
      <c r="AF73">
        <f t="shared" ca="1" si="149"/>
        <v>208.31266258883969</v>
      </c>
      <c r="AG73">
        <f t="shared" ca="1" si="149"/>
        <v>208.80285099723901</v>
      </c>
      <c r="AH73">
        <f t="shared" ca="1" si="149"/>
        <v>210.52749947352075</v>
      </c>
      <c r="AI73">
        <f t="shared" ca="1" si="149"/>
        <v>202.79011597448078</v>
      </c>
      <c r="AJ73">
        <f t="shared" ca="1" si="149"/>
        <v>200.87457049759999</v>
      </c>
      <c r="AK73">
        <f t="shared" ca="1" si="149"/>
        <v>199.3219496678131</v>
      </c>
      <c r="AL73">
        <f t="shared" ca="1" si="149"/>
        <v>197.28870302977899</v>
      </c>
      <c r="AM73">
        <f t="shared" ca="1" si="149"/>
        <v>187.29228044126211</v>
      </c>
      <c r="AN73">
        <f t="shared" ca="1" si="149"/>
        <v>185.32027706211377</v>
      </c>
      <c r="AO73">
        <f t="shared" ca="1" si="149"/>
        <v>182.75921574483445</v>
      </c>
      <c r="AP73">
        <f t="shared" ca="1" si="149"/>
        <v>181.17162643694917</v>
      </c>
      <c r="AQ73">
        <f t="shared" ca="1" si="149"/>
        <v>178.91248945131903</v>
      </c>
      <c r="AR73">
        <f t="shared" ca="1" si="149"/>
        <v>183.16869800016295</v>
      </c>
      <c r="AS73">
        <f t="shared" ca="1" si="149"/>
        <v>182.74620568811483</v>
      </c>
      <c r="AT73">
        <f t="shared" ca="1" si="149"/>
        <v>186.7949783270675</v>
      </c>
      <c r="AU73">
        <f t="shared" ca="1" si="149"/>
        <v>190.63584087022463</v>
      </c>
      <c r="AV73">
        <f t="shared" ca="1" si="149"/>
        <v>198.42663611783317</v>
      </c>
      <c r="AW73">
        <f t="shared" ca="1" si="149"/>
        <v>193.56663119173658</v>
      </c>
      <c r="AX73">
        <f t="shared" ca="1" si="149"/>
        <v>200.25261906349778</v>
      </c>
      <c r="AY73">
        <f t="shared" ca="1" si="149"/>
        <v>198.41604798554141</v>
      </c>
      <c r="AZ73">
        <f t="shared" ca="1" si="149"/>
        <v>199.60905060713296</v>
      </c>
      <c r="BA73">
        <f t="shared" ca="1" si="149"/>
        <v>189.88899468282736</v>
      </c>
      <c r="BB73">
        <f t="shared" ca="1" si="149"/>
        <v>186.75383142276695</v>
      </c>
      <c r="BC73">
        <f t="shared" ca="1" si="149"/>
        <v>189.97971316014969</v>
      </c>
      <c r="BD73">
        <f t="shared" ca="1" si="149"/>
        <v>187.92336970474017</v>
      </c>
      <c r="BE73">
        <f t="shared" ca="1" si="149"/>
        <v>191.0527080817167</v>
      </c>
      <c r="BF73">
        <f t="shared" ca="1" si="149"/>
        <v>200.76320919571992</v>
      </c>
      <c r="BG73">
        <f t="shared" ca="1" si="149"/>
        <v>201.19094270696573</v>
      </c>
      <c r="BH73">
        <f t="shared" ca="1" si="149"/>
        <v>201.62986221269506</v>
      </c>
      <c r="BI73">
        <f t="shared" ca="1" si="149"/>
        <v>200.09340962127916</v>
      </c>
      <c r="BJ73">
        <f t="shared" ca="1" si="149"/>
        <v>194.60491288991184</v>
      </c>
      <c r="BK73">
        <f t="shared" ca="1" si="149"/>
        <v>198.91254888972577</v>
      </c>
      <c r="BL73">
        <f t="shared" ca="1" si="149"/>
        <v>197.50155994310188</v>
      </c>
      <c r="BM73">
        <f t="shared" ca="1" si="149"/>
        <v>202.84481453310434</v>
      </c>
      <c r="BN73">
        <f t="shared" ca="1" si="149"/>
        <v>205.74776869760441</v>
      </c>
      <c r="BO73">
        <f t="shared" ca="1" si="149"/>
        <v>204.60756691451778</v>
      </c>
      <c r="BP73">
        <f t="shared" ca="1" si="149"/>
        <v>209.24844459919547</v>
      </c>
      <c r="BQ73">
        <f t="shared" ca="1" si="149"/>
        <v>206.62252374263653</v>
      </c>
      <c r="BR73">
        <f t="shared" ref="BR73:CU73" ca="1" si="150">BQ73*(1+$B$2*$B$4+$B$3*SQRT($B$4)*_xlfn.NORM.S.INV(RAND()))</f>
        <v>212.13953134428093</v>
      </c>
      <c r="BS73">
        <f t="shared" ca="1" si="150"/>
        <v>211.14636933286573</v>
      </c>
      <c r="BT73">
        <f t="shared" ca="1" si="150"/>
        <v>201.99428358375573</v>
      </c>
      <c r="BU73">
        <f t="shared" ca="1" si="150"/>
        <v>203.63923917699961</v>
      </c>
      <c r="BV73">
        <f t="shared" ca="1" si="150"/>
        <v>210.94643040414965</v>
      </c>
      <c r="BW73">
        <f t="shared" ca="1" si="150"/>
        <v>206.44991553198008</v>
      </c>
      <c r="BX73">
        <f t="shared" ca="1" si="150"/>
        <v>204.92095572636609</v>
      </c>
      <c r="BY73">
        <f t="shared" ca="1" si="150"/>
        <v>205.73480750126311</v>
      </c>
      <c r="BZ73">
        <f t="shared" ca="1" si="150"/>
        <v>204.09879941608821</v>
      </c>
      <c r="CA73">
        <f t="shared" ca="1" si="150"/>
        <v>206.15045223827195</v>
      </c>
      <c r="CB73">
        <f t="shared" ca="1" si="150"/>
        <v>207.16529226774753</v>
      </c>
      <c r="CC73">
        <f t="shared" ca="1" si="150"/>
        <v>214.48596728982571</v>
      </c>
      <c r="CD73">
        <f t="shared" ca="1" si="150"/>
        <v>211.32857957771807</v>
      </c>
      <c r="CE73">
        <f t="shared" ca="1" si="150"/>
        <v>214.93133445241008</v>
      </c>
      <c r="CF73">
        <f t="shared" ca="1" si="150"/>
        <v>207.49737346246874</v>
      </c>
      <c r="CG73">
        <f t="shared" ca="1" si="150"/>
        <v>213.64255208577202</v>
      </c>
      <c r="CH73">
        <f t="shared" ca="1" si="150"/>
        <v>208.02683270891109</v>
      </c>
      <c r="CI73">
        <f t="shared" ca="1" si="150"/>
        <v>204.00317492006778</v>
      </c>
      <c r="CJ73">
        <f t="shared" ca="1" si="150"/>
        <v>206.2216978764458</v>
      </c>
      <c r="CK73">
        <f t="shared" ca="1" si="150"/>
        <v>211.60765035618203</v>
      </c>
      <c r="CL73">
        <f t="shared" ca="1" si="150"/>
        <v>205.76368809982512</v>
      </c>
      <c r="CM73">
        <f t="shared" ca="1" si="150"/>
        <v>206.85063541806275</v>
      </c>
      <c r="CN73">
        <f t="shared" ca="1" si="150"/>
        <v>212.602877277597</v>
      </c>
      <c r="CO73">
        <f t="shared" ca="1" si="150"/>
        <v>214.62970280520918</v>
      </c>
      <c r="CP73">
        <f t="shared" ca="1" si="150"/>
        <v>214.21039393088034</v>
      </c>
      <c r="CQ73">
        <f t="shared" ca="1" si="150"/>
        <v>216.76978828453719</v>
      </c>
      <c r="CR73">
        <f t="shared" ca="1" si="150"/>
        <v>209.49315561842982</v>
      </c>
      <c r="CS73">
        <f t="shared" ca="1" si="150"/>
        <v>206.00619067973767</v>
      </c>
      <c r="CT73">
        <f t="shared" ca="1" si="150"/>
        <v>200.1763832461466</v>
      </c>
      <c r="CU73">
        <f t="shared" ca="1" si="150"/>
        <v>195.68080056507489</v>
      </c>
      <c r="CV73">
        <f t="shared" ca="1" si="135"/>
        <v>0</v>
      </c>
      <c r="CW73">
        <f t="shared" ca="1" si="138"/>
        <v>0</v>
      </c>
    </row>
    <row r="74" spans="5:101" x14ac:dyDescent="0.2">
      <c r="E74">
        <v>222.13</v>
      </c>
      <c r="F74">
        <f t="shared" ref="F74:BQ74" ca="1" si="151">E74*(1+$B$2*$B$4+$B$3*SQRT($B$4)*_xlfn.NORM.S.INV(RAND()))</f>
        <v>227.7678268994415</v>
      </c>
      <c r="G74">
        <f t="shared" ca="1" si="151"/>
        <v>229.68466926426277</v>
      </c>
      <c r="H74">
        <f t="shared" ca="1" si="151"/>
        <v>228.61596714143897</v>
      </c>
      <c r="I74">
        <f t="shared" ca="1" si="151"/>
        <v>225.79516518081579</v>
      </c>
      <c r="J74">
        <f t="shared" ca="1" si="151"/>
        <v>222.98153976140608</v>
      </c>
      <c r="K74">
        <f t="shared" ca="1" si="151"/>
        <v>219.36115770804716</v>
      </c>
      <c r="L74">
        <f t="shared" ca="1" si="151"/>
        <v>220.61024445559289</v>
      </c>
      <c r="M74">
        <f t="shared" ca="1" si="151"/>
        <v>213.69982942803551</v>
      </c>
      <c r="N74">
        <f t="shared" ca="1" si="151"/>
        <v>214.9100269040789</v>
      </c>
      <c r="O74">
        <f t="shared" ca="1" si="151"/>
        <v>219.47315824769731</v>
      </c>
      <c r="P74">
        <f t="shared" ca="1" si="151"/>
        <v>230.17417706564521</v>
      </c>
      <c r="Q74">
        <f t="shared" ca="1" si="151"/>
        <v>230.88277943585871</v>
      </c>
      <c r="R74">
        <f t="shared" ca="1" si="151"/>
        <v>232.82086391050657</v>
      </c>
      <c r="S74">
        <f t="shared" ca="1" si="151"/>
        <v>223.1818939663888</v>
      </c>
      <c r="T74">
        <f t="shared" ca="1" si="151"/>
        <v>227.74972964606187</v>
      </c>
      <c r="U74">
        <f t="shared" ca="1" si="151"/>
        <v>230.41834475724787</v>
      </c>
      <c r="V74">
        <f t="shared" ca="1" si="151"/>
        <v>230.98457968914116</v>
      </c>
      <c r="W74">
        <f t="shared" ca="1" si="151"/>
        <v>239.38334900052939</v>
      </c>
      <c r="X74">
        <f t="shared" ca="1" si="151"/>
        <v>237.72352748584544</v>
      </c>
      <c r="Y74">
        <f t="shared" ca="1" si="151"/>
        <v>234.02110670796336</v>
      </c>
      <c r="Z74">
        <f t="shared" ca="1" si="151"/>
        <v>240.14571604866998</v>
      </c>
      <c r="AA74">
        <f t="shared" ca="1" si="151"/>
        <v>240.31989044617794</v>
      </c>
      <c r="AB74">
        <f t="shared" ca="1" si="151"/>
        <v>241.42453256365786</v>
      </c>
      <c r="AC74">
        <f t="shared" ca="1" si="151"/>
        <v>244.77268030527873</v>
      </c>
      <c r="AD74">
        <f t="shared" ca="1" si="151"/>
        <v>240.08392985648698</v>
      </c>
      <c r="AE74">
        <f t="shared" ca="1" si="151"/>
        <v>237.45348102333332</v>
      </c>
      <c r="AF74">
        <f t="shared" ca="1" si="151"/>
        <v>245.30821437027211</v>
      </c>
      <c r="AG74">
        <f t="shared" ca="1" si="151"/>
        <v>238.94756265326038</v>
      </c>
      <c r="AH74">
        <f t="shared" ca="1" si="151"/>
        <v>242.34259404665238</v>
      </c>
      <c r="AI74">
        <f t="shared" ca="1" si="151"/>
        <v>236.69974377363411</v>
      </c>
      <c r="AJ74">
        <f t="shared" ca="1" si="151"/>
        <v>237.4213177676165</v>
      </c>
      <c r="AK74">
        <f t="shared" ca="1" si="151"/>
        <v>225.73061415939512</v>
      </c>
      <c r="AL74">
        <f t="shared" ca="1" si="151"/>
        <v>219.16194274277774</v>
      </c>
      <c r="AM74">
        <f t="shared" ca="1" si="151"/>
        <v>223.86127037900326</v>
      </c>
      <c r="AN74">
        <f t="shared" ca="1" si="151"/>
        <v>225.75064390171153</v>
      </c>
      <c r="AO74">
        <f t="shared" ca="1" si="151"/>
        <v>229.63463519809835</v>
      </c>
      <c r="AP74">
        <f t="shared" ca="1" si="151"/>
        <v>221.58884652261335</v>
      </c>
      <c r="AQ74">
        <f t="shared" ca="1" si="151"/>
        <v>222.64622623485792</v>
      </c>
      <c r="AR74">
        <f t="shared" ca="1" si="151"/>
        <v>218.75358820695359</v>
      </c>
      <c r="AS74">
        <f t="shared" ca="1" si="151"/>
        <v>214.6525397741425</v>
      </c>
      <c r="AT74">
        <f t="shared" ca="1" si="151"/>
        <v>215.69545437264946</v>
      </c>
      <c r="AU74">
        <f t="shared" ca="1" si="151"/>
        <v>216.10671600383901</v>
      </c>
      <c r="AV74">
        <f t="shared" ca="1" si="151"/>
        <v>212.53917461236085</v>
      </c>
      <c r="AW74">
        <f t="shared" ca="1" si="151"/>
        <v>208.58893762411589</v>
      </c>
      <c r="AX74">
        <f t="shared" ca="1" si="151"/>
        <v>210.02907143591864</v>
      </c>
      <c r="AY74">
        <f t="shared" ca="1" si="151"/>
        <v>212.99439991119633</v>
      </c>
      <c r="AZ74">
        <f t="shared" ca="1" si="151"/>
        <v>207.93083703679244</v>
      </c>
      <c r="BA74">
        <f t="shared" ca="1" si="151"/>
        <v>213.13692094674551</v>
      </c>
      <c r="BB74">
        <f t="shared" ca="1" si="151"/>
        <v>213.82707681730466</v>
      </c>
      <c r="BC74">
        <f t="shared" ca="1" si="151"/>
        <v>210.58761400038333</v>
      </c>
      <c r="BD74">
        <f t="shared" ca="1" si="151"/>
        <v>219.66268400419361</v>
      </c>
      <c r="BE74">
        <f t="shared" ca="1" si="151"/>
        <v>217.77424144354944</v>
      </c>
      <c r="BF74">
        <f t="shared" ca="1" si="151"/>
        <v>217.66325952126854</v>
      </c>
      <c r="BG74">
        <f t="shared" ca="1" si="151"/>
        <v>219.27818917132211</v>
      </c>
      <c r="BH74">
        <f t="shared" ca="1" si="151"/>
        <v>214.06543231777997</v>
      </c>
      <c r="BI74">
        <f t="shared" ca="1" si="151"/>
        <v>205.25733030517083</v>
      </c>
      <c r="BJ74">
        <f t="shared" ca="1" si="151"/>
        <v>202.94252542879101</v>
      </c>
      <c r="BK74">
        <f t="shared" ca="1" si="151"/>
        <v>194.10334397279547</v>
      </c>
      <c r="BL74">
        <f t="shared" ca="1" si="151"/>
        <v>196.64810523986898</v>
      </c>
      <c r="BM74">
        <f t="shared" ca="1" si="151"/>
        <v>200.90049288248369</v>
      </c>
      <c r="BN74">
        <f t="shared" ca="1" si="151"/>
        <v>199.83658909490649</v>
      </c>
      <c r="BO74">
        <f t="shared" ca="1" si="151"/>
        <v>202.61494647217202</v>
      </c>
      <c r="BP74">
        <f t="shared" ca="1" si="151"/>
        <v>202.2750637924274</v>
      </c>
      <c r="BQ74">
        <f t="shared" ca="1" si="151"/>
        <v>195.64225603423486</v>
      </c>
      <c r="BR74">
        <f t="shared" ref="BR74:CU74" ca="1" si="152">BQ74*(1+$B$2*$B$4+$B$3*SQRT($B$4)*_xlfn.NORM.S.INV(RAND()))</f>
        <v>198.32178099194738</v>
      </c>
      <c r="BS74">
        <f t="shared" ca="1" si="152"/>
        <v>193.53153754903482</v>
      </c>
      <c r="BT74">
        <f t="shared" ca="1" si="152"/>
        <v>185.76130516928816</v>
      </c>
      <c r="BU74">
        <f t="shared" ca="1" si="152"/>
        <v>185.68376198139316</v>
      </c>
      <c r="BV74">
        <f t="shared" ca="1" si="152"/>
        <v>197.10185637433239</v>
      </c>
      <c r="BW74">
        <f t="shared" ca="1" si="152"/>
        <v>196.88211808493986</v>
      </c>
      <c r="BX74">
        <f t="shared" ca="1" si="152"/>
        <v>198.60786024074417</v>
      </c>
      <c r="BY74">
        <f t="shared" ca="1" si="152"/>
        <v>197.40408717107175</v>
      </c>
      <c r="BZ74">
        <f t="shared" ca="1" si="152"/>
        <v>192.36650157894272</v>
      </c>
      <c r="CA74">
        <f t="shared" ca="1" si="152"/>
        <v>189.66294999261385</v>
      </c>
      <c r="CB74">
        <f t="shared" ca="1" si="152"/>
        <v>197.68731319364406</v>
      </c>
      <c r="CC74">
        <f t="shared" ca="1" si="152"/>
        <v>203.99969310278908</v>
      </c>
      <c r="CD74">
        <f t="shared" ca="1" si="152"/>
        <v>205.34160488496084</v>
      </c>
      <c r="CE74">
        <f t="shared" ca="1" si="152"/>
        <v>194.99349699393915</v>
      </c>
      <c r="CF74">
        <f t="shared" ca="1" si="152"/>
        <v>192.13016091428318</v>
      </c>
      <c r="CG74">
        <f t="shared" ca="1" si="152"/>
        <v>195.84036337713928</v>
      </c>
      <c r="CH74">
        <f t="shared" ca="1" si="152"/>
        <v>196.32033545903428</v>
      </c>
      <c r="CI74">
        <f t="shared" ca="1" si="152"/>
        <v>198.95050044516492</v>
      </c>
      <c r="CJ74">
        <f t="shared" ca="1" si="152"/>
        <v>200.10242085498518</v>
      </c>
      <c r="CK74">
        <f t="shared" ca="1" si="152"/>
        <v>197.9816620408838</v>
      </c>
      <c r="CL74">
        <f t="shared" ca="1" si="152"/>
        <v>198.05921054221406</v>
      </c>
      <c r="CM74">
        <f t="shared" ca="1" si="152"/>
        <v>201.02037994498957</v>
      </c>
      <c r="CN74">
        <f t="shared" ca="1" si="152"/>
        <v>194.92531631782381</v>
      </c>
      <c r="CO74">
        <f t="shared" ca="1" si="152"/>
        <v>193.71015337151789</v>
      </c>
      <c r="CP74">
        <f t="shared" ca="1" si="152"/>
        <v>189.77075886977789</v>
      </c>
      <c r="CQ74">
        <f t="shared" ca="1" si="152"/>
        <v>189.9897224525329</v>
      </c>
      <c r="CR74">
        <f t="shared" ca="1" si="152"/>
        <v>190.79012140932446</v>
      </c>
      <c r="CS74">
        <f t="shared" ca="1" si="152"/>
        <v>192.08541109311065</v>
      </c>
      <c r="CT74">
        <f t="shared" ca="1" si="152"/>
        <v>189.90430495787345</v>
      </c>
      <c r="CU74">
        <f t="shared" ca="1" si="152"/>
        <v>188.2013778830179</v>
      </c>
      <c r="CV74">
        <f t="shared" ca="1" si="135"/>
        <v>0</v>
      </c>
      <c r="CW74">
        <f t="shared" ca="1" si="138"/>
        <v>0</v>
      </c>
    </row>
    <row r="75" spans="5:101" x14ac:dyDescent="0.2">
      <c r="E75">
        <v>222.13</v>
      </c>
      <c r="F75">
        <f t="shared" ref="F75:BQ75" ca="1" si="153">E75*(1+$B$2*$B$4+$B$3*SQRT($B$4)*_xlfn.NORM.S.INV(RAND()))</f>
        <v>222.93219000609534</v>
      </c>
      <c r="G75">
        <f t="shared" ca="1" si="153"/>
        <v>223.43773141125681</v>
      </c>
      <c r="H75">
        <f t="shared" ca="1" si="153"/>
        <v>226.00591496002002</v>
      </c>
      <c r="I75">
        <f t="shared" ca="1" si="153"/>
        <v>223.06417774661242</v>
      </c>
      <c r="J75">
        <f t="shared" ca="1" si="153"/>
        <v>224.88955392375917</v>
      </c>
      <c r="K75">
        <f t="shared" ca="1" si="153"/>
        <v>220.79610281638048</v>
      </c>
      <c r="L75">
        <f t="shared" ca="1" si="153"/>
        <v>218.63169264345456</v>
      </c>
      <c r="M75">
        <f t="shared" ca="1" si="153"/>
        <v>222.310492084575</v>
      </c>
      <c r="N75">
        <f t="shared" ca="1" si="153"/>
        <v>221.77576167840618</v>
      </c>
      <c r="O75">
        <f t="shared" ca="1" si="153"/>
        <v>223.659858777457</v>
      </c>
      <c r="P75">
        <f t="shared" ca="1" si="153"/>
        <v>210.13734696377688</v>
      </c>
      <c r="Q75">
        <f t="shared" ca="1" si="153"/>
        <v>214.06690746328152</v>
      </c>
      <c r="R75">
        <f t="shared" ca="1" si="153"/>
        <v>207.84180658078719</v>
      </c>
      <c r="S75">
        <f t="shared" ca="1" si="153"/>
        <v>212.68164763865644</v>
      </c>
      <c r="T75">
        <f t="shared" ca="1" si="153"/>
        <v>209.50694865725663</v>
      </c>
      <c r="U75">
        <f t="shared" ca="1" si="153"/>
        <v>212.95168969563767</v>
      </c>
      <c r="V75">
        <f t="shared" ca="1" si="153"/>
        <v>214.31195501280743</v>
      </c>
      <c r="W75">
        <f t="shared" ca="1" si="153"/>
        <v>215.75105937122268</v>
      </c>
      <c r="X75">
        <f t="shared" ca="1" si="153"/>
        <v>220.55641673037184</v>
      </c>
      <c r="Y75">
        <f t="shared" ca="1" si="153"/>
        <v>226.54662315083544</v>
      </c>
      <c r="Z75">
        <f t="shared" ca="1" si="153"/>
        <v>232.58573436808888</v>
      </c>
      <c r="AA75">
        <f t="shared" ca="1" si="153"/>
        <v>228.64032051737803</v>
      </c>
      <c r="AB75">
        <f t="shared" ca="1" si="153"/>
        <v>229.98388141591849</v>
      </c>
      <c r="AC75">
        <f t="shared" ca="1" si="153"/>
        <v>229.48803501460165</v>
      </c>
      <c r="AD75">
        <f t="shared" ca="1" si="153"/>
        <v>220.6896103991443</v>
      </c>
      <c r="AE75">
        <f t="shared" ca="1" si="153"/>
        <v>220.23605644862852</v>
      </c>
      <c r="AF75">
        <f t="shared" ca="1" si="153"/>
        <v>225.91526281266692</v>
      </c>
      <c r="AG75">
        <f t="shared" ca="1" si="153"/>
        <v>228.39098433093025</v>
      </c>
      <c r="AH75">
        <f t="shared" ca="1" si="153"/>
        <v>218.77785194695716</v>
      </c>
      <c r="AI75">
        <f t="shared" ca="1" si="153"/>
        <v>218.61679632957006</v>
      </c>
      <c r="AJ75">
        <f t="shared" ca="1" si="153"/>
        <v>210.92107504641322</v>
      </c>
      <c r="AK75">
        <f t="shared" ca="1" si="153"/>
        <v>216.79867610593107</v>
      </c>
      <c r="AL75">
        <f t="shared" ca="1" si="153"/>
        <v>212.65960647779281</v>
      </c>
      <c r="AM75">
        <f t="shared" ca="1" si="153"/>
        <v>208.89292695743382</v>
      </c>
      <c r="AN75">
        <f t="shared" ca="1" si="153"/>
        <v>217.34704581834811</v>
      </c>
      <c r="AO75">
        <f t="shared" ca="1" si="153"/>
        <v>210.94781626784825</v>
      </c>
      <c r="AP75">
        <f t="shared" ca="1" si="153"/>
        <v>220.25195529561637</v>
      </c>
      <c r="AQ75">
        <f t="shared" ca="1" si="153"/>
        <v>220.36790094856863</v>
      </c>
      <c r="AR75">
        <f t="shared" ca="1" si="153"/>
        <v>215.71110265573239</v>
      </c>
      <c r="AS75">
        <f t="shared" ca="1" si="153"/>
        <v>217.60457796642163</v>
      </c>
      <c r="AT75">
        <f t="shared" ca="1" si="153"/>
        <v>215.66512741086535</v>
      </c>
      <c r="AU75">
        <f t="shared" ca="1" si="153"/>
        <v>220.39053420608542</v>
      </c>
      <c r="AV75">
        <f t="shared" ca="1" si="153"/>
        <v>231.24144851690349</v>
      </c>
      <c r="AW75">
        <f t="shared" ca="1" si="153"/>
        <v>232.60548314314994</v>
      </c>
      <c r="AX75">
        <f t="shared" ca="1" si="153"/>
        <v>230.39798396921071</v>
      </c>
      <c r="AY75">
        <f t="shared" ca="1" si="153"/>
        <v>239.33430526456451</v>
      </c>
      <c r="AZ75">
        <f t="shared" ca="1" si="153"/>
        <v>233.16794164257169</v>
      </c>
      <c r="BA75">
        <f t="shared" ca="1" si="153"/>
        <v>243.13803749257866</v>
      </c>
      <c r="BB75">
        <f t="shared" ca="1" si="153"/>
        <v>244.55686044586074</v>
      </c>
      <c r="BC75">
        <f t="shared" ca="1" si="153"/>
        <v>247.96412869651911</v>
      </c>
      <c r="BD75">
        <f t="shared" ca="1" si="153"/>
        <v>244.61936007391381</v>
      </c>
      <c r="BE75">
        <f t="shared" ca="1" si="153"/>
        <v>243.93073350127139</v>
      </c>
      <c r="BF75">
        <f t="shared" ca="1" si="153"/>
        <v>255.27642981961654</v>
      </c>
      <c r="BG75">
        <f t="shared" ca="1" si="153"/>
        <v>262.06385412020256</v>
      </c>
      <c r="BH75">
        <f t="shared" ca="1" si="153"/>
        <v>261.75101695922217</v>
      </c>
      <c r="BI75">
        <f t="shared" ca="1" si="153"/>
        <v>267.37122461237732</v>
      </c>
      <c r="BJ75">
        <f t="shared" ca="1" si="153"/>
        <v>263.87988334627948</v>
      </c>
      <c r="BK75">
        <f t="shared" ca="1" si="153"/>
        <v>279.51500604070719</v>
      </c>
      <c r="BL75">
        <f t="shared" ca="1" si="153"/>
        <v>274.98497434128632</v>
      </c>
      <c r="BM75">
        <f t="shared" ca="1" si="153"/>
        <v>264.27058554256769</v>
      </c>
      <c r="BN75">
        <f t="shared" ca="1" si="153"/>
        <v>261.25171438673345</v>
      </c>
      <c r="BO75">
        <f t="shared" ca="1" si="153"/>
        <v>271.06668024281913</v>
      </c>
      <c r="BP75">
        <f t="shared" ca="1" si="153"/>
        <v>277.89723846541415</v>
      </c>
      <c r="BQ75">
        <f t="shared" ca="1" si="153"/>
        <v>284.33728738302</v>
      </c>
      <c r="BR75">
        <f t="shared" ref="BR75:CU75" ca="1" si="154">BQ75*(1+$B$2*$B$4+$B$3*SQRT($B$4)*_xlfn.NORM.S.INV(RAND()))</f>
        <v>279.7593527096102</v>
      </c>
      <c r="BS75">
        <f t="shared" ca="1" si="154"/>
        <v>286.45274592057376</v>
      </c>
      <c r="BT75">
        <f t="shared" ca="1" si="154"/>
        <v>280.99596700993123</v>
      </c>
      <c r="BU75">
        <f t="shared" ca="1" si="154"/>
        <v>284.66922061030994</v>
      </c>
      <c r="BV75">
        <f t="shared" ca="1" si="154"/>
        <v>274.63939280848388</v>
      </c>
      <c r="BW75">
        <f t="shared" ca="1" si="154"/>
        <v>267.71643382303353</v>
      </c>
      <c r="BX75">
        <f t="shared" ca="1" si="154"/>
        <v>263.99116651883782</v>
      </c>
      <c r="BY75">
        <f t="shared" ca="1" si="154"/>
        <v>264.29042458265735</v>
      </c>
      <c r="BZ75">
        <f t="shared" ca="1" si="154"/>
        <v>262.95715360533876</v>
      </c>
      <c r="CA75">
        <f t="shared" ca="1" si="154"/>
        <v>268.85421272629748</v>
      </c>
      <c r="CB75">
        <f t="shared" ca="1" si="154"/>
        <v>268.40296992150388</v>
      </c>
      <c r="CC75">
        <f t="shared" ca="1" si="154"/>
        <v>262.7020307735595</v>
      </c>
      <c r="CD75">
        <f t="shared" ca="1" si="154"/>
        <v>264.4943024164582</v>
      </c>
      <c r="CE75">
        <f t="shared" ca="1" si="154"/>
        <v>260.4035439734327</v>
      </c>
      <c r="CF75">
        <f t="shared" ca="1" si="154"/>
        <v>253.76595765232577</v>
      </c>
      <c r="CG75">
        <f t="shared" ca="1" si="154"/>
        <v>247.3999689475169</v>
      </c>
      <c r="CH75">
        <f t="shared" ca="1" si="154"/>
        <v>244.15728600662021</v>
      </c>
      <c r="CI75">
        <f t="shared" ca="1" si="154"/>
        <v>242.19002390581178</v>
      </c>
      <c r="CJ75">
        <f t="shared" ca="1" si="154"/>
        <v>249.39486173967171</v>
      </c>
      <c r="CK75">
        <f t="shared" ca="1" si="154"/>
        <v>256.46446895229718</v>
      </c>
      <c r="CL75">
        <f t="shared" ca="1" si="154"/>
        <v>254.9547381584724</v>
      </c>
      <c r="CM75">
        <f t="shared" ca="1" si="154"/>
        <v>252.41800133718468</v>
      </c>
      <c r="CN75">
        <f t="shared" ca="1" si="154"/>
        <v>262.00510319352634</v>
      </c>
      <c r="CO75">
        <f t="shared" ca="1" si="154"/>
        <v>263.82208267801627</v>
      </c>
      <c r="CP75">
        <f t="shared" ca="1" si="154"/>
        <v>276.68718278282313</v>
      </c>
      <c r="CQ75">
        <f t="shared" ca="1" si="154"/>
        <v>278.39773168224201</v>
      </c>
      <c r="CR75">
        <f t="shared" ca="1" si="154"/>
        <v>272.06161912974443</v>
      </c>
      <c r="CS75">
        <f t="shared" ca="1" si="154"/>
        <v>265.35291132656727</v>
      </c>
      <c r="CT75">
        <f t="shared" ca="1" si="154"/>
        <v>272.27225894938613</v>
      </c>
      <c r="CU75">
        <f t="shared" ca="1" si="154"/>
        <v>270.27138296688355</v>
      </c>
      <c r="CV75">
        <f t="shared" ca="1" si="135"/>
        <v>50.27138296688355</v>
      </c>
      <c r="CW75">
        <f t="shared" ca="1" si="138"/>
        <v>48.333996105581583</v>
      </c>
    </row>
    <row r="76" spans="5:101" x14ac:dyDescent="0.2">
      <c r="E76">
        <v>222.13</v>
      </c>
      <c r="F76">
        <f t="shared" ref="F76:BQ76" ca="1" si="155">E76*(1+$B$2*$B$4+$B$3*SQRT($B$4)*_xlfn.NORM.S.INV(RAND()))</f>
        <v>213.99577455361865</v>
      </c>
      <c r="G76">
        <f t="shared" ca="1" si="155"/>
        <v>216.1803261081721</v>
      </c>
      <c r="H76">
        <f t="shared" ca="1" si="155"/>
        <v>209.90403632531778</v>
      </c>
      <c r="I76">
        <f t="shared" ca="1" si="155"/>
        <v>208.51504528698285</v>
      </c>
      <c r="J76">
        <f t="shared" ca="1" si="155"/>
        <v>210.07606516077399</v>
      </c>
      <c r="K76">
        <f t="shared" ca="1" si="155"/>
        <v>217.8422068416377</v>
      </c>
      <c r="L76">
        <f t="shared" ca="1" si="155"/>
        <v>219.59470548028389</v>
      </c>
      <c r="M76">
        <f t="shared" ca="1" si="155"/>
        <v>220.847572299831</v>
      </c>
      <c r="N76">
        <f t="shared" ca="1" si="155"/>
        <v>226.32628262213757</v>
      </c>
      <c r="O76">
        <f t="shared" ca="1" si="155"/>
        <v>233.36323091102531</v>
      </c>
      <c r="P76">
        <f t="shared" ca="1" si="155"/>
        <v>230.83870275908166</v>
      </c>
      <c r="Q76">
        <f t="shared" ca="1" si="155"/>
        <v>233.65511178460247</v>
      </c>
      <c r="R76">
        <f t="shared" ca="1" si="155"/>
        <v>238.18398271212689</v>
      </c>
      <c r="S76">
        <f t="shared" ca="1" si="155"/>
        <v>237.92920968860628</v>
      </c>
      <c r="T76">
        <f t="shared" ca="1" si="155"/>
        <v>241.14957054679056</v>
      </c>
      <c r="U76">
        <f t="shared" ca="1" si="155"/>
        <v>231.75242844186459</v>
      </c>
      <c r="V76">
        <f t="shared" ca="1" si="155"/>
        <v>227.71768134910863</v>
      </c>
      <c r="W76">
        <f t="shared" ca="1" si="155"/>
        <v>226.78870311167765</v>
      </c>
      <c r="X76">
        <f t="shared" ca="1" si="155"/>
        <v>226.29917058528522</v>
      </c>
      <c r="Y76">
        <f t="shared" ca="1" si="155"/>
        <v>218.95530839193091</v>
      </c>
      <c r="Z76">
        <f t="shared" ca="1" si="155"/>
        <v>229.32512617062486</v>
      </c>
      <c r="AA76">
        <f t="shared" ca="1" si="155"/>
        <v>222.21546436300949</v>
      </c>
      <c r="AB76">
        <f t="shared" ca="1" si="155"/>
        <v>226.070001447518</v>
      </c>
      <c r="AC76">
        <f t="shared" ca="1" si="155"/>
        <v>213.40120349163098</v>
      </c>
      <c r="AD76">
        <f t="shared" ca="1" si="155"/>
        <v>208.40970930655325</v>
      </c>
      <c r="AE76">
        <f t="shared" ca="1" si="155"/>
        <v>214.27238180416458</v>
      </c>
      <c r="AF76">
        <f t="shared" ca="1" si="155"/>
        <v>210.79498010922811</v>
      </c>
      <c r="AG76">
        <f t="shared" ca="1" si="155"/>
        <v>208.90933360797672</v>
      </c>
      <c r="AH76">
        <f t="shared" ca="1" si="155"/>
        <v>203.58256276679464</v>
      </c>
      <c r="AI76">
        <f t="shared" ca="1" si="155"/>
        <v>207.60171085427456</v>
      </c>
      <c r="AJ76">
        <f t="shared" ca="1" si="155"/>
        <v>204.89093586629699</v>
      </c>
      <c r="AK76">
        <f t="shared" ca="1" si="155"/>
        <v>209.4060982177661</v>
      </c>
      <c r="AL76">
        <f t="shared" ca="1" si="155"/>
        <v>205.57572638645559</v>
      </c>
      <c r="AM76">
        <f t="shared" ca="1" si="155"/>
        <v>203.14683548080183</v>
      </c>
      <c r="AN76">
        <f t="shared" ca="1" si="155"/>
        <v>198.90165178426091</v>
      </c>
      <c r="AO76">
        <f t="shared" ca="1" si="155"/>
        <v>194.92015258673203</v>
      </c>
      <c r="AP76">
        <f t="shared" ca="1" si="155"/>
        <v>191.18149492426039</v>
      </c>
      <c r="AQ76">
        <f t="shared" ca="1" si="155"/>
        <v>184.27795896956644</v>
      </c>
      <c r="AR76">
        <f t="shared" ca="1" si="155"/>
        <v>177.5519350571366</v>
      </c>
      <c r="AS76">
        <f t="shared" ca="1" si="155"/>
        <v>172.28968332471797</v>
      </c>
      <c r="AT76">
        <f t="shared" ca="1" si="155"/>
        <v>175.15011755587969</v>
      </c>
      <c r="AU76">
        <f t="shared" ca="1" si="155"/>
        <v>177.28695029462355</v>
      </c>
      <c r="AV76">
        <f t="shared" ca="1" si="155"/>
        <v>171.97136072472816</v>
      </c>
      <c r="AW76">
        <f t="shared" ca="1" si="155"/>
        <v>175.58559214382859</v>
      </c>
      <c r="AX76">
        <f t="shared" ca="1" si="155"/>
        <v>173.4801720632355</v>
      </c>
      <c r="AY76">
        <f t="shared" ca="1" si="155"/>
        <v>174.35910395553339</v>
      </c>
      <c r="AZ76">
        <f t="shared" ca="1" si="155"/>
        <v>175.78441439739487</v>
      </c>
      <c r="BA76">
        <f t="shared" ca="1" si="155"/>
        <v>171.09995378239043</v>
      </c>
      <c r="BB76">
        <f t="shared" ca="1" si="155"/>
        <v>169.75524392868252</v>
      </c>
      <c r="BC76">
        <f t="shared" ca="1" si="155"/>
        <v>175.809715202256</v>
      </c>
      <c r="BD76">
        <f t="shared" ca="1" si="155"/>
        <v>176.8748364080744</v>
      </c>
      <c r="BE76">
        <f t="shared" ca="1" si="155"/>
        <v>182.89326714398354</v>
      </c>
      <c r="BF76">
        <f t="shared" ca="1" si="155"/>
        <v>187.31788047564902</v>
      </c>
      <c r="BG76">
        <f t="shared" ca="1" si="155"/>
        <v>199.30558965546012</v>
      </c>
      <c r="BH76">
        <f t="shared" ca="1" si="155"/>
        <v>198.38556240257421</v>
      </c>
      <c r="BI76">
        <f t="shared" ca="1" si="155"/>
        <v>193.41485480807941</v>
      </c>
      <c r="BJ76">
        <f t="shared" ca="1" si="155"/>
        <v>199.76099447140007</v>
      </c>
      <c r="BK76">
        <f t="shared" ca="1" si="155"/>
        <v>194.17531661608248</v>
      </c>
      <c r="BL76">
        <f t="shared" ca="1" si="155"/>
        <v>192.8681464367786</v>
      </c>
      <c r="BM76">
        <f t="shared" ca="1" si="155"/>
        <v>192.58906468819436</v>
      </c>
      <c r="BN76">
        <f t="shared" ca="1" si="155"/>
        <v>195.96757446303465</v>
      </c>
      <c r="BO76">
        <f t="shared" ca="1" si="155"/>
        <v>199.06405191297446</v>
      </c>
      <c r="BP76">
        <f t="shared" ca="1" si="155"/>
        <v>208.71639983305553</v>
      </c>
      <c r="BQ76">
        <f t="shared" ca="1" si="155"/>
        <v>210.13915000146991</v>
      </c>
      <c r="BR76">
        <f t="shared" ref="BR76:CU76" ca="1" si="156">BQ76*(1+$B$2*$B$4+$B$3*SQRT($B$4)*_xlfn.NORM.S.INV(RAND()))</f>
        <v>203.54691836144187</v>
      </c>
      <c r="BS76">
        <f t="shared" ca="1" si="156"/>
        <v>203.40234603348608</v>
      </c>
      <c r="BT76">
        <f t="shared" ca="1" si="156"/>
        <v>208.72575971423089</v>
      </c>
      <c r="BU76">
        <f t="shared" ca="1" si="156"/>
        <v>215.44824754030702</v>
      </c>
      <c r="BV76">
        <f t="shared" ca="1" si="156"/>
        <v>214.68582122278309</v>
      </c>
      <c r="BW76">
        <f t="shared" ca="1" si="156"/>
        <v>213.72767276118608</v>
      </c>
      <c r="BX76">
        <f t="shared" ca="1" si="156"/>
        <v>211.41105730573599</v>
      </c>
      <c r="BY76">
        <f t="shared" ca="1" si="156"/>
        <v>215.519962881054</v>
      </c>
      <c r="BZ76">
        <f t="shared" ca="1" si="156"/>
        <v>211.78502519481637</v>
      </c>
      <c r="CA76">
        <f t="shared" ca="1" si="156"/>
        <v>218.66149901707215</v>
      </c>
      <c r="CB76">
        <f t="shared" ca="1" si="156"/>
        <v>218.98478047369593</v>
      </c>
      <c r="CC76">
        <f t="shared" ca="1" si="156"/>
        <v>219.71357380846862</v>
      </c>
      <c r="CD76">
        <f t="shared" ca="1" si="156"/>
        <v>211.00807351955024</v>
      </c>
      <c r="CE76">
        <f t="shared" ca="1" si="156"/>
        <v>217.55837294192423</v>
      </c>
      <c r="CF76">
        <f t="shared" ca="1" si="156"/>
        <v>215.50388557028131</v>
      </c>
      <c r="CG76">
        <f t="shared" ca="1" si="156"/>
        <v>217.21458759024242</v>
      </c>
      <c r="CH76">
        <f t="shared" ca="1" si="156"/>
        <v>224.56039835742922</v>
      </c>
      <c r="CI76">
        <f t="shared" ca="1" si="156"/>
        <v>221.43282354041497</v>
      </c>
      <c r="CJ76">
        <f t="shared" ca="1" si="156"/>
        <v>223.72052667068255</v>
      </c>
      <c r="CK76">
        <f t="shared" ca="1" si="156"/>
        <v>215.94019160690391</v>
      </c>
      <c r="CL76">
        <f t="shared" ca="1" si="156"/>
        <v>203.87471883171344</v>
      </c>
      <c r="CM76">
        <f t="shared" ca="1" si="156"/>
        <v>192.07592165932672</v>
      </c>
      <c r="CN76">
        <f t="shared" ca="1" si="156"/>
        <v>192.4559300973412</v>
      </c>
      <c r="CO76">
        <f t="shared" ca="1" si="156"/>
        <v>199.46130276427303</v>
      </c>
      <c r="CP76">
        <f t="shared" ca="1" si="156"/>
        <v>202.36647776735941</v>
      </c>
      <c r="CQ76">
        <f t="shared" ca="1" si="156"/>
        <v>192.72330637335082</v>
      </c>
      <c r="CR76">
        <f t="shared" ca="1" si="156"/>
        <v>193.53412619050599</v>
      </c>
      <c r="CS76">
        <f t="shared" ca="1" si="156"/>
        <v>189.76906917089059</v>
      </c>
      <c r="CT76">
        <f t="shared" ca="1" si="156"/>
        <v>187.1669999380216</v>
      </c>
      <c r="CU76">
        <f t="shared" ca="1" si="156"/>
        <v>191.6340007977636</v>
      </c>
      <c r="CV76">
        <f t="shared" ca="1" si="135"/>
        <v>0</v>
      </c>
      <c r="CW76">
        <f t="shared" ca="1" si="138"/>
        <v>0</v>
      </c>
    </row>
    <row r="77" spans="5:101" x14ac:dyDescent="0.2">
      <c r="E77">
        <v>222.13</v>
      </c>
      <c r="F77">
        <f t="shared" ref="F77:BQ77" ca="1" si="157">E77*(1+$B$2*$B$4+$B$3*SQRT($B$4)*_xlfn.NORM.S.INV(RAND()))</f>
        <v>229.49988264721816</v>
      </c>
      <c r="G77">
        <f t="shared" ca="1" si="157"/>
        <v>223.70654531525582</v>
      </c>
      <c r="H77">
        <f t="shared" ca="1" si="157"/>
        <v>223.3181522512771</v>
      </c>
      <c r="I77">
        <f t="shared" ca="1" si="157"/>
        <v>221.92039272199094</v>
      </c>
      <c r="J77">
        <f t="shared" ca="1" si="157"/>
        <v>220.13016702589388</v>
      </c>
      <c r="K77">
        <f t="shared" ca="1" si="157"/>
        <v>219.4995154508872</v>
      </c>
      <c r="L77">
        <f t="shared" ca="1" si="157"/>
        <v>219.76187763661304</v>
      </c>
      <c r="M77">
        <f t="shared" ca="1" si="157"/>
        <v>217.73937161648712</v>
      </c>
      <c r="N77">
        <f t="shared" ca="1" si="157"/>
        <v>217.09534782440991</v>
      </c>
      <c r="O77">
        <f t="shared" ca="1" si="157"/>
        <v>215.92219792569429</v>
      </c>
      <c r="P77">
        <f t="shared" ca="1" si="157"/>
        <v>215.72962707230911</v>
      </c>
      <c r="Q77">
        <f t="shared" ca="1" si="157"/>
        <v>219.67780667352591</v>
      </c>
      <c r="R77">
        <f t="shared" ca="1" si="157"/>
        <v>216.44850175059113</v>
      </c>
      <c r="S77">
        <f t="shared" ca="1" si="157"/>
        <v>211.21465981346395</v>
      </c>
      <c r="T77">
        <f t="shared" ca="1" si="157"/>
        <v>210.82171517848846</v>
      </c>
      <c r="U77">
        <f t="shared" ca="1" si="157"/>
        <v>203.22217882358029</v>
      </c>
      <c r="V77">
        <f t="shared" ca="1" si="157"/>
        <v>204.63754921153958</v>
      </c>
      <c r="W77">
        <f t="shared" ca="1" si="157"/>
        <v>200.42820515090355</v>
      </c>
      <c r="X77">
        <f t="shared" ca="1" si="157"/>
        <v>195.54406086165798</v>
      </c>
      <c r="Y77">
        <f t="shared" ca="1" si="157"/>
        <v>195.66340276687993</v>
      </c>
      <c r="Z77">
        <f t="shared" ca="1" si="157"/>
        <v>193.19364734617511</v>
      </c>
      <c r="AA77">
        <f t="shared" ca="1" si="157"/>
        <v>192.3001201941064</v>
      </c>
      <c r="AB77">
        <f t="shared" ca="1" si="157"/>
        <v>187.70375995693726</v>
      </c>
      <c r="AC77">
        <f t="shared" ca="1" si="157"/>
        <v>192.05996186499411</v>
      </c>
      <c r="AD77">
        <f t="shared" ca="1" si="157"/>
        <v>189.22407985200499</v>
      </c>
      <c r="AE77">
        <f t="shared" ca="1" si="157"/>
        <v>195.73025437180755</v>
      </c>
      <c r="AF77">
        <f t="shared" ca="1" si="157"/>
        <v>195.33396778172198</v>
      </c>
      <c r="AG77">
        <f t="shared" ca="1" si="157"/>
        <v>199.65324243458605</v>
      </c>
      <c r="AH77">
        <f t="shared" ca="1" si="157"/>
        <v>200.54121206971828</v>
      </c>
      <c r="AI77">
        <f t="shared" ca="1" si="157"/>
        <v>201.64188014431997</v>
      </c>
      <c r="AJ77">
        <f t="shared" ca="1" si="157"/>
        <v>212.05482077452541</v>
      </c>
      <c r="AK77">
        <f t="shared" ca="1" si="157"/>
        <v>207.1413092455407</v>
      </c>
      <c r="AL77">
        <f t="shared" ca="1" si="157"/>
        <v>202.3262995113171</v>
      </c>
      <c r="AM77">
        <f t="shared" ca="1" si="157"/>
        <v>197.03298291320223</v>
      </c>
      <c r="AN77">
        <f t="shared" ca="1" si="157"/>
        <v>196.90485582965661</v>
      </c>
      <c r="AO77">
        <f t="shared" ca="1" si="157"/>
        <v>194.94980343059589</v>
      </c>
      <c r="AP77">
        <f t="shared" ca="1" si="157"/>
        <v>197.8108635719216</v>
      </c>
      <c r="AQ77">
        <f t="shared" ca="1" si="157"/>
        <v>196.23205947544162</v>
      </c>
      <c r="AR77">
        <f t="shared" ca="1" si="157"/>
        <v>184.91655995264827</v>
      </c>
      <c r="AS77">
        <f t="shared" ca="1" si="157"/>
        <v>186.77555930423512</v>
      </c>
      <c r="AT77">
        <f t="shared" ca="1" si="157"/>
        <v>185.56365640489028</v>
      </c>
      <c r="AU77">
        <f t="shared" ca="1" si="157"/>
        <v>186.69933130729581</v>
      </c>
      <c r="AV77">
        <f t="shared" ca="1" si="157"/>
        <v>179.58204082817869</v>
      </c>
      <c r="AW77">
        <f t="shared" ca="1" si="157"/>
        <v>176.7888607435894</v>
      </c>
      <c r="AX77">
        <f t="shared" ca="1" si="157"/>
        <v>175.72955225696302</v>
      </c>
      <c r="AY77">
        <f t="shared" ca="1" si="157"/>
        <v>171.17961122319085</v>
      </c>
      <c r="AZ77">
        <f t="shared" ca="1" si="157"/>
        <v>167.31245322543572</v>
      </c>
      <c r="BA77">
        <f t="shared" ca="1" si="157"/>
        <v>158.55818376050672</v>
      </c>
      <c r="BB77">
        <f t="shared" ca="1" si="157"/>
        <v>158.0571952687213</v>
      </c>
      <c r="BC77">
        <f t="shared" ca="1" si="157"/>
        <v>156.89378965895946</v>
      </c>
      <c r="BD77">
        <f t="shared" ca="1" si="157"/>
        <v>155.2952907610879</v>
      </c>
      <c r="BE77">
        <f t="shared" ca="1" si="157"/>
        <v>153.54093637546222</v>
      </c>
      <c r="BF77">
        <f t="shared" ca="1" si="157"/>
        <v>149.00348000324345</v>
      </c>
      <c r="BG77">
        <f t="shared" ca="1" si="157"/>
        <v>144.09499682653316</v>
      </c>
      <c r="BH77">
        <f t="shared" ca="1" si="157"/>
        <v>142.14277751297163</v>
      </c>
      <c r="BI77">
        <f t="shared" ca="1" si="157"/>
        <v>143.44052319615065</v>
      </c>
      <c r="BJ77">
        <f t="shared" ca="1" si="157"/>
        <v>141.62376208387963</v>
      </c>
      <c r="BK77">
        <f t="shared" ca="1" si="157"/>
        <v>140.08481403434945</v>
      </c>
      <c r="BL77">
        <f t="shared" ca="1" si="157"/>
        <v>142.05143228105447</v>
      </c>
      <c r="BM77">
        <f t="shared" ca="1" si="157"/>
        <v>147.23821700822612</v>
      </c>
      <c r="BN77">
        <f t="shared" ca="1" si="157"/>
        <v>142.7182296341621</v>
      </c>
      <c r="BO77">
        <f t="shared" ca="1" si="157"/>
        <v>134.25294805129226</v>
      </c>
      <c r="BP77">
        <f t="shared" ca="1" si="157"/>
        <v>132.41719896339038</v>
      </c>
      <c r="BQ77">
        <f t="shared" ca="1" si="157"/>
        <v>131.35381875432233</v>
      </c>
      <c r="BR77">
        <f t="shared" ref="BR77:CU77" ca="1" si="158">BQ77*(1+$B$2*$B$4+$B$3*SQRT($B$4)*_xlfn.NORM.S.INV(RAND()))</f>
        <v>135.69262717201136</v>
      </c>
      <c r="BS77">
        <f t="shared" ca="1" si="158"/>
        <v>134.86460613208831</v>
      </c>
      <c r="BT77">
        <f t="shared" ca="1" si="158"/>
        <v>138.02117677113708</v>
      </c>
      <c r="BU77">
        <f t="shared" ca="1" si="158"/>
        <v>135.88390518022828</v>
      </c>
      <c r="BV77">
        <f t="shared" ca="1" si="158"/>
        <v>136.54303325666734</v>
      </c>
      <c r="BW77">
        <f t="shared" ca="1" si="158"/>
        <v>132.8995542369064</v>
      </c>
      <c r="BX77">
        <f t="shared" ca="1" si="158"/>
        <v>136.45200238247591</v>
      </c>
      <c r="BY77">
        <f t="shared" ca="1" si="158"/>
        <v>133.42083659389743</v>
      </c>
      <c r="BZ77">
        <f t="shared" ca="1" si="158"/>
        <v>141.72076305743101</v>
      </c>
      <c r="CA77">
        <f t="shared" ca="1" si="158"/>
        <v>146.89189329673184</v>
      </c>
      <c r="CB77">
        <f t="shared" ca="1" si="158"/>
        <v>146.33788176098295</v>
      </c>
      <c r="CC77">
        <f t="shared" ca="1" si="158"/>
        <v>151.33655776479233</v>
      </c>
      <c r="CD77">
        <f t="shared" ca="1" si="158"/>
        <v>148.9218137411851</v>
      </c>
      <c r="CE77">
        <f t="shared" ca="1" si="158"/>
        <v>148.40004796437569</v>
      </c>
      <c r="CF77">
        <f t="shared" ca="1" si="158"/>
        <v>149.21239008912389</v>
      </c>
      <c r="CG77">
        <f t="shared" ca="1" si="158"/>
        <v>150.01275293166731</v>
      </c>
      <c r="CH77">
        <f t="shared" ca="1" si="158"/>
        <v>153.36813267466798</v>
      </c>
      <c r="CI77">
        <f t="shared" ca="1" si="158"/>
        <v>156.17409790879185</v>
      </c>
      <c r="CJ77">
        <f t="shared" ca="1" si="158"/>
        <v>153.72101687817695</v>
      </c>
      <c r="CK77">
        <f t="shared" ca="1" si="158"/>
        <v>147.91480073021734</v>
      </c>
      <c r="CL77">
        <f t="shared" ca="1" si="158"/>
        <v>149.47771426602986</v>
      </c>
      <c r="CM77">
        <f t="shared" ca="1" si="158"/>
        <v>145.73294159346429</v>
      </c>
      <c r="CN77">
        <f t="shared" ca="1" si="158"/>
        <v>149.79471252050618</v>
      </c>
      <c r="CO77">
        <f t="shared" ca="1" si="158"/>
        <v>155.54003178150145</v>
      </c>
      <c r="CP77">
        <f t="shared" ca="1" si="158"/>
        <v>154.0216367945456</v>
      </c>
      <c r="CQ77">
        <f t="shared" ca="1" si="158"/>
        <v>159.23711337479202</v>
      </c>
      <c r="CR77">
        <f t="shared" ca="1" si="158"/>
        <v>160.95406967000153</v>
      </c>
      <c r="CS77">
        <f t="shared" ca="1" si="158"/>
        <v>166.18608900161479</v>
      </c>
      <c r="CT77">
        <f t="shared" ca="1" si="158"/>
        <v>169.73075164764987</v>
      </c>
      <c r="CU77">
        <f t="shared" ca="1" si="158"/>
        <v>175.01734153570726</v>
      </c>
      <c r="CV77">
        <f t="shared" ca="1" si="135"/>
        <v>0</v>
      </c>
      <c r="CW77">
        <f t="shared" ca="1" si="138"/>
        <v>0</v>
      </c>
    </row>
    <row r="78" spans="5:101" x14ac:dyDescent="0.2">
      <c r="E78">
        <v>222.13</v>
      </c>
      <c r="F78">
        <f t="shared" ref="F78:BQ78" ca="1" si="159">E78*(1+$B$2*$B$4+$B$3*SQRT($B$4)*_xlfn.NORM.S.INV(RAND()))</f>
        <v>217.70766237751013</v>
      </c>
      <c r="G78">
        <f t="shared" ca="1" si="159"/>
        <v>226.00534502465794</v>
      </c>
      <c r="H78">
        <f t="shared" ca="1" si="159"/>
        <v>224.10447615318</v>
      </c>
      <c r="I78">
        <f t="shared" ca="1" si="159"/>
        <v>216.31921286796927</v>
      </c>
      <c r="J78">
        <f t="shared" ca="1" si="159"/>
        <v>209.78578541857667</v>
      </c>
      <c r="K78">
        <f t="shared" ca="1" si="159"/>
        <v>205.59869920348851</v>
      </c>
      <c r="L78">
        <f t="shared" ca="1" si="159"/>
        <v>207.70451055528548</v>
      </c>
      <c r="M78">
        <f t="shared" ca="1" si="159"/>
        <v>203.51340262774522</v>
      </c>
      <c r="N78">
        <f t="shared" ca="1" si="159"/>
        <v>207.06434421316595</v>
      </c>
      <c r="O78">
        <f t="shared" ca="1" si="159"/>
        <v>205.32275138298235</v>
      </c>
      <c r="P78">
        <f t="shared" ca="1" si="159"/>
        <v>199.37165632131217</v>
      </c>
      <c r="Q78">
        <f t="shared" ca="1" si="159"/>
        <v>193.72560172810532</v>
      </c>
      <c r="R78">
        <f t="shared" ca="1" si="159"/>
        <v>193.17446842420969</v>
      </c>
      <c r="S78">
        <f t="shared" ca="1" si="159"/>
        <v>196.55894837774426</v>
      </c>
      <c r="T78">
        <f t="shared" ca="1" si="159"/>
        <v>193.15213296846954</v>
      </c>
      <c r="U78">
        <f t="shared" ca="1" si="159"/>
        <v>181.87590197668371</v>
      </c>
      <c r="V78">
        <f t="shared" ca="1" si="159"/>
        <v>179.57411440848469</v>
      </c>
      <c r="W78">
        <f t="shared" ca="1" si="159"/>
        <v>182.20801364258142</v>
      </c>
      <c r="X78">
        <f t="shared" ca="1" si="159"/>
        <v>192.5184003627819</v>
      </c>
      <c r="Y78">
        <f t="shared" ca="1" si="159"/>
        <v>189.44128943873068</v>
      </c>
      <c r="Z78">
        <f t="shared" ca="1" si="159"/>
        <v>193.00886117303722</v>
      </c>
      <c r="AA78">
        <f t="shared" ca="1" si="159"/>
        <v>198.02484790177692</v>
      </c>
      <c r="AB78">
        <f t="shared" ca="1" si="159"/>
        <v>194.38935814316932</v>
      </c>
      <c r="AC78">
        <f t="shared" ca="1" si="159"/>
        <v>195.17706810580208</v>
      </c>
      <c r="AD78">
        <f t="shared" ca="1" si="159"/>
        <v>194.42220128561362</v>
      </c>
      <c r="AE78">
        <f t="shared" ca="1" si="159"/>
        <v>193.16549525579984</v>
      </c>
      <c r="AF78">
        <f t="shared" ca="1" si="159"/>
        <v>201.03953629809891</v>
      </c>
      <c r="AG78">
        <f t="shared" ca="1" si="159"/>
        <v>211.93765341827009</v>
      </c>
      <c r="AH78">
        <f t="shared" ca="1" si="159"/>
        <v>221.52722354247155</v>
      </c>
      <c r="AI78">
        <f t="shared" ca="1" si="159"/>
        <v>224.44725713186475</v>
      </c>
      <c r="AJ78">
        <f t="shared" ca="1" si="159"/>
        <v>222.5019026878002</v>
      </c>
      <c r="AK78">
        <f t="shared" ca="1" si="159"/>
        <v>228.78375743462044</v>
      </c>
      <c r="AL78">
        <f t="shared" ca="1" si="159"/>
        <v>233.14937552340376</v>
      </c>
      <c r="AM78">
        <f t="shared" ca="1" si="159"/>
        <v>224.78857552386887</v>
      </c>
      <c r="AN78">
        <f t="shared" ca="1" si="159"/>
        <v>224.303748960462</v>
      </c>
      <c r="AO78">
        <f t="shared" ca="1" si="159"/>
        <v>227.88671053791307</v>
      </c>
      <c r="AP78">
        <f t="shared" ca="1" si="159"/>
        <v>229.46566704373461</v>
      </c>
      <c r="AQ78">
        <f t="shared" ca="1" si="159"/>
        <v>224.25113997725899</v>
      </c>
      <c r="AR78">
        <f t="shared" ca="1" si="159"/>
        <v>231.23871057970834</v>
      </c>
      <c r="AS78">
        <f t="shared" ca="1" si="159"/>
        <v>235.39960410747747</v>
      </c>
      <c r="AT78">
        <f t="shared" ca="1" si="159"/>
        <v>240.60043672183392</v>
      </c>
      <c r="AU78">
        <f t="shared" ca="1" si="159"/>
        <v>237.76467148293898</v>
      </c>
      <c r="AV78">
        <f t="shared" ca="1" si="159"/>
        <v>239.39720909749272</v>
      </c>
      <c r="AW78">
        <f t="shared" ca="1" si="159"/>
        <v>243.54020775820987</v>
      </c>
      <c r="AX78">
        <f t="shared" ca="1" si="159"/>
        <v>241.70047928014046</v>
      </c>
      <c r="AY78">
        <f t="shared" ca="1" si="159"/>
        <v>244.51985199031594</v>
      </c>
      <c r="AZ78">
        <f t="shared" ca="1" si="159"/>
        <v>250.88898076083643</v>
      </c>
      <c r="BA78">
        <f t="shared" ca="1" si="159"/>
        <v>239.75551638904892</v>
      </c>
      <c r="BB78">
        <f t="shared" ca="1" si="159"/>
        <v>244.99164904690761</v>
      </c>
      <c r="BC78">
        <f t="shared" ca="1" si="159"/>
        <v>249.42104787352216</v>
      </c>
      <c r="BD78">
        <f t="shared" ca="1" si="159"/>
        <v>247.97709337279736</v>
      </c>
      <c r="BE78">
        <f t="shared" ca="1" si="159"/>
        <v>243.66288573153</v>
      </c>
      <c r="BF78">
        <f t="shared" ca="1" si="159"/>
        <v>237.98708606037451</v>
      </c>
      <c r="BG78">
        <f t="shared" ca="1" si="159"/>
        <v>234.25194436662358</v>
      </c>
      <c r="BH78">
        <f t="shared" ca="1" si="159"/>
        <v>225.69006669380883</v>
      </c>
      <c r="BI78">
        <f t="shared" ca="1" si="159"/>
        <v>229.75529882409762</v>
      </c>
      <c r="BJ78">
        <f t="shared" ca="1" si="159"/>
        <v>229.93617261665958</v>
      </c>
      <c r="BK78">
        <f t="shared" ca="1" si="159"/>
        <v>231.19414614886773</v>
      </c>
      <c r="BL78">
        <f t="shared" ca="1" si="159"/>
        <v>237.62697134765097</v>
      </c>
      <c r="BM78">
        <f t="shared" ca="1" si="159"/>
        <v>232.97347058624194</v>
      </c>
      <c r="BN78">
        <f t="shared" ca="1" si="159"/>
        <v>237.56723809403798</v>
      </c>
      <c r="BO78">
        <f t="shared" ca="1" si="159"/>
        <v>244.89648135440606</v>
      </c>
      <c r="BP78">
        <f t="shared" ca="1" si="159"/>
        <v>249.71240299725852</v>
      </c>
      <c r="BQ78">
        <f t="shared" ca="1" si="159"/>
        <v>253.31528825570052</v>
      </c>
      <c r="BR78">
        <f t="shared" ref="BR78:CU78" ca="1" si="160">BQ78*(1+$B$2*$B$4+$B$3*SQRT($B$4)*_xlfn.NORM.S.INV(RAND()))</f>
        <v>263.89777947120837</v>
      </c>
      <c r="BS78">
        <f t="shared" ca="1" si="160"/>
        <v>254.15906873159551</v>
      </c>
      <c r="BT78">
        <f t="shared" ca="1" si="160"/>
        <v>262.14420038684347</v>
      </c>
      <c r="BU78">
        <f t="shared" ca="1" si="160"/>
        <v>267.67503853421698</v>
      </c>
      <c r="BV78">
        <f t="shared" ca="1" si="160"/>
        <v>260.28826771216433</v>
      </c>
      <c r="BW78">
        <f t="shared" ca="1" si="160"/>
        <v>264.24465493089588</v>
      </c>
      <c r="BX78">
        <f t="shared" ca="1" si="160"/>
        <v>256.49398011664175</v>
      </c>
      <c r="BY78">
        <f t="shared" ca="1" si="160"/>
        <v>256.86915693470121</v>
      </c>
      <c r="BZ78">
        <f t="shared" ca="1" si="160"/>
        <v>264.62218332545672</v>
      </c>
      <c r="CA78">
        <f t="shared" ca="1" si="160"/>
        <v>274.89436042937513</v>
      </c>
      <c r="CB78">
        <f t="shared" ca="1" si="160"/>
        <v>263.23086988174941</v>
      </c>
      <c r="CC78">
        <f t="shared" ca="1" si="160"/>
        <v>263.17738366807652</v>
      </c>
      <c r="CD78">
        <f t="shared" ca="1" si="160"/>
        <v>254.21399254586237</v>
      </c>
      <c r="CE78">
        <f t="shared" ca="1" si="160"/>
        <v>251.71645588172973</v>
      </c>
      <c r="CF78">
        <f t="shared" ca="1" si="160"/>
        <v>253.27200695373239</v>
      </c>
      <c r="CG78">
        <f t="shared" ca="1" si="160"/>
        <v>257.97388932542077</v>
      </c>
      <c r="CH78">
        <f t="shared" ca="1" si="160"/>
        <v>261.06734648533302</v>
      </c>
      <c r="CI78">
        <f t="shared" ca="1" si="160"/>
        <v>255.22464168678559</v>
      </c>
      <c r="CJ78">
        <f t="shared" ca="1" si="160"/>
        <v>249.3177520031318</v>
      </c>
      <c r="CK78">
        <f t="shared" ca="1" si="160"/>
        <v>247.34485133594413</v>
      </c>
      <c r="CL78">
        <f t="shared" ca="1" si="160"/>
        <v>246.26463705741313</v>
      </c>
      <c r="CM78">
        <f t="shared" ca="1" si="160"/>
        <v>254.50011602442058</v>
      </c>
      <c r="CN78">
        <f t="shared" ca="1" si="160"/>
        <v>255.9231529289317</v>
      </c>
      <c r="CO78">
        <f t="shared" ca="1" si="160"/>
        <v>254.55781942078008</v>
      </c>
      <c r="CP78">
        <f t="shared" ca="1" si="160"/>
        <v>247.95705327061572</v>
      </c>
      <c r="CQ78">
        <f t="shared" ca="1" si="160"/>
        <v>243.03056626454813</v>
      </c>
      <c r="CR78">
        <f t="shared" ca="1" si="160"/>
        <v>246.91442070983382</v>
      </c>
      <c r="CS78">
        <f t="shared" ca="1" si="160"/>
        <v>250.95265369219237</v>
      </c>
      <c r="CT78">
        <f t="shared" ca="1" si="160"/>
        <v>255.06095111437506</v>
      </c>
      <c r="CU78">
        <f t="shared" ca="1" si="160"/>
        <v>259.58206627786706</v>
      </c>
      <c r="CV78">
        <f t="shared" ca="1" si="135"/>
        <v>39.582066277867057</v>
      </c>
      <c r="CW78">
        <f t="shared" ca="1" si="138"/>
        <v>38.056630321580748</v>
      </c>
    </row>
    <row r="79" spans="5:101" x14ac:dyDescent="0.2">
      <c r="E79">
        <v>222.13</v>
      </c>
      <c r="F79">
        <f t="shared" ref="F79:BQ79" ca="1" si="161">E79*(1+$B$2*$B$4+$B$3*SQRT($B$4)*_xlfn.NORM.S.INV(RAND()))</f>
        <v>221.27802751720785</v>
      </c>
      <c r="G79">
        <f t="shared" ca="1" si="161"/>
        <v>217.71589573004738</v>
      </c>
      <c r="H79">
        <f t="shared" ca="1" si="161"/>
        <v>222.67552770974314</v>
      </c>
      <c r="I79">
        <f t="shared" ca="1" si="161"/>
        <v>221.55798996051968</v>
      </c>
      <c r="J79">
        <f t="shared" ca="1" si="161"/>
        <v>231.35638479398858</v>
      </c>
      <c r="K79">
        <f t="shared" ca="1" si="161"/>
        <v>230.20871997282478</v>
      </c>
      <c r="L79">
        <f t="shared" ca="1" si="161"/>
        <v>237.20615727020214</v>
      </c>
      <c r="M79">
        <f t="shared" ca="1" si="161"/>
        <v>229.66349165906141</v>
      </c>
      <c r="N79">
        <f t="shared" ca="1" si="161"/>
        <v>227.75977044113787</v>
      </c>
      <c r="O79">
        <f t="shared" ca="1" si="161"/>
        <v>228.73488149211181</v>
      </c>
      <c r="P79">
        <f t="shared" ca="1" si="161"/>
        <v>217.31646261877881</v>
      </c>
      <c r="Q79">
        <f t="shared" ca="1" si="161"/>
        <v>225.30744071976062</v>
      </c>
      <c r="R79">
        <f t="shared" ca="1" si="161"/>
        <v>221.62660545344445</v>
      </c>
      <c r="S79">
        <f t="shared" ca="1" si="161"/>
        <v>223.52866999013438</v>
      </c>
      <c r="T79">
        <f t="shared" ca="1" si="161"/>
        <v>223.38761848849578</v>
      </c>
      <c r="U79">
        <f t="shared" ca="1" si="161"/>
        <v>229.62958609929743</v>
      </c>
      <c r="V79">
        <f t="shared" ca="1" si="161"/>
        <v>226.31813470929984</v>
      </c>
      <c r="W79">
        <f t="shared" ca="1" si="161"/>
        <v>230.14661811676416</v>
      </c>
      <c r="X79">
        <f t="shared" ca="1" si="161"/>
        <v>229.06384398878984</v>
      </c>
      <c r="Y79">
        <f t="shared" ca="1" si="161"/>
        <v>224.27350791070035</v>
      </c>
      <c r="Z79">
        <f t="shared" ca="1" si="161"/>
        <v>221.25458419088133</v>
      </c>
      <c r="AA79">
        <f t="shared" ca="1" si="161"/>
        <v>221.2110253366186</v>
      </c>
      <c r="AB79">
        <f t="shared" ca="1" si="161"/>
        <v>221.74011260669636</v>
      </c>
      <c r="AC79">
        <f t="shared" ca="1" si="161"/>
        <v>220.52254329939717</v>
      </c>
      <c r="AD79">
        <f t="shared" ca="1" si="161"/>
        <v>216.47556154876543</v>
      </c>
      <c r="AE79">
        <f t="shared" ca="1" si="161"/>
        <v>216.37172071336684</v>
      </c>
      <c r="AF79">
        <f t="shared" ca="1" si="161"/>
        <v>212.1539276767694</v>
      </c>
      <c r="AG79">
        <f t="shared" ca="1" si="161"/>
        <v>213.01724776696722</v>
      </c>
      <c r="AH79">
        <f t="shared" ca="1" si="161"/>
        <v>214.18829513003976</v>
      </c>
      <c r="AI79">
        <f t="shared" ca="1" si="161"/>
        <v>222.84042446141538</v>
      </c>
      <c r="AJ79">
        <f t="shared" ca="1" si="161"/>
        <v>217.56732353672288</v>
      </c>
      <c r="AK79">
        <f t="shared" ca="1" si="161"/>
        <v>214.22026612352627</v>
      </c>
      <c r="AL79">
        <f t="shared" ca="1" si="161"/>
        <v>215.96340470002352</v>
      </c>
      <c r="AM79">
        <f t="shared" ca="1" si="161"/>
        <v>215.351765151743</v>
      </c>
      <c r="AN79">
        <f t="shared" ca="1" si="161"/>
        <v>227.30805010821462</v>
      </c>
      <c r="AO79">
        <f t="shared" ca="1" si="161"/>
        <v>230.9113077683941</v>
      </c>
      <c r="AP79">
        <f t="shared" ca="1" si="161"/>
        <v>229.42389333148336</v>
      </c>
      <c r="AQ79">
        <f t="shared" ca="1" si="161"/>
        <v>229.95209805129204</v>
      </c>
      <c r="AR79">
        <f t="shared" ca="1" si="161"/>
        <v>234.58403661095312</v>
      </c>
      <c r="AS79">
        <f t="shared" ca="1" si="161"/>
        <v>230.83413447281308</v>
      </c>
      <c r="AT79">
        <f t="shared" ca="1" si="161"/>
        <v>237.18923994200676</v>
      </c>
      <c r="AU79">
        <f t="shared" ca="1" si="161"/>
        <v>238.10224222119581</v>
      </c>
      <c r="AV79">
        <f t="shared" ca="1" si="161"/>
        <v>244.36978681562891</v>
      </c>
      <c r="AW79">
        <f t="shared" ca="1" si="161"/>
        <v>243.73759729495399</v>
      </c>
      <c r="AX79">
        <f t="shared" ca="1" si="161"/>
        <v>241.49833981453554</v>
      </c>
      <c r="AY79">
        <f t="shared" ca="1" si="161"/>
        <v>244.74656651220522</v>
      </c>
      <c r="AZ79">
        <f t="shared" ca="1" si="161"/>
        <v>238.18540821609517</v>
      </c>
      <c r="BA79">
        <f t="shared" ca="1" si="161"/>
        <v>233.05984628422306</v>
      </c>
      <c r="BB79">
        <f t="shared" ca="1" si="161"/>
        <v>237.6669220438794</v>
      </c>
      <c r="BC79">
        <f t="shared" ca="1" si="161"/>
        <v>240.38526291068399</v>
      </c>
      <c r="BD79">
        <f t="shared" ca="1" si="161"/>
        <v>234.24440239300688</v>
      </c>
      <c r="BE79">
        <f t="shared" ca="1" si="161"/>
        <v>225.12504566514011</v>
      </c>
      <c r="BF79">
        <f t="shared" ca="1" si="161"/>
        <v>217.55999912548083</v>
      </c>
      <c r="BG79">
        <f t="shared" ca="1" si="161"/>
        <v>209.53053155904254</v>
      </c>
      <c r="BH79">
        <f t="shared" ca="1" si="161"/>
        <v>213.67554317744063</v>
      </c>
      <c r="BI79">
        <f t="shared" ca="1" si="161"/>
        <v>206.08254926242606</v>
      </c>
      <c r="BJ79">
        <f t="shared" ca="1" si="161"/>
        <v>206.10790407804078</v>
      </c>
      <c r="BK79">
        <f t="shared" ca="1" si="161"/>
        <v>210.42206278198066</v>
      </c>
      <c r="BL79">
        <f t="shared" ca="1" si="161"/>
        <v>206.45952805431415</v>
      </c>
      <c r="BM79">
        <f t="shared" ca="1" si="161"/>
        <v>214.02895199172374</v>
      </c>
      <c r="BN79">
        <f t="shared" ca="1" si="161"/>
        <v>214.15994527056384</v>
      </c>
      <c r="BO79">
        <f t="shared" ca="1" si="161"/>
        <v>208.00867174574441</v>
      </c>
      <c r="BP79">
        <f t="shared" ca="1" si="161"/>
        <v>210.18097273868943</v>
      </c>
      <c r="BQ79">
        <f t="shared" ca="1" si="161"/>
        <v>214.00323303255223</v>
      </c>
      <c r="BR79">
        <f t="shared" ref="BR79:CU79" ca="1" si="162">BQ79*(1+$B$2*$B$4+$B$3*SQRT($B$4)*_xlfn.NORM.S.INV(RAND()))</f>
        <v>214.22396874219595</v>
      </c>
      <c r="BS79">
        <f t="shared" ca="1" si="162"/>
        <v>208.28145648819117</v>
      </c>
      <c r="BT79">
        <f t="shared" ca="1" si="162"/>
        <v>215.31409261230215</v>
      </c>
      <c r="BU79">
        <f t="shared" ca="1" si="162"/>
        <v>220.49899621459318</v>
      </c>
      <c r="BV79">
        <f t="shared" ca="1" si="162"/>
        <v>226.15917023069588</v>
      </c>
      <c r="BW79">
        <f t="shared" ca="1" si="162"/>
        <v>231.15846383398059</v>
      </c>
      <c r="BX79">
        <f t="shared" ca="1" si="162"/>
        <v>235.47559283350415</v>
      </c>
      <c r="BY79">
        <f t="shared" ca="1" si="162"/>
        <v>239.4650331956415</v>
      </c>
      <c r="BZ79">
        <f t="shared" ca="1" si="162"/>
        <v>233.99054491129459</v>
      </c>
      <c r="CA79">
        <f t="shared" ca="1" si="162"/>
        <v>229.81721430492883</v>
      </c>
      <c r="CB79">
        <f t="shared" ca="1" si="162"/>
        <v>230.22883946820303</v>
      </c>
      <c r="CC79">
        <f t="shared" ca="1" si="162"/>
        <v>232.89066621407613</v>
      </c>
      <c r="CD79">
        <f t="shared" ca="1" si="162"/>
        <v>236.55405695601721</v>
      </c>
      <c r="CE79">
        <f t="shared" ca="1" si="162"/>
        <v>246.28050778283122</v>
      </c>
      <c r="CF79">
        <f t="shared" ca="1" si="162"/>
        <v>241.20561780585257</v>
      </c>
      <c r="CG79">
        <f t="shared" ca="1" si="162"/>
        <v>246.83733974709958</v>
      </c>
      <c r="CH79">
        <f t="shared" ca="1" si="162"/>
        <v>249.59319471170627</v>
      </c>
      <c r="CI79">
        <f t="shared" ca="1" si="162"/>
        <v>252.78783158435766</v>
      </c>
      <c r="CJ79">
        <f t="shared" ca="1" si="162"/>
        <v>256.75436010232704</v>
      </c>
      <c r="CK79">
        <f t="shared" ca="1" si="162"/>
        <v>261.5774986436914</v>
      </c>
      <c r="CL79">
        <f t="shared" ca="1" si="162"/>
        <v>259.92482781283337</v>
      </c>
      <c r="CM79">
        <f t="shared" ca="1" si="162"/>
        <v>266.47150403041087</v>
      </c>
      <c r="CN79">
        <f t="shared" ca="1" si="162"/>
        <v>268.81319429619765</v>
      </c>
      <c r="CO79">
        <f t="shared" ca="1" si="162"/>
        <v>276.71324582760843</v>
      </c>
      <c r="CP79">
        <f t="shared" ca="1" si="162"/>
        <v>255.93335172884602</v>
      </c>
      <c r="CQ79">
        <f t="shared" ca="1" si="162"/>
        <v>266.19069506124555</v>
      </c>
      <c r="CR79">
        <f t="shared" ca="1" si="162"/>
        <v>270.90804057286948</v>
      </c>
      <c r="CS79">
        <f t="shared" ca="1" si="162"/>
        <v>270.35681340588155</v>
      </c>
      <c r="CT79">
        <f t="shared" ca="1" si="162"/>
        <v>277.66890159746021</v>
      </c>
      <c r="CU79">
        <f t="shared" ca="1" si="162"/>
        <v>286.92650728503526</v>
      </c>
      <c r="CV79">
        <f t="shared" ca="1" si="135"/>
        <v>66.926507285035257</v>
      </c>
      <c r="CW79">
        <f t="shared" ca="1" si="138"/>
        <v>64.347255865350363</v>
      </c>
    </row>
    <row r="80" spans="5:101" x14ac:dyDescent="0.2">
      <c r="E80">
        <v>222.13</v>
      </c>
      <c r="F80">
        <f t="shared" ref="F80:BQ80" ca="1" si="163">E80*(1+$B$2*$B$4+$B$3*SQRT($B$4)*_xlfn.NORM.S.INV(RAND()))</f>
        <v>216.39997364222913</v>
      </c>
      <c r="G80">
        <f t="shared" ca="1" si="163"/>
        <v>219.52401637145218</v>
      </c>
      <c r="H80">
        <f t="shared" ca="1" si="163"/>
        <v>222.24035151159745</v>
      </c>
      <c r="I80">
        <f t="shared" ca="1" si="163"/>
        <v>217.1920943913787</v>
      </c>
      <c r="J80">
        <f t="shared" ca="1" si="163"/>
        <v>214.33343068781659</v>
      </c>
      <c r="K80">
        <f t="shared" ca="1" si="163"/>
        <v>211.01166227008255</v>
      </c>
      <c r="L80">
        <f t="shared" ca="1" si="163"/>
        <v>216.28293035784625</v>
      </c>
      <c r="M80">
        <f t="shared" ca="1" si="163"/>
        <v>220.22083860839405</v>
      </c>
      <c r="N80">
        <f t="shared" ca="1" si="163"/>
        <v>214.98063150128891</v>
      </c>
      <c r="O80">
        <f t="shared" ca="1" si="163"/>
        <v>212.85466721035704</v>
      </c>
      <c r="P80">
        <f t="shared" ca="1" si="163"/>
        <v>207.29717441644641</v>
      </c>
      <c r="Q80">
        <f t="shared" ca="1" si="163"/>
        <v>214.58637880033586</v>
      </c>
      <c r="R80">
        <f t="shared" ca="1" si="163"/>
        <v>212.92315006510998</v>
      </c>
      <c r="S80">
        <f t="shared" ca="1" si="163"/>
        <v>209.59773354891627</v>
      </c>
      <c r="T80">
        <f t="shared" ca="1" si="163"/>
        <v>200.12245455152899</v>
      </c>
      <c r="U80">
        <f t="shared" ca="1" si="163"/>
        <v>191.16347838808031</v>
      </c>
      <c r="V80">
        <f t="shared" ca="1" si="163"/>
        <v>192.41015385666972</v>
      </c>
      <c r="W80">
        <f t="shared" ca="1" si="163"/>
        <v>190.63480939728885</v>
      </c>
      <c r="X80">
        <f t="shared" ca="1" si="163"/>
        <v>185.26654629799469</v>
      </c>
      <c r="Y80">
        <f t="shared" ca="1" si="163"/>
        <v>187.96245955852177</v>
      </c>
      <c r="Z80">
        <f t="shared" ca="1" si="163"/>
        <v>195.74966762975919</v>
      </c>
      <c r="AA80">
        <f t="shared" ca="1" si="163"/>
        <v>202.45771271810602</v>
      </c>
      <c r="AB80">
        <f t="shared" ca="1" si="163"/>
        <v>200.49116837774702</v>
      </c>
      <c r="AC80">
        <f t="shared" ca="1" si="163"/>
        <v>196.08256094011142</v>
      </c>
      <c r="AD80">
        <f t="shared" ca="1" si="163"/>
        <v>189.03008404816919</v>
      </c>
      <c r="AE80">
        <f t="shared" ca="1" si="163"/>
        <v>181.56304602212933</v>
      </c>
      <c r="AF80">
        <f t="shared" ca="1" si="163"/>
        <v>186.23863311299547</v>
      </c>
      <c r="AG80">
        <f t="shared" ca="1" si="163"/>
        <v>186.20947992346882</v>
      </c>
      <c r="AH80">
        <f t="shared" ca="1" si="163"/>
        <v>186.28267685079723</v>
      </c>
      <c r="AI80">
        <f t="shared" ca="1" si="163"/>
        <v>185.08199894012827</v>
      </c>
      <c r="AJ80">
        <f t="shared" ca="1" si="163"/>
        <v>181.95853406919312</v>
      </c>
      <c r="AK80">
        <f t="shared" ca="1" si="163"/>
        <v>179.56997473715663</v>
      </c>
      <c r="AL80">
        <f t="shared" ca="1" si="163"/>
        <v>186.40170977728519</v>
      </c>
      <c r="AM80">
        <f t="shared" ca="1" si="163"/>
        <v>189.03238622149439</v>
      </c>
      <c r="AN80">
        <f t="shared" ca="1" si="163"/>
        <v>193.00765656846153</v>
      </c>
      <c r="AO80">
        <f t="shared" ca="1" si="163"/>
        <v>189.20262403574202</v>
      </c>
      <c r="AP80">
        <f t="shared" ca="1" si="163"/>
        <v>192.18261723659691</v>
      </c>
      <c r="AQ80">
        <f t="shared" ca="1" si="163"/>
        <v>189.68631983891618</v>
      </c>
      <c r="AR80">
        <f t="shared" ca="1" si="163"/>
        <v>192.32658325937885</v>
      </c>
      <c r="AS80">
        <f t="shared" ca="1" si="163"/>
        <v>198.28617385588063</v>
      </c>
      <c r="AT80">
        <f t="shared" ca="1" si="163"/>
        <v>198.64056192171401</v>
      </c>
      <c r="AU80">
        <f t="shared" ca="1" si="163"/>
        <v>194.94635459831767</v>
      </c>
      <c r="AV80">
        <f t="shared" ca="1" si="163"/>
        <v>194.65561356460339</v>
      </c>
      <c r="AW80">
        <f t="shared" ca="1" si="163"/>
        <v>194.18964539159461</v>
      </c>
      <c r="AX80">
        <f t="shared" ca="1" si="163"/>
        <v>185.30290815658969</v>
      </c>
      <c r="AY80">
        <f t="shared" ca="1" si="163"/>
        <v>180.5029811996294</v>
      </c>
      <c r="AZ80">
        <f t="shared" ca="1" si="163"/>
        <v>186.94129343324698</v>
      </c>
      <c r="BA80">
        <f t="shared" ca="1" si="163"/>
        <v>184.55256744742647</v>
      </c>
      <c r="BB80">
        <f t="shared" ca="1" si="163"/>
        <v>185.63854631474774</v>
      </c>
      <c r="BC80">
        <f t="shared" ca="1" si="163"/>
        <v>192.89216494032689</v>
      </c>
      <c r="BD80">
        <f t="shared" ca="1" si="163"/>
        <v>192.23022022196284</v>
      </c>
      <c r="BE80">
        <f t="shared" ca="1" si="163"/>
        <v>188.89095908879267</v>
      </c>
      <c r="BF80">
        <f t="shared" ca="1" si="163"/>
        <v>180.01600797461882</v>
      </c>
      <c r="BG80">
        <f t="shared" ca="1" si="163"/>
        <v>182.00435090365963</v>
      </c>
      <c r="BH80">
        <f t="shared" ca="1" si="163"/>
        <v>180.86212297752442</v>
      </c>
      <c r="BI80">
        <f t="shared" ca="1" si="163"/>
        <v>186.67025394417988</v>
      </c>
      <c r="BJ80">
        <f t="shared" ca="1" si="163"/>
        <v>188.90102481922025</v>
      </c>
      <c r="BK80">
        <f t="shared" ca="1" si="163"/>
        <v>190.92203950785296</v>
      </c>
      <c r="BL80">
        <f t="shared" ca="1" si="163"/>
        <v>188.18598414887725</v>
      </c>
      <c r="BM80">
        <f t="shared" ca="1" si="163"/>
        <v>193.60814705083442</v>
      </c>
      <c r="BN80">
        <f t="shared" ca="1" si="163"/>
        <v>191.04301224143558</v>
      </c>
      <c r="BO80">
        <f t="shared" ca="1" si="163"/>
        <v>183.02190568175428</v>
      </c>
      <c r="BP80">
        <f t="shared" ca="1" si="163"/>
        <v>186.39150283953674</v>
      </c>
      <c r="BQ80">
        <f t="shared" ca="1" si="163"/>
        <v>186.42553900407941</v>
      </c>
      <c r="BR80">
        <f t="shared" ref="BR80:CU80" ca="1" si="164">BQ80*(1+$B$2*$B$4+$B$3*SQRT($B$4)*_xlfn.NORM.S.INV(RAND()))</f>
        <v>184.42693265375945</v>
      </c>
      <c r="BS80">
        <f t="shared" ca="1" si="164"/>
        <v>180.85492332400142</v>
      </c>
      <c r="BT80">
        <f t="shared" ca="1" si="164"/>
        <v>182.04138414443207</v>
      </c>
      <c r="BU80">
        <f t="shared" ca="1" si="164"/>
        <v>180.39865390559365</v>
      </c>
      <c r="BV80">
        <f t="shared" ca="1" si="164"/>
        <v>180.55235109239243</v>
      </c>
      <c r="BW80">
        <f t="shared" ca="1" si="164"/>
        <v>184.76614123040616</v>
      </c>
      <c r="BX80">
        <f t="shared" ca="1" si="164"/>
        <v>186.70074069399047</v>
      </c>
      <c r="BY80">
        <f t="shared" ca="1" si="164"/>
        <v>192.03799011098289</v>
      </c>
      <c r="BZ80">
        <f t="shared" ca="1" si="164"/>
        <v>187.5973997456822</v>
      </c>
      <c r="CA80">
        <f t="shared" ca="1" si="164"/>
        <v>187.95960130325105</v>
      </c>
      <c r="CB80">
        <f t="shared" ca="1" si="164"/>
        <v>181.35520898132017</v>
      </c>
      <c r="CC80">
        <f t="shared" ca="1" si="164"/>
        <v>174.89819212297755</v>
      </c>
      <c r="CD80">
        <f t="shared" ca="1" si="164"/>
        <v>174.59102479124553</v>
      </c>
      <c r="CE80">
        <f t="shared" ca="1" si="164"/>
        <v>172.28659424114122</v>
      </c>
      <c r="CF80">
        <f t="shared" ca="1" si="164"/>
        <v>170.15365489052957</v>
      </c>
      <c r="CG80">
        <f t="shared" ca="1" si="164"/>
        <v>172.90277148038021</v>
      </c>
      <c r="CH80">
        <f t="shared" ca="1" si="164"/>
        <v>173.58548261235134</v>
      </c>
      <c r="CI80">
        <f t="shared" ca="1" si="164"/>
        <v>169.84424112517627</v>
      </c>
      <c r="CJ80">
        <f t="shared" ca="1" si="164"/>
        <v>170.66966895963765</v>
      </c>
      <c r="CK80">
        <f t="shared" ca="1" si="164"/>
        <v>169.56265258179423</v>
      </c>
      <c r="CL80">
        <f t="shared" ca="1" si="164"/>
        <v>160.26462405653686</v>
      </c>
      <c r="CM80">
        <f t="shared" ca="1" si="164"/>
        <v>165.50052743703486</v>
      </c>
      <c r="CN80">
        <f t="shared" ca="1" si="164"/>
        <v>162.43620914778614</v>
      </c>
      <c r="CO80">
        <f t="shared" ca="1" si="164"/>
        <v>163.68759749549349</v>
      </c>
      <c r="CP80">
        <f t="shared" ca="1" si="164"/>
        <v>161.55091853538184</v>
      </c>
      <c r="CQ80">
        <f t="shared" ca="1" si="164"/>
        <v>163.74193918618656</v>
      </c>
      <c r="CR80">
        <f t="shared" ca="1" si="164"/>
        <v>164.76876837098425</v>
      </c>
      <c r="CS80">
        <f t="shared" ca="1" si="164"/>
        <v>164.36726316780423</v>
      </c>
      <c r="CT80">
        <f t="shared" ca="1" si="164"/>
        <v>166.48782498226248</v>
      </c>
      <c r="CU80">
        <f t="shared" ca="1" si="164"/>
        <v>165.96422849041156</v>
      </c>
      <c r="CV80">
        <f t="shared" ca="1" si="135"/>
        <v>0</v>
      </c>
      <c r="CW80">
        <f t="shared" ca="1" si="138"/>
        <v>0</v>
      </c>
    </row>
    <row r="81" spans="5:101" x14ac:dyDescent="0.2">
      <c r="E81">
        <v>222.13</v>
      </c>
      <c r="F81">
        <f t="shared" ref="F81:BQ81" ca="1" si="165">E81*(1+$B$2*$B$4+$B$3*SQRT($B$4)*_xlfn.NORM.S.INV(RAND()))</f>
        <v>231.18387402454042</v>
      </c>
      <c r="G81">
        <f t="shared" ca="1" si="165"/>
        <v>228.29847432470206</v>
      </c>
      <c r="H81">
        <f t="shared" ca="1" si="165"/>
        <v>231.99403284172197</v>
      </c>
      <c r="I81">
        <f t="shared" ca="1" si="165"/>
        <v>227.99145973428469</v>
      </c>
      <c r="J81">
        <f t="shared" ca="1" si="165"/>
        <v>232.37282772980228</v>
      </c>
      <c r="K81">
        <f t="shared" ca="1" si="165"/>
        <v>228.1879340975629</v>
      </c>
      <c r="L81">
        <f t="shared" ca="1" si="165"/>
        <v>232.02132857441785</v>
      </c>
      <c r="M81">
        <f t="shared" ca="1" si="165"/>
        <v>220.97486865549399</v>
      </c>
      <c r="N81">
        <f t="shared" ca="1" si="165"/>
        <v>212.93760707838635</v>
      </c>
      <c r="O81">
        <f t="shared" ca="1" si="165"/>
        <v>223.70256955233287</v>
      </c>
      <c r="P81">
        <f t="shared" ca="1" si="165"/>
        <v>222.75520104190252</v>
      </c>
      <c r="Q81">
        <f t="shared" ca="1" si="165"/>
        <v>225.58213314997303</v>
      </c>
      <c r="R81">
        <f t="shared" ca="1" si="165"/>
        <v>225.32563828547862</v>
      </c>
      <c r="S81">
        <f t="shared" ca="1" si="165"/>
        <v>230.7850323745092</v>
      </c>
      <c r="T81">
        <f t="shared" ca="1" si="165"/>
        <v>233.35119325456466</v>
      </c>
      <c r="U81">
        <f t="shared" ca="1" si="165"/>
        <v>230.32940616140334</v>
      </c>
      <c r="V81">
        <f t="shared" ca="1" si="165"/>
        <v>219.92876581553909</v>
      </c>
      <c r="W81">
        <f t="shared" ca="1" si="165"/>
        <v>220.09127766400294</v>
      </c>
      <c r="X81">
        <f t="shared" ca="1" si="165"/>
        <v>218.52527599013018</v>
      </c>
      <c r="Y81">
        <f t="shared" ca="1" si="165"/>
        <v>216.21632066372663</v>
      </c>
      <c r="Z81">
        <f t="shared" ca="1" si="165"/>
        <v>216.82214081769337</v>
      </c>
      <c r="AA81">
        <f t="shared" ca="1" si="165"/>
        <v>215.28708681039902</v>
      </c>
      <c r="AB81">
        <f t="shared" ca="1" si="165"/>
        <v>221.56666116098481</v>
      </c>
      <c r="AC81">
        <f t="shared" ca="1" si="165"/>
        <v>215.49154701912133</v>
      </c>
      <c r="AD81">
        <f t="shared" ca="1" si="165"/>
        <v>223.33573822409122</v>
      </c>
      <c r="AE81">
        <f t="shared" ca="1" si="165"/>
        <v>226.27522940056224</v>
      </c>
      <c r="AF81">
        <f t="shared" ca="1" si="165"/>
        <v>226.5189920020735</v>
      </c>
      <c r="AG81">
        <f t="shared" ca="1" si="165"/>
        <v>222.87824027687975</v>
      </c>
      <c r="AH81">
        <f t="shared" ca="1" si="165"/>
        <v>223.80385947776534</v>
      </c>
      <c r="AI81">
        <f t="shared" ca="1" si="165"/>
        <v>228.69792230571923</v>
      </c>
      <c r="AJ81">
        <f t="shared" ca="1" si="165"/>
        <v>219.07233110423621</v>
      </c>
      <c r="AK81">
        <f t="shared" ca="1" si="165"/>
        <v>220.1985678570766</v>
      </c>
      <c r="AL81">
        <f t="shared" ca="1" si="165"/>
        <v>224.39251058414672</v>
      </c>
      <c r="AM81">
        <f t="shared" ca="1" si="165"/>
        <v>224.92480359919907</v>
      </c>
      <c r="AN81">
        <f t="shared" ca="1" si="165"/>
        <v>223.21699186157682</v>
      </c>
      <c r="AO81">
        <f t="shared" ca="1" si="165"/>
        <v>230.14883210840864</v>
      </c>
      <c r="AP81">
        <f t="shared" ca="1" si="165"/>
        <v>232.9986627521352</v>
      </c>
      <c r="AQ81">
        <f t="shared" ca="1" si="165"/>
        <v>233.44929278547676</v>
      </c>
      <c r="AR81">
        <f t="shared" ca="1" si="165"/>
        <v>227.21629544086667</v>
      </c>
      <c r="AS81">
        <f t="shared" ca="1" si="165"/>
        <v>226.13812572403583</v>
      </c>
      <c r="AT81">
        <f t="shared" ca="1" si="165"/>
        <v>232.95686415512449</v>
      </c>
      <c r="AU81">
        <f t="shared" ca="1" si="165"/>
        <v>243.53073607651567</v>
      </c>
      <c r="AV81">
        <f t="shared" ca="1" si="165"/>
        <v>246.6206857385433</v>
      </c>
      <c r="AW81">
        <f t="shared" ca="1" si="165"/>
        <v>249.21202642747795</v>
      </c>
      <c r="AX81">
        <f t="shared" ca="1" si="165"/>
        <v>240.46664030232026</v>
      </c>
      <c r="AY81">
        <f t="shared" ca="1" si="165"/>
        <v>250.85680500536046</v>
      </c>
      <c r="AZ81">
        <f t="shared" ca="1" si="165"/>
        <v>263.24837373062508</v>
      </c>
      <c r="BA81">
        <f t="shared" ca="1" si="165"/>
        <v>258.01369453134134</v>
      </c>
      <c r="BB81">
        <f t="shared" ca="1" si="165"/>
        <v>249.67274984862127</v>
      </c>
      <c r="BC81">
        <f t="shared" ca="1" si="165"/>
        <v>260.93719016833603</v>
      </c>
      <c r="BD81">
        <f t="shared" ca="1" si="165"/>
        <v>259.05450520189032</v>
      </c>
      <c r="BE81">
        <f t="shared" ca="1" si="165"/>
        <v>268.7667473567995</v>
      </c>
      <c r="BF81">
        <f t="shared" ca="1" si="165"/>
        <v>260.38943610607799</v>
      </c>
      <c r="BG81">
        <f t="shared" ca="1" si="165"/>
        <v>267.67560865404914</v>
      </c>
      <c r="BH81">
        <f t="shared" ca="1" si="165"/>
        <v>274.31968295575706</v>
      </c>
      <c r="BI81">
        <f t="shared" ca="1" si="165"/>
        <v>278.15359568690741</v>
      </c>
      <c r="BJ81">
        <f t="shared" ca="1" si="165"/>
        <v>272.64134197003108</v>
      </c>
      <c r="BK81">
        <f t="shared" ca="1" si="165"/>
        <v>276.15534910547666</v>
      </c>
      <c r="BL81">
        <f t="shared" ca="1" si="165"/>
        <v>280.67875471800403</v>
      </c>
      <c r="BM81">
        <f t="shared" ca="1" si="165"/>
        <v>290.57927210583898</v>
      </c>
      <c r="BN81">
        <f t="shared" ca="1" si="165"/>
        <v>288.55407580100268</v>
      </c>
      <c r="BO81">
        <f t="shared" ca="1" si="165"/>
        <v>284.57128534116526</v>
      </c>
      <c r="BP81">
        <f t="shared" ca="1" si="165"/>
        <v>291.35963327279518</v>
      </c>
      <c r="BQ81">
        <f t="shared" ca="1" si="165"/>
        <v>286.02077431189969</v>
      </c>
      <c r="BR81">
        <f t="shared" ref="BR81:CU81" ca="1" si="166">BQ81*(1+$B$2*$B$4+$B$3*SQRT($B$4)*_xlfn.NORM.S.INV(RAND()))</f>
        <v>282.99897880383423</v>
      </c>
      <c r="BS81">
        <f t="shared" ca="1" si="166"/>
        <v>281.9146015950742</v>
      </c>
      <c r="BT81">
        <f t="shared" ca="1" si="166"/>
        <v>280.73401051216007</v>
      </c>
      <c r="BU81">
        <f t="shared" ca="1" si="166"/>
        <v>284.89680599061506</v>
      </c>
      <c r="BV81">
        <f t="shared" ca="1" si="166"/>
        <v>295.45114776647233</v>
      </c>
      <c r="BW81">
        <f t="shared" ca="1" si="166"/>
        <v>283.52178278106675</v>
      </c>
      <c r="BX81">
        <f t="shared" ca="1" si="166"/>
        <v>288.46577084938275</v>
      </c>
      <c r="BY81">
        <f t="shared" ca="1" si="166"/>
        <v>285.5727216255907</v>
      </c>
      <c r="BZ81">
        <f t="shared" ca="1" si="166"/>
        <v>285.58785775114171</v>
      </c>
      <c r="CA81">
        <f t="shared" ca="1" si="166"/>
        <v>276.96076544701964</v>
      </c>
      <c r="CB81">
        <f t="shared" ca="1" si="166"/>
        <v>281.39330999742907</v>
      </c>
      <c r="CC81">
        <f t="shared" ca="1" si="166"/>
        <v>289.82243945601203</v>
      </c>
      <c r="CD81">
        <f t="shared" ca="1" si="166"/>
        <v>285.41477121809925</v>
      </c>
      <c r="CE81">
        <f t="shared" ca="1" si="166"/>
        <v>274.18228910505098</v>
      </c>
      <c r="CF81">
        <f t="shared" ca="1" si="166"/>
        <v>276.25165699002713</v>
      </c>
      <c r="CG81">
        <f t="shared" ca="1" si="166"/>
        <v>276.11758972342386</v>
      </c>
      <c r="CH81">
        <f t="shared" ca="1" si="166"/>
        <v>272.47279026760953</v>
      </c>
      <c r="CI81">
        <f t="shared" ca="1" si="166"/>
        <v>266.96426404229533</v>
      </c>
      <c r="CJ81">
        <f t="shared" ca="1" si="166"/>
        <v>269.80588794450415</v>
      </c>
      <c r="CK81">
        <f t="shared" ca="1" si="166"/>
        <v>269.38176621370934</v>
      </c>
      <c r="CL81">
        <f t="shared" ca="1" si="166"/>
        <v>273.78457040973979</v>
      </c>
      <c r="CM81">
        <f t="shared" ca="1" si="166"/>
        <v>270.54857921083681</v>
      </c>
      <c r="CN81">
        <f t="shared" ca="1" si="166"/>
        <v>269.95622706264629</v>
      </c>
      <c r="CO81">
        <f t="shared" ca="1" si="166"/>
        <v>267.08718092507809</v>
      </c>
      <c r="CP81">
        <f t="shared" ca="1" si="166"/>
        <v>259.6590970796791</v>
      </c>
      <c r="CQ81">
        <f t="shared" ca="1" si="166"/>
        <v>265.01569201208724</v>
      </c>
      <c r="CR81">
        <f t="shared" ca="1" si="166"/>
        <v>265.29515561364246</v>
      </c>
      <c r="CS81">
        <f t="shared" ca="1" si="166"/>
        <v>269.6414320362544</v>
      </c>
      <c r="CT81">
        <f t="shared" ca="1" si="166"/>
        <v>266.1356622138951</v>
      </c>
      <c r="CU81">
        <f t="shared" ca="1" si="166"/>
        <v>260.41724756288721</v>
      </c>
      <c r="CV81">
        <f t="shared" ca="1" si="135"/>
        <v>40.417247562887212</v>
      </c>
      <c r="CW81">
        <f t="shared" ca="1" si="138"/>
        <v>38.859624920002901</v>
      </c>
    </row>
    <row r="82" spans="5:101" x14ac:dyDescent="0.2">
      <c r="E82">
        <v>222.13</v>
      </c>
      <c r="F82">
        <f t="shared" ref="F82:BQ82" ca="1" si="167">E82*(1+$B$2*$B$4+$B$3*SQRT($B$4)*_xlfn.NORM.S.INV(RAND()))</f>
        <v>222.37957799675166</v>
      </c>
      <c r="G82">
        <f t="shared" ca="1" si="167"/>
        <v>224.02204836665669</v>
      </c>
      <c r="H82">
        <f t="shared" ca="1" si="167"/>
        <v>224.71855501811373</v>
      </c>
      <c r="I82">
        <f t="shared" ca="1" si="167"/>
        <v>220.08517493314207</v>
      </c>
      <c r="J82">
        <f t="shared" ca="1" si="167"/>
        <v>218.79128273733252</v>
      </c>
      <c r="K82">
        <f t="shared" ca="1" si="167"/>
        <v>215.85494577902094</v>
      </c>
      <c r="L82">
        <f t="shared" ca="1" si="167"/>
        <v>210.61322621425498</v>
      </c>
      <c r="M82">
        <f t="shared" ca="1" si="167"/>
        <v>216.17143946610366</v>
      </c>
      <c r="N82">
        <f t="shared" ca="1" si="167"/>
        <v>208.53985989751578</v>
      </c>
      <c r="O82">
        <f t="shared" ca="1" si="167"/>
        <v>202.79196917729686</v>
      </c>
      <c r="P82">
        <f t="shared" ca="1" si="167"/>
        <v>200.88309561456867</v>
      </c>
      <c r="Q82">
        <f t="shared" ca="1" si="167"/>
        <v>201.93510812331459</v>
      </c>
      <c r="R82">
        <f t="shared" ca="1" si="167"/>
        <v>202.83267911165834</v>
      </c>
      <c r="S82">
        <f t="shared" ca="1" si="167"/>
        <v>205.24288465124982</v>
      </c>
      <c r="T82">
        <f t="shared" ca="1" si="167"/>
        <v>205.46499806010658</v>
      </c>
      <c r="U82">
        <f t="shared" ca="1" si="167"/>
        <v>208.78220289182784</v>
      </c>
      <c r="V82">
        <f t="shared" ca="1" si="167"/>
        <v>206.51798542716401</v>
      </c>
      <c r="W82">
        <f t="shared" ca="1" si="167"/>
        <v>211.66716199593188</v>
      </c>
      <c r="X82">
        <f t="shared" ca="1" si="167"/>
        <v>206.6510369786117</v>
      </c>
      <c r="Y82">
        <f t="shared" ca="1" si="167"/>
        <v>207.17924408888467</v>
      </c>
      <c r="Z82">
        <f t="shared" ca="1" si="167"/>
        <v>219.46863490538902</v>
      </c>
      <c r="AA82">
        <f t="shared" ca="1" si="167"/>
        <v>220.81049013466188</v>
      </c>
      <c r="AB82">
        <f t="shared" ca="1" si="167"/>
        <v>223.13083553643551</v>
      </c>
      <c r="AC82">
        <f t="shared" ca="1" si="167"/>
        <v>221.03861828248267</v>
      </c>
      <c r="AD82">
        <f t="shared" ca="1" si="167"/>
        <v>210.86804356711119</v>
      </c>
      <c r="AE82">
        <f t="shared" ca="1" si="167"/>
        <v>211.22235329157581</v>
      </c>
      <c r="AF82">
        <f t="shared" ca="1" si="167"/>
        <v>209.8819988689213</v>
      </c>
      <c r="AG82">
        <f t="shared" ca="1" si="167"/>
        <v>214.17266626770254</v>
      </c>
      <c r="AH82">
        <f t="shared" ca="1" si="167"/>
        <v>218.42874004968115</v>
      </c>
      <c r="AI82">
        <f t="shared" ca="1" si="167"/>
        <v>214.12418005522835</v>
      </c>
      <c r="AJ82">
        <f t="shared" ca="1" si="167"/>
        <v>212.74625272259578</v>
      </c>
      <c r="AK82">
        <f t="shared" ca="1" si="167"/>
        <v>218.86520097599666</v>
      </c>
      <c r="AL82">
        <f t="shared" ca="1" si="167"/>
        <v>211.0786459063234</v>
      </c>
      <c r="AM82">
        <f t="shared" ca="1" si="167"/>
        <v>200.9893810165523</v>
      </c>
      <c r="AN82">
        <f t="shared" ca="1" si="167"/>
        <v>194.32668422328007</v>
      </c>
      <c r="AO82">
        <f t="shared" ca="1" si="167"/>
        <v>191.62839821997431</v>
      </c>
      <c r="AP82">
        <f t="shared" ca="1" si="167"/>
        <v>192.69874098481114</v>
      </c>
      <c r="AQ82">
        <f t="shared" ca="1" si="167"/>
        <v>183.99647570835413</v>
      </c>
      <c r="AR82">
        <f t="shared" ca="1" si="167"/>
        <v>177.30516846348226</v>
      </c>
      <c r="AS82">
        <f t="shared" ca="1" si="167"/>
        <v>175.97288515340796</v>
      </c>
      <c r="AT82">
        <f t="shared" ca="1" si="167"/>
        <v>171.99712644703138</v>
      </c>
      <c r="AU82">
        <f t="shared" ca="1" si="167"/>
        <v>174.7883011586286</v>
      </c>
      <c r="AV82">
        <f t="shared" ca="1" si="167"/>
        <v>181.86818086013841</v>
      </c>
      <c r="AW82">
        <f t="shared" ca="1" si="167"/>
        <v>173.07027171079548</v>
      </c>
      <c r="AX82">
        <f t="shared" ca="1" si="167"/>
        <v>173.47208278104654</v>
      </c>
      <c r="AY82">
        <f t="shared" ca="1" si="167"/>
        <v>169.73283209501369</v>
      </c>
      <c r="AZ82">
        <f t="shared" ca="1" si="167"/>
        <v>166.02312037097329</v>
      </c>
      <c r="BA82">
        <f t="shared" ca="1" si="167"/>
        <v>165.00702782019076</v>
      </c>
      <c r="BB82">
        <f t="shared" ca="1" si="167"/>
        <v>174.16047506015738</v>
      </c>
      <c r="BC82">
        <f t="shared" ca="1" si="167"/>
        <v>174.06482325724591</v>
      </c>
      <c r="BD82">
        <f t="shared" ca="1" si="167"/>
        <v>177.16962141973579</v>
      </c>
      <c r="BE82">
        <f t="shared" ca="1" si="167"/>
        <v>172.02720418761666</v>
      </c>
      <c r="BF82">
        <f t="shared" ca="1" si="167"/>
        <v>168.25393691209098</v>
      </c>
      <c r="BG82">
        <f t="shared" ca="1" si="167"/>
        <v>164.35973066128903</v>
      </c>
      <c r="BH82">
        <f t="shared" ca="1" si="167"/>
        <v>159.41172486553273</v>
      </c>
      <c r="BI82">
        <f t="shared" ca="1" si="167"/>
        <v>155.03254374619931</v>
      </c>
      <c r="BJ82">
        <f t="shared" ca="1" si="167"/>
        <v>153.47747455966334</v>
      </c>
      <c r="BK82">
        <f t="shared" ca="1" si="167"/>
        <v>154.06063779126561</v>
      </c>
      <c r="BL82">
        <f t="shared" ca="1" si="167"/>
        <v>151.67564915089866</v>
      </c>
      <c r="BM82">
        <f t="shared" ca="1" si="167"/>
        <v>155.30130746070475</v>
      </c>
      <c r="BN82">
        <f t="shared" ca="1" si="167"/>
        <v>155.6436083611369</v>
      </c>
      <c r="BO82">
        <f t="shared" ca="1" si="167"/>
        <v>156.647468207267</v>
      </c>
      <c r="BP82">
        <f t="shared" ca="1" si="167"/>
        <v>156.66623365828065</v>
      </c>
      <c r="BQ82">
        <f t="shared" ca="1" si="167"/>
        <v>151.75251349375986</v>
      </c>
      <c r="BR82">
        <f t="shared" ref="BR82:CU82" ca="1" si="168">BQ82*(1+$B$2*$B$4+$B$3*SQRT($B$4)*_xlfn.NORM.S.INV(RAND()))</f>
        <v>154.8435512794187</v>
      </c>
      <c r="BS82">
        <f t="shared" ca="1" si="168"/>
        <v>146.26509291712958</v>
      </c>
      <c r="BT82">
        <f t="shared" ca="1" si="168"/>
        <v>144.14575318695449</v>
      </c>
      <c r="BU82">
        <f t="shared" ca="1" si="168"/>
        <v>142.56437683044632</v>
      </c>
      <c r="BV82">
        <f t="shared" ca="1" si="168"/>
        <v>137.41198750185475</v>
      </c>
      <c r="BW82">
        <f t="shared" ca="1" si="168"/>
        <v>136.11028096441586</v>
      </c>
      <c r="BX82">
        <f t="shared" ca="1" si="168"/>
        <v>137.49196072861275</v>
      </c>
      <c r="BY82">
        <f t="shared" ca="1" si="168"/>
        <v>136.46276657278239</v>
      </c>
      <c r="BZ82">
        <f t="shared" ca="1" si="168"/>
        <v>135.26595020057289</v>
      </c>
      <c r="CA82">
        <f t="shared" ca="1" si="168"/>
        <v>133.72494202630588</v>
      </c>
      <c r="CB82">
        <f t="shared" ca="1" si="168"/>
        <v>131.3091294592092</v>
      </c>
      <c r="CC82">
        <f t="shared" ca="1" si="168"/>
        <v>129.74904772147778</v>
      </c>
      <c r="CD82">
        <f t="shared" ca="1" si="168"/>
        <v>128.42922262844985</v>
      </c>
      <c r="CE82">
        <f t="shared" ca="1" si="168"/>
        <v>129.32443738184514</v>
      </c>
      <c r="CF82">
        <f t="shared" ca="1" si="168"/>
        <v>127.48479509020622</v>
      </c>
      <c r="CG82">
        <f t="shared" ca="1" si="168"/>
        <v>130.62728954779971</v>
      </c>
      <c r="CH82">
        <f t="shared" ca="1" si="168"/>
        <v>128.70352445528053</v>
      </c>
      <c r="CI82">
        <f t="shared" ca="1" si="168"/>
        <v>130.90966093315424</v>
      </c>
      <c r="CJ82">
        <f t="shared" ca="1" si="168"/>
        <v>137.03163930167321</v>
      </c>
      <c r="CK82">
        <f t="shared" ca="1" si="168"/>
        <v>131.93129007870252</v>
      </c>
      <c r="CL82">
        <f t="shared" ca="1" si="168"/>
        <v>133.26043338493727</v>
      </c>
      <c r="CM82">
        <f t="shared" ca="1" si="168"/>
        <v>136.70004716375141</v>
      </c>
      <c r="CN82">
        <f t="shared" ca="1" si="168"/>
        <v>134.6710526444752</v>
      </c>
      <c r="CO82">
        <f t="shared" ca="1" si="168"/>
        <v>136.12190667674545</v>
      </c>
      <c r="CP82">
        <f t="shared" ca="1" si="168"/>
        <v>132.40059460940313</v>
      </c>
      <c r="CQ82">
        <f t="shared" ca="1" si="168"/>
        <v>135.5961727509746</v>
      </c>
      <c r="CR82">
        <f t="shared" ca="1" si="168"/>
        <v>139.45644750592948</v>
      </c>
      <c r="CS82">
        <f t="shared" ca="1" si="168"/>
        <v>139.16626032481187</v>
      </c>
      <c r="CT82">
        <f t="shared" ca="1" si="168"/>
        <v>135.38371549907245</v>
      </c>
      <c r="CU82">
        <f t="shared" ca="1" si="168"/>
        <v>138.65532362475406</v>
      </c>
      <c r="CV82">
        <f t="shared" ca="1" si="135"/>
        <v>0</v>
      </c>
      <c r="CW82">
        <f t="shared" ca="1" si="138"/>
        <v>0</v>
      </c>
    </row>
    <row r="83" spans="5:101" x14ac:dyDescent="0.2">
      <c r="E83">
        <v>222.13</v>
      </c>
      <c r="F83">
        <f t="shared" ref="F83:BQ83" ca="1" si="169">E83*(1+$B$2*$B$4+$B$3*SQRT($B$4)*_xlfn.NORM.S.INV(RAND()))</f>
        <v>218.68965686881506</v>
      </c>
      <c r="G83">
        <f t="shared" ca="1" si="169"/>
        <v>222.61577330966955</v>
      </c>
      <c r="H83">
        <f t="shared" ca="1" si="169"/>
        <v>228.53695007158026</v>
      </c>
      <c r="I83">
        <f t="shared" ca="1" si="169"/>
        <v>229.91158469954553</v>
      </c>
      <c r="J83">
        <f t="shared" ca="1" si="169"/>
        <v>228.4837574836904</v>
      </c>
      <c r="K83">
        <f t="shared" ca="1" si="169"/>
        <v>235.04569603685638</v>
      </c>
      <c r="L83">
        <f t="shared" ca="1" si="169"/>
        <v>240.89940430929667</v>
      </c>
      <c r="M83">
        <f t="shared" ca="1" si="169"/>
        <v>241.54251628757169</v>
      </c>
      <c r="N83">
        <f t="shared" ca="1" si="169"/>
        <v>244.69352082646083</v>
      </c>
      <c r="O83">
        <f t="shared" ca="1" si="169"/>
        <v>242.63799950637082</v>
      </c>
      <c r="P83">
        <f t="shared" ca="1" si="169"/>
        <v>247.10969494368007</v>
      </c>
      <c r="Q83">
        <f t="shared" ca="1" si="169"/>
        <v>249.65731760290396</v>
      </c>
      <c r="R83">
        <f t="shared" ca="1" si="169"/>
        <v>252.06167767862161</v>
      </c>
      <c r="S83">
        <f t="shared" ca="1" si="169"/>
        <v>254.48983633405015</v>
      </c>
      <c r="T83">
        <f t="shared" ca="1" si="169"/>
        <v>256.91418270774011</v>
      </c>
      <c r="U83">
        <f t="shared" ca="1" si="169"/>
        <v>261.43961040564017</v>
      </c>
      <c r="V83">
        <f t="shared" ca="1" si="169"/>
        <v>259.06916296166509</v>
      </c>
      <c r="W83">
        <f t="shared" ca="1" si="169"/>
        <v>266.19486625644896</v>
      </c>
      <c r="X83">
        <f t="shared" ca="1" si="169"/>
        <v>266.65272909183506</v>
      </c>
      <c r="Y83">
        <f t="shared" ca="1" si="169"/>
        <v>266.33401788787239</v>
      </c>
      <c r="Z83">
        <f t="shared" ca="1" si="169"/>
        <v>275.50895891888263</v>
      </c>
      <c r="AA83">
        <f t="shared" ca="1" si="169"/>
        <v>278.4705228552524</v>
      </c>
      <c r="AB83">
        <f t="shared" ca="1" si="169"/>
        <v>270.81149581245614</v>
      </c>
      <c r="AC83">
        <f t="shared" ca="1" si="169"/>
        <v>275.08858010080525</v>
      </c>
      <c r="AD83">
        <f t="shared" ca="1" si="169"/>
        <v>280.93286455592948</v>
      </c>
      <c r="AE83">
        <f t="shared" ca="1" si="169"/>
        <v>277.96775765868745</v>
      </c>
      <c r="AF83">
        <f t="shared" ca="1" si="169"/>
        <v>275.78685692615494</v>
      </c>
      <c r="AG83">
        <f t="shared" ca="1" si="169"/>
        <v>275.86790571584243</v>
      </c>
      <c r="AH83">
        <f t="shared" ca="1" si="169"/>
        <v>272.34255736634805</v>
      </c>
      <c r="AI83">
        <f t="shared" ca="1" si="169"/>
        <v>285.28199978561469</v>
      </c>
      <c r="AJ83">
        <f t="shared" ca="1" si="169"/>
        <v>279.97940056260137</v>
      </c>
      <c r="AK83">
        <f t="shared" ca="1" si="169"/>
        <v>273.8355704884018</v>
      </c>
      <c r="AL83">
        <f t="shared" ca="1" si="169"/>
        <v>287.68641764939457</v>
      </c>
      <c r="AM83">
        <f t="shared" ca="1" si="169"/>
        <v>280.63494263655912</v>
      </c>
      <c r="AN83">
        <f t="shared" ca="1" si="169"/>
        <v>278.87720635205221</v>
      </c>
      <c r="AO83">
        <f t="shared" ca="1" si="169"/>
        <v>277.80975190169431</v>
      </c>
      <c r="AP83">
        <f t="shared" ca="1" si="169"/>
        <v>281.17422529859311</v>
      </c>
      <c r="AQ83">
        <f t="shared" ca="1" si="169"/>
        <v>284.33830756493313</v>
      </c>
      <c r="AR83">
        <f t="shared" ca="1" si="169"/>
        <v>290.99614531572166</v>
      </c>
      <c r="AS83">
        <f t="shared" ca="1" si="169"/>
        <v>298.55554468899714</v>
      </c>
      <c r="AT83">
        <f t="shared" ca="1" si="169"/>
        <v>303.36561773072577</v>
      </c>
      <c r="AU83">
        <f t="shared" ca="1" si="169"/>
        <v>298.29556665491799</v>
      </c>
      <c r="AV83">
        <f t="shared" ca="1" si="169"/>
        <v>304.67664825403426</v>
      </c>
      <c r="AW83">
        <f t="shared" ca="1" si="169"/>
        <v>303.30633232426601</v>
      </c>
      <c r="AX83">
        <f t="shared" ca="1" si="169"/>
        <v>297.79909836411997</v>
      </c>
      <c r="AY83">
        <f t="shared" ca="1" si="169"/>
        <v>306.7904783305022</v>
      </c>
      <c r="AZ83">
        <f t="shared" ca="1" si="169"/>
        <v>297.95618975502225</v>
      </c>
      <c r="BA83">
        <f t="shared" ca="1" si="169"/>
        <v>295.72468976203015</v>
      </c>
      <c r="BB83">
        <f t="shared" ca="1" si="169"/>
        <v>298.78598431304965</v>
      </c>
      <c r="BC83">
        <f t="shared" ca="1" si="169"/>
        <v>312.66344912296228</v>
      </c>
      <c r="BD83">
        <f t="shared" ca="1" si="169"/>
        <v>322.16813796768275</v>
      </c>
      <c r="BE83">
        <f t="shared" ca="1" si="169"/>
        <v>321.35060239469459</v>
      </c>
      <c r="BF83">
        <f t="shared" ca="1" si="169"/>
        <v>316.59066804885623</v>
      </c>
      <c r="BG83">
        <f t="shared" ca="1" si="169"/>
        <v>316.35412690545502</v>
      </c>
      <c r="BH83">
        <f t="shared" ca="1" si="169"/>
        <v>315.88292159215848</v>
      </c>
      <c r="BI83">
        <f t="shared" ca="1" si="169"/>
        <v>312.46266115705515</v>
      </c>
      <c r="BJ83">
        <f t="shared" ca="1" si="169"/>
        <v>306.7288123188975</v>
      </c>
      <c r="BK83">
        <f t="shared" ca="1" si="169"/>
        <v>305.36617345673113</v>
      </c>
      <c r="BL83">
        <f t="shared" ca="1" si="169"/>
        <v>314.57464372188787</v>
      </c>
      <c r="BM83">
        <f t="shared" ca="1" si="169"/>
        <v>317.53928359080237</v>
      </c>
      <c r="BN83">
        <f t="shared" ca="1" si="169"/>
        <v>319.0924440472765</v>
      </c>
      <c r="BO83">
        <f t="shared" ca="1" si="169"/>
        <v>320.949079415592</v>
      </c>
      <c r="BP83">
        <f t="shared" ca="1" si="169"/>
        <v>317.76502873351149</v>
      </c>
      <c r="BQ83">
        <f t="shared" ca="1" si="169"/>
        <v>303.49912683161438</v>
      </c>
      <c r="BR83">
        <f t="shared" ref="BR83:CU83" ca="1" si="170">BQ83*(1+$B$2*$B$4+$B$3*SQRT($B$4)*_xlfn.NORM.S.INV(RAND()))</f>
        <v>313.80653134640011</v>
      </c>
      <c r="BS83">
        <f t="shared" ca="1" si="170"/>
        <v>334.95666706261602</v>
      </c>
      <c r="BT83">
        <f t="shared" ca="1" si="170"/>
        <v>347.70550740941769</v>
      </c>
      <c r="BU83">
        <f t="shared" ca="1" si="170"/>
        <v>347.77676953089912</v>
      </c>
      <c r="BV83">
        <f t="shared" ca="1" si="170"/>
        <v>353.83405333024393</v>
      </c>
      <c r="BW83">
        <f t="shared" ca="1" si="170"/>
        <v>343.74984469201968</v>
      </c>
      <c r="BX83">
        <f t="shared" ca="1" si="170"/>
        <v>346.90019770278656</v>
      </c>
      <c r="BY83">
        <f t="shared" ca="1" si="170"/>
        <v>344.94386139658951</v>
      </c>
      <c r="BZ83">
        <f t="shared" ca="1" si="170"/>
        <v>351.60030299340519</v>
      </c>
      <c r="CA83">
        <f t="shared" ca="1" si="170"/>
        <v>349.24215315482382</v>
      </c>
      <c r="CB83">
        <f t="shared" ca="1" si="170"/>
        <v>351.77759867078748</v>
      </c>
      <c r="CC83">
        <f t="shared" ca="1" si="170"/>
        <v>349.49136066490206</v>
      </c>
      <c r="CD83">
        <f t="shared" ca="1" si="170"/>
        <v>358.16576311620418</v>
      </c>
      <c r="CE83">
        <f t="shared" ca="1" si="170"/>
        <v>359.08685514082441</v>
      </c>
      <c r="CF83">
        <f t="shared" ca="1" si="170"/>
        <v>355.41959801856046</v>
      </c>
      <c r="CG83">
        <f t="shared" ca="1" si="170"/>
        <v>356.95527421898942</v>
      </c>
      <c r="CH83">
        <f t="shared" ca="1" si="170"/>
        <v>343.33254320540073</v>
      </c>
      <c r="CI83">
        <f t="shared" ca="1" si="170"/>
        <v>338.76512587785993</v>
      </c>
      <c r="CJ83">
        <f t="shared" ca="1" si="170"/>
        <v>324.28605678474747</v>
      </c>
      <c r="CK83">
        <f t="shared" ca="1" si="170"/>
        <v>328.25668914900598</v>
      </c>
      <c r="CL83">
        <f t="shared" ca="1" si="170"/>
        <v>326.26757287351313</v>
      </c>
      <c r="CM83">
        <f t="shared" ca="1" si="170"/>
        <v>324.09125835510685</v>
      </c>
      <c r="CN83">
        <f t="shared" ca="1" si="170"/>
        <v>316.79773675813385</v>
      </c>
      <c r="CO83">
        <f t="shared" ca="1" si="170"/>
        <v>325.52677462464743</v>
      </c>
      <c r="CP83">
        <f t="shared" ca="1" si="170"/>
        <v>320.22332097603567</v>
      </c>
      <c r="CQ83">
        <f t="shared" ca="1" si="170"/>
        <v>316.01925330143047</v>
      </c>
      <c r="CR83">
        <f t="shared" ca="1" si="170"/>
        <v>315.8060815031514</v>
      </c>
      <c r="CS83">
        <f t="shared" ca="1" si="170"/>
        <v>312.6296027827936</v>
      </c>
      <c r="CT83">
        <f t="shared" ca="1" si="170"/>
        <v>313.7019116397164</v>
      </c>
      <c r="CU83">
        <f t="shared" ca="1" si="170"/>
        <v>303.55125884811747</v>
      </c>
      <c r="CV83">
        <f t="shared" ca="1" si="135"/>
        <v>83.55125884811747</v>
      </c>
      <c r="CW83">
        <f t="shared" ca="1" si="138"/>
        <v>80.331313392385425</v>
      </c>
    </row>
    <row r="84" spans="5:101" x14ac:dyDescent="0.2">
      <c r="E84">
        <v>222.13</v>
      </c>
      <c r="F84">
        <f t="shared" ref="F84:BQ84" ca="1" si="171">E84*(1+$B$2*$B$4+$B$3*SQRT($B$4)*_xlfn.NORM.S.INV(RAND()))</f>
        <v>205.27486944090873</v>
      </c>
      <c r="G84">
        <f t="shared" ca="1" si="171"/>
        <v>200.99776284662826</v>
      </c>
      <c r="H84">
        <f t="shared" ca="1" si="171"/>
        <v>201.54091469382888</v>
      </c>
      <c r="I84">
        <f t="shared" ca="1" si="171"/>
        <v>191.90115545410706</v>
      </c>
      <c r="J84">
        <f t="shared" ca="1" si="171"/>
        <v>198.15559522527855</v>
      </c>
      <c r="K84">
        <f t="shared" ca="1" si="171"/>
        <v>204.05691463292311</v>
      </c>
      <c r="L84">
        <f t="shared" ca="1" si="171"/>
        <v>203.48655442833308</v>
      </c>
      <c r="M84">
        <f t="shared" ca="1" si="171"/>
        <v>195.9023728054654</v>
      </c>
      <c r="N84">
        <f t="shared" ca="1" si="171"/>
        <v>196.42221037245105</v>
      </c>
      <c r="O84">
        <f t="shared" ca="1" si="171"/>
        <v>192.30356307328307</v>
      </c>
      <c r="P84">
        <f t="shared" ca="1" si="171"/>
        <v>193.296222970011</v>
      </c>
      <c r="Q84">
        <f t="shared" ca="1" si="171"/>
        <v>189.65516029722065</v>
      </c>
      <c r="R84">
        <f t="shared" ca="1" si="171"/>
        <v>188.73139274795105</v>
      </c>
      <c r="S84">
        <f t="shared" ca="1" si="171"/>
        <v>189.47623002900303</v>
      </c>
      <c r="T84">
        <f t="shared" ca="1" si="171"/>
        <v>188.85035471172236</v>
      </c>
      <c r="U84">
        <f t="shared" ca="1" si="171"/>
        <v>188.767945800506</v>
      </c>
      <c r="V84">
        <f t="shared" ca="1" si="171"/>
        <v>182.79651534576672</v>
      </c>
      <c r="W84">
        <f t="shared" ca="1" si="171"/>
        <v>178.71412703432864</v>
      </c>
      <c r="X84">
        <f t="shared" ca="1" si="171"/>
        <v>173.65206282899987</v>
      </c>
      <c r="Y84">
        <f t="shared" ca="1" si="171"/>
        <v>174.40039983141901</v>
      </c>
      <c r="Z84">
        <f t="shared" ca="1" si="171"/>
        <v>176.27141708901405</v>
      </c>
      <c r="AA84">
        <f t="shared" ca="1" si="171"/>
        <v>169.37823271594436</v>
      </c>
      <c r="AB84">
        <f t="shared" ca="1" si="171"/>
        <v>164.56732482328624</v>
      </c>
      <c r="AC84">
        <f t="shared" ca="1" si="171"/>
        <v>160.15442725027825</v>
      </c>
      <c r="AD84">
        <f t="shared" ca="1" si="171"/>
        <v>155.35265548664361</v>
      </c>
      <c r="AE84">
        <f t="shared" ca="1" si="171"/>
        <v>150.5872355739042</v>
      </c>
      <c r="AF84">
        <f t="shared" ca="1" si="171"/>
        <v>153.1888851073075</v>
      </c>
      <c r="AG84">
        <f t="shared" ca="1" si="171"/>
        <v>151.53761917998284</v>
      </c>
      <c r="AH84">
        <f t="shared" ca="1" si="171"/>
        <v>154.63014679744947</v>
      </c>
      <c r="AI84">
        <f t="shared" ca="1" si="171"/>
        <v>153.27255085528824</v>
      </c>
      <c r="AJ84">
        <f t="shared" ca="1" si="171"/>
        <v>151.72888149387478</v>
      </c>
      <c r="AK84">
        <f t="shared" ca="1" si="171"/>
        <v>152.94949421809778</v>
      </c>
      <c r="AL84">
        <f t="shared" ca="1" si="171"/>
        <v>146.5673713049656</v>
      </c>
      <c r="AM84">
        <f t="shared" ca="1" si="171"/>
        <v>146.00495754913402</v>
      </c>
      <c r="AN84">
        <f t="shared" ca="1" si="171"/>
        <v>145.02905362119256</v>
      </c>
      <c r="AO84">
        <f t="shared" ca="1" si="171"/>
        <v>145.71839356207283</v>
      </c>
      <c r="AP84">
        <f t="shared" ca="1" si="171"/>
        <v>147.37385026028991</v>
      </c>
      <c r="AQ84">
        <f t="shared" ca="1" si="171"/>
        <v>146.91909616890277</v>
      </c>
      <c r="AR84">
        <f t="shared" ca="1" si="171"/>
        <v>142.70324405097062</v>
      </c>
      <c r="AS84">
        <f t="shared" ca="1" si="171"/>
        <v>148.7336081670384</v>
      </c>
      <c r="AT84">
        <f t="shared" ca="1" si="171"/>
        <v>144.59210481239217</v>
      </c>
      <c r="AU84">
        <f t="shared" ca="1" si="171"/>
        <v>145.06240125402255</v>
      </c>
      <c r="AV84">
        <f t="shared" ca="1" si="171"/>
        <v>144.00323457194932</v>
      </c>
      <c r="AW84">
        <f t="shared" ca="1" si="171"/>
        <v>143.69593644204659</v>
      </c>
      <c r="AX84">
        <f t="shared" ca="1" si="171"/>
        <v>145.57269697705476</v>
      </c>
      <c r="AY84">
        <f t="shared" ca="1" si="171"/>
        <v>149.56814054791528</v>
      </c>
      <c r="AZ84">
        <f t="shared" ca="1" si="171"/>
        <v>149.97965306058745</v>
      </c>
      <c r="BA84">
        <f t="shared" ca="1" si="171"/>
        <v>151.22934209061088</v>
      </c>
      <c r="BB84">
        <f t="shared" ca="1" si="171"/>
        <v>145.41843747979433</v>
      </c>
      <c r="BC84">
        <f t="shared" ca="1" si="171"/>
        <v>154.32082003299999</v>
      </c>
      <c r="BD84">
        <f t="shared" ca="1" si="171"/>
        <v>149.21832598972873</v>
      </c>
      <c r="BE84">
        <f t="shared" ca="1" si="171"/>
        <v>150.62421157734201</v>
      </c>
      <c r="BF84">
        <f t="shared" ca="1" si="171"/>
        <v>150.42899184978896</v>
      </c>
      <c r="BG84">
        <f t="shared" ca="1" si="171"/>
        <v>147.02795166775203</v>
      </c>
      <c r="BH84">
        <f t="shared" ca="1" si="171"/>
        <v>146.96188479920968</v>
      </c>
      <c r="BI84">
        <f t="shared" ca="1" si="171"/>
        <v>141.11794218279459</v>
      </c>
      <c r="BJ84">
        <f t="shared" ca="1" si="171"/>
        <v>145.21958831396515</v>
      </c>
      <c r="BK84">
        <f t="shared" ca="1" si="171"/>
        <v>143.05803504289344</v>
      </c>
      <c r="BL84">
        <f t="shared" ca="1" si="171"/>
        <v>137.03155752397726</v>
      </c>
      <c r="BM84">
        <f t="shared" ca="1" si="171"/>
        <v>134.64530885872159</v>
      </c>
      <c r="BN84">
        <f t="shared" ca="1" si="171"/>
        <v>133.3560139619569</v>
      </c>
      <c r="BO84">
        <f t="shared" ca="1" si="171"/>
        <v>133.52463786760015</v>
      </c>
      <c r="BP84">
        <f t="shared" ca="1" si="171"/>
        <v>137.22563789846052</v>
      </c>
      <c r="BQ84">
        <f t="shared" ca="1" si="171"/>
        <v>138.98864978416242</v>
      </c>
      <c r="BR84">
        <f t="shared" ref="BR84:CU84" ca="1" si="172">BQ84*(1+$B$2*$B$4+$B$3*SQRT($B$4)*_xlfn.NORM.S.INV(RAND()))</f>
        <v>140.33834705623639</v>
      </c>
      <c r="BS84">
        <f t="shared" ca="1" si="172"/>
        <v>144.71237594002221</v>
      </c>
      <c r="BT84">
        <f t="shared" ca="1" si="172"/>
        <v>141.18462740096192</v>
      </c>
      <c r="BU84">
        <f t="shared" ca="1" si="172"/>
        <v>141.14314632163953</v>
      </c>
      <c r="BV84">
        <f t="shared" ca="1" si="172"/>
        <v>140.96485551003394</v>
      </c>
      <c r="BW84">
        <f t="shared" ca="1" si="172"/>
        <v>145.62852200964676</v>
      </c>
      <c r="BX84">
        <f t="shared" ca="1" si="172"/>
        <v>149.43906888460157</v>
      </c>
      <c r="BY84">
        <f t="shared" ca="1" si="172"/>
        <v>145.92060569512691</v>
      </c>
      <c r="BZ84">
        <f t="shared" ca="1" si="172"/>
        <v>143.57521246099978</v>
      </c>
      <c r="CA84">
        <f t="shared" ca="1" si="172"/>
        <v>146.34174727129357</v>
      </c>
      <c r="CB84">
        <f t="shared" ca="1" si="172"/>
        <v>143.56232936037333</v>
      </c>
      <c r="CC84">
        <f t="shared" ca="1" si="172"/>
        <v>136.55533171850945</v>
      </c>
      <c r="CD84">
        <f t="shared" ca="1" si="172"/>
        <v>136.21431881928342</v>
      </c>
      <c r="CE84">
        <f t="shared" ca="1" si="172"/>
        <v>138.38290284305191</v>
      </c>
      <c r="CF84">
        <f t="shared" ca="1" si="172"/>
        <v>138.60827183115518</v>
      </c>
      <c r="CG84">
        <f t="shared" ca="1" si="172"/>
        <v>136.16350532708094</v>
      </c>
      <c r="CH84">
        <f t="shared" ca="1" si="172"/>
        <v>130.76923322931052</v>
      </c>
      <c r="CI84">
        <f t="shared" ca="1" si="172"/>
        <v>129.32217540618348</v>
      </c>
      <c r="CJ84">
        <f t="shared" ca="1" si="172"/>
        <v>132.08566285170261</v>
      </c>
      <c r="CK84">
        <f t="shared" ca="1" si="172"/>
        <v>125.06289848740501</v>
      </c>
      <c r="CL84">
        <f t="shared" ca="1" si="172"/>
        <v>118.78232191803478</v>
      </c>
      <c r="CM84">
        <f t="shared" ca="1" si="172"/>
        <v>120.55368240247395</v>
      </c>
      <c r="CN84">
        <f t="shared" ca="1" si="172"/>
        <v>120.59107695504645</v>
      </c>
      <c r="CO84">
        <f t="shared" ca="1" si="172"/>
        <v>113.7333275075848</v>
      </c>
      <c r="CP84">
        <f t="shared" ca="1" si="172"/>
        <v>112.06980964371274</v>
      </c>
      <c r="CQ84">
        <f t="shared" ca="1" si="172"/>
        <v>115.12960095112724</v>
      </c>
      <c r="CR84">
        <f t="shared" ca="1" si="172"/>
        <v>113.78398829309928</v>
      </c>
      <c r="CS84">
        <f t="shared" ca="1" si="172"/>
        <v>112.66710244944167</v>
      </c>
      <c r="CT84">
        <f t="shared" ca="1" si="172"/>
        <v>112.56516059730757</v>
      </c>
      <c r="CU84">
        <f t="shared" ca="1" si="172"/>
        <v>112.69834529905621</v>
      </c>
      <c r="CV84">
        <f t="shared" ca="1" si="135"/>
        <v>0</v>
      </c>
      <c r="CW84">
        <f t="shared" ca="1" si="138"/>
        <v>0</v>
      </c>
    </row>
    <row r="85" spans="5:101" x14ac:dyDescent="0.2">
      <c r="E85">
        <v>222.13</v>
      </c>
      <c r="F85">
        <f t="shared" ref="F85:BQ85" ca="1" si="173">E85*(1+$B$2*$B$4+$B$3*SQRT($B$4)*_xlfn.NORM.S.INV(RAND()))</f>
        <v>217.12556829460635</v>
      </c>
      <c r="G85">
        <f t="shared" ca="1" si="173"/>
        <v>219.74321018151716</v>
      </c>
      <c r="H85">
        <f t="shared" ca="1" si="173"/>
        <v>221.16147416167121</v>
      </c>
      <c r="I85">
        <f t="shared" ca="1" si="173"/>
        <v>227.23748772989046</v>
      </c>
      <c r="J85">
        <f t="shared" ca="1" si="173"/>
        <v>232.65787908026488</v>
      </c>
      <c r="K85">
        <f t="shared" ca="1" si="173"/>
        <v>240.81152860383753</v>
      </c>
      <c r="L85">
        <f t="shared" ca="1" si="173"/>
        <v>233.84472468099443</v>
      </c>
      <c r="M85">
        <f t="shared" ca="1" si="173"/>
        <v>229.01931494632586</v>
      </c>
      <c r="N85">
        <f t="shared" ca="1" si="173"/>
        <v>233.6156915216429</v>
      </c>
      <c r="O85">
        <f t="shared" ca="1" si="173"/>
        <v>235.4646562107956</v>
      </c>
      <c r="P85">
        <f t="shared" ca="1" si="173"/>
        <v>227.70683527849511</v>
      </c>
      <c r="Q85">
        <f t="shared" ca="1" si="173"/>
        <v>229.21478320283794</v>
      </c>
      <c r="R85">
        <f t="shared" ca="1" si="173"/>
        <v>221.95875327933132</v>
      </c>
      <c r="S85">
        <f t="shared" ca="1" si="173"/>
        <v>228.26679258155428</v>
      </c>
      <c r="T85">
        <f t="shared" ca="1" si="173"/>
        <v>222.43407893285936</v>
      </c>
      <c r="U85">
        <f t="shared" ca="1" si="173"/>
        <v>221.38707685943834</v>
      </c>
      <c r="V85">
        <f t="shared" ca="1" si="173"/>
        <v>227.5129415271187</v>
      </c>
      <c r="W85">
        <f t="shared" ca="1" si="173"/>
        <v>227.33689514504243</v>
      </c>
      <c r="X85">
        <f t="shared" ca="1" si="173"/>
        <v>224.89039136074732</v>
      </c>
      <c r="Y85">
        <f t="shared" ca="1" si="173"/>
        <v>224.11696050633645</v>
      </c>
      <c r="Z85">
        <f t="shared" ca="1" si="173"/>
        <v>222.42242088455791</v>
      </c>
      <c r="AA85">
        <f t="shared" ca="1" si="173"/>
        <v>228.19117821406391</v>
      </c>
      <c r="AB85">
        <f t="shared" ca="1" si="173"/>
        <v>229.5553873849943</v>
      </c>
      <c r="AC85">
        <f t="shared" ca="1" si="173"/>
        <v>219.22694030657581</v>
      </c>
      <c r="AD85">
        <f t="shared" ca="1" si="173"/>
        <v>206.72347635477476</v>
      </c>
      <c r="AE85">
        <f t="shared" ca="1" si="173"/>
        <v>208.11269588844405</v>
      </c>
      <c r="AF85">
        <f t="shared" ca="1" si="173"/>
        <v>214.77098002674606</v>
      </c>
      <c r="AG85">
        <f t="shared" ca="1" si="173"/>
        <v>219.80023693523367</v>
      </c>
      <c r="AH85">
        <f t="shared" ca="1" si="173"/>
        <v>226.92543611176987</v>
      </c>
      <c r="AI85">
        <f t="shared" ca="1" si="173"/>
        <v>213.38602806985762</v>
      </c>
      <c r="AJ85">
        <f t="shared" ca="1" si="173"/>
        <v>205.89750087544795</v>
      </c>
      <c r="AK85">
        <f t="shared" ca="1" si="173"/>
        <v>210.28514713880884</v>
      </c>
      <c r="AL85">
        <f t="shared" ca="1" si="173"/>
        <v>207.72030583397174</v>
      </c>
      <c r="AM85">
        <f t="shared" ca="1" si="173"/>
        <v>211.45413914069215</v>
      </c>
      <c r="AN85">
        <f t="shared" ca="1" si="173"/>
        <v>214.89908076248241</v>
      </c>
      <c r="AO85">
        <f t="shared" ca="1" si="173"/>
        <v>227.05417184875841</v>
      </c>
      <c r="AP85">
        <f t="shared" ca="1" si="173"/>
        <v>228.88315293452575</v>
      </c>
      <c r="AQ85">
        <f t="shared" ca="1" si="173"/>
        <v>223.80669695070105</v>
      </c>
      <c r="AR85">
        <f t="shared" ca="1" si="173"/>
        <v>229.98056308964831</v>
      </c>
      <c r="AS85">
        <f t="shared" ca="1" si="173"/>
        <v>225.43817633569878</v>
      </c>
      <c r="AT85">
        <f t="shared" ca="1" si="173"/>
        <v>225.37838374901608</v>
      </c>
      <c r="AU85">
        <f t="shared" ca="1" si="173"/>
        <v>223.71843088179187</v>
      </c>
      <c r="AV85">
        <f t="shared" ca="1" si="173"/>
        <v>221.54707916750203</v>
      </c>
      <c r="AW85">
        <f t="shared" ca="1" si="173"/>
        <v>214.99623755517183</v>
      </c>
      <c r="AX85">
        <f t="shared" ca="1" si="173"/>
        <v>212.42686331457062</v>
      </c>
      <c r="AY85">
        <f t="shared" ca="1" si="173"/>
        <v>210.04196055200376</v>
      </c>
      <c r="AZ85">
        <f t="shared" ca="1" si="173"/>
        <v>213.90613056455175</v>
      </c>
      <c r="BA85">
        <f t="shared" ca="1" si="173"/>
        <v>215.19642036711579</v>
      </c>
      <c r="BB85">
        <f t="shared" ca="1" si="173"/>
        <v>218.2528859173446</v>
      </c>
      <c r="BC85">
        <f t="shared" ca="1" si="173"/>
        <v>228.99828069194749</v>
      </c>
      <c r="BD85">
        <f t="shared" ca="1" si="173"/>
        <v>225.51228581146592</v>
      </c>
      <c r="BE85">
        <f t="shared" ca="1" si="173"/>
        <v>222.71852325461819</v>
      </c>
      <c r="BF85">
        <f t="shared" ca="1" si="173"/>
        <v>223.00837415167496</v>
      </c>
      <c r="BG85">
        <f t="shared" ca="1" si="173"/>
        <v>211.75815872542472</v>
      </c>
      <c r="BH85">
        <f t="shared" ca="1" si="173"/>
        <v>210.41690588543881</v>
      </c>
      <c r="BI85">
        <f t="shared" ca="1" si="173"/>
        <v>214.15971310553812</v>
      </c>
      <c r="BJ85">
        <f t="shared" ca="1" si="173"/>
        <v>213.06116483036624</v>
      </c>
      <c r="BK85">
        <f t="shared" ca="1" si="173"/>
        <v>211.05025816953889</v>
      </c>
      <c r="BL85">
        <f t="shared" ca="1" si="173"/>
        <v>206.8743951775524</v>
      </c>
      <c r="BM85">
        <f t="shared" ca="1" si="173"/>
        <v>207.34457083944176</v>
      </c>
      <c r="BN85">
        <f t="shared" ca="1" si="173"/>
        <v>210.26798095163375</v>
      </c>
      <c r="BO85">
        <f t="shared" ca="1" si="173"/>
        <v>213.44657675263272</v>
      </c>
      <c r="BP85">
        <f t="shared" ca="1" si="173"/>
        <v>219.65439210336123</v>
      </c>
      <c r="BQ85">
        <f t="shared" ca="1" si="173"/>
        <v>224.34963446307231</v>
      </c>
      <c r="BR85">
        <f t="shared" ref="BR85:CU85" ca="1" si="174">BQ85*(1+$B$2*$B$4+$B$3*SQRT($B$4)*_xlfn.NORM.S.INV(RAND()))</f>
        <v>213.88428321429453</v>
      </c>
      <c r="BS85">
        <f t="shared" ca="1" si="174"/>
        <v>206.8967703640559</v>
      </c>
      <c r="BT85">
        <f t="shared" ca="1" si="174"/>
        <v>212.78302991410283</v>
      </c>
      <c r="BU85">
        <f t="shared" ca="1" si="174"/>
        <v>211.11687155496907</v>
      </c>
      <c r="BV85">
        <f t="shared" ca="1" si="174"/>
        <v>209.10688477126996</v>
      </c>
      <c r="BW85">
        <f t="shared" ca="1" si="174"/>
        <v>217.33974339261144</v>
      </c>
      <c r="BX85">
        <f t="shared" ca="1" si="174"/>
        <v>213.26677151915075</v>
      </c>
      <c r="BY85">
        <f t="shared" ca="1" si="174"/>
        <v>210.87194831877451</v>
      </c>
      <c r="BZ85">
        <f t="shared" ca="1" si="174"/>
        <v>209.13510036709945</v>
      </c>
      <c r="CA85">
        <f t="shared" ca="1" si="174"/>
        <v>215.67510331880638</v>
      </c>
      <c r="CB85">
        <f t="shared" ca="1" si="174"/>
        <v>212.66505387554795</v>
      </c>
      <c r="CC85">
        <f t="shared" ca="1" si="174"/>
        <v>214.19125934382006</v>
      </c>
      <c r="CD85">
        <f t="shared" ca="1" si="174"/>
        <v>218.97778234933628</v>
      </c>
      <c r="CE85">
        <f t="shared" ca="1" si="174"/>
        <v>225.38141286946308</v>
      </c>
      <c r="CF85">
        <f t="shared" ca="1" si="174"/>
        <v>224.92185387340018</v>
      </c>
      <c r="CG85">
        <f t="shared" ca="1" si="174"/>
        <v>226.47493525044331</v>
      </c>
      <c r="CH85">
        <f t="shared" ca="1" si="174"/>
        <v>231.46164971393878</v>
      </c>
      <c r="CI85">
        <f t="shared" ca="1" si="174"/>
        <v>234.5147067099017</v>
      </c>
      <c r="CJ85">
        <f t="shared" ca="1" si="174"/>
        <v>243.28118694135296</v>
      </c>
      <c r="CK85">
        <f t="shared" ca="1" si="174"/>
        <v>237.16065649404089</v>
      </c>
      <c r="CL85">
        <f t="shared" ca="1" si="174"/>
        <v>232.16948431164198</v>
      </c>
      <c r="CM85">
        <f t="shared" ca="1" si="174"/>
        <v>234.73676986531476</v>
      </c>
      <c r="CN85">
        <f t="shared" ca="1" si="174"/>
        <v>233.10824574838327</v>
      </c>
      <c r="CO85">
        <f t="shared" ca="1" si="174"/>
        <v>236.21570271817765</v>
      </c>
      <c r="CP85">
        <f t="shared" ca="1" si="174"/>
        <v>237.16744302623874</v>
      </c>
      <c r="CQ85">
        <f t="shared" ca="1" si="174"/>
        <v>236.28963961725762</v>
      </c>
      <c r="CR85">
        <f t="shared" ca="1" si="174"/>
        <v>239.18691186935538</v>
      </c>
      <c r="CS85">
        <f t="shared" ca="1" si="174"/>
        <v>243.00861929534949</v>
      </c>
      <c r="CT85">
        <f t="shared" ca="1" si="174"/>
        <v>241.77047221337025</v>
      </c>
      <c r="CU85">
        <f t="shared" ca="1" si="174"/>
        <v>235.46759797286003</v>
      </c>
      <c r="CV85">
        <f t="shared" ca="1" si="135"/>
        <v>15.467597972860034</v>
      </c>
      <c r="CW85">
        <f t="shared" ca="1" si="138"/>
        <v>14.871498973390283</v>
      </c>
    </row>
    <row r="86" spans="5:101" x14ac:dyDescent="0.2">
      <c r="E86">
        <v>222.13</v>
      </c>
      <c r="F86">
        <f t="shared" ref="F86:BQ86" ca="1" si="175">E86*(1+$B$2*$B$4+$B$3*SQRT($B$4)*_xlfn.NORM.S.INV(RAND()))</f>
        <v>225.19362155301164</v>
      </c>
      <c r="G86">
        <f t="shared" ca="1" si="175"/>
        <v>226.57177569816642</v>
      </c>
      <c r="H86">
        <f t="shared" ca="1" si="175"/>
        <v>232.2202826499188</v>
      </c>
      <c r="I86">
        <f t="shared" ca="1" si="175"/>
        <v>230.34865345206009</v>
      </c>
      <c r="J86">
        <f t="shared" ca="1" si="175"/>
        <v>231.07836439033224</v>
      </c>
      <c r="K86">
        <f t="shared" ca="1" si="175"/>
        <v>231.68310867006775</v>
      </c>
      <c r="L86">
        <f t="shared" ca="1" si="175"/>
        <v>232.19953001404397</v>
      </c>
      <c r="M86">
        <f t="shared" ca="1" si="175"/>
        <v>226.9399211587891</v>
      </c>
      <c r="N86">
        <f t="shared" ca="1" si="175"/>
        <v>226.42703177938546</v>
      </c>
      <c r="O86">
        <f t="shared" ca="1" si="175"/>
        <v>221.45696224714902</v>
      </c>
      <c r="P86">
        <f t="shared" ca="1" si="175"/>
        <v>221.97395140557941</v>
      </c>
      <c r="Q86">
        <f t="shared" ca="1" si="175"/>
        <v>222.89068271916824</v>
      </c>
      <c r="R86">
        <f t="shared" ca="1" si="175"/>
        <v>212.39285085899573</v>
      </c>
      <c r="S86">
        <f t="shared" ca="1" si="175"/>
        <v>216.45183673076679</v>
      </c>
      <c r="T86">
        <f t="shared" ca="1" si="175"/>
        <v>216.28578333298205</v>
      </c>
      <c r="U86">
        <f t="shared" ca="1" si="175"/>
        <v>219.18452040256213</v>
      </c>
      <c r="V86">
        <f t="shared" ca="1" si="175"/>
        <v>218.7850140604161</v>
      </c>
      <c r="W86">
        <f t="shared" ca="1" si="175"/>
        <v>217.81408457831219</v>
      </c>
      <c r="X86">
        <f t="shared" ca="1" si="175"/>
        <v>220.98052712242378</v>
      </c>
      <c r="Y86">
        <f t="shared" ca="1" si="175"/>
        <v>221.06907262439432</v>
      </c>
      <c r="Z86">
        <f t="shared" ca="1" si="175"/>
        <v>242.61213051215569</v>
      </c>
      <c r="AA86">
        <f t="shared" ca="1" si="175"/>
        <v>241.85922154098236</v>
      </c>
      <c r="AB86">
        <f t="shared" ca="1" si="175"/>
        <v>241.21873985795497</v>
      </c>
      <c r="AC86">
        <f t="shared" ca="1" si="175"/>
        <v>241.50680162972012</v>
      </c>
      <c r="AD86">
        <f t="shared" ca="1" si="175"/>
        <v>242.03719230005919</v>
      </c>
      <c r="AE86">
        <f t="shared" ca="1" si="175"/>
        <v>237.61151653834676</v>
      </c>
      <c r="AF86">
        <f t="shared" ca="1" si="175"/>
        <v>227.82007348421874</v>
      </c>
      <c r="AG86">
        <f t="shared" ca="1" si="175"/>
        <v>227.42370137170693</v>
      </c>
      <c r="AH86">
        <f t="shared" ca="1" si="175"/>
        <v>230.69695536580983</v>
      </c>
      <c r="AI86">
        <f t="shared" ca="1" si="175"/>
        <v>225.03933658925237</v>
      </c>
      <c r="AJ86">
        <f t="shared" ca="1" si="175"/>
        <v>232.64944792247556</v>
      </c>
      <c r="AK86">
        <f t="shared" ca="1" si="175"/>
        <v>238.75396658623802</v>
      </c>
      <c r="AL86">
        <f t="shared" ca="1" si="175"/>
        <v>238.13012215407753</v>
      </c>
      <c r="AM86">
        <f t="shared" ca="1" si="175"/>
        <v>237.71044838759198</v>
      </c>
      <c r="AN86">
        <f t="shared" ca="1" si="175"/>
        <v>250.41770213455752</v>
      </c>
      <c r="AO86">
        <f t="shared" ca="1" si="175"/>
        <v>261.80893953461293</v>
      </c>
      <c r="AP86">
        <f t="shared" ca="1" si="175"/>
        <v>257.70520337894499</v>
      </c>
      <c r="AQ86">
        <f t="shared" ca="1" si="175"/>
        <v>259.05333912752013</v>
      </c>
      <c r="AR86">
        <f t="shared" ca="1" si="175"/>
        <v>257.58329403975841</v>
      </c>
      <c r="AS86">
        <f t="shared" ca="1" si="175"/>
        <v>255.96503148343996</v>
      </c>
      <c r="AT86">
        <f t="shared" ca="1" si="175"/>
        <v>255.76009683371197</v>
      </c>
      <c r="AU86">
        <f t="shared" ca="1" si="175"/>
        <v>258.25483512083656</v>
      </c>
      <c r="AV86">
        <f t="shared" ca="1" si="175"/>
        <v>261.24325216102108</v>
      </c>
      <c r="AW86">
        <f t="shared" ca="1" si="175"/>
        <v>266.45636435537034</v>
      </c>
      <c r="AX86">
        <f t="shared" ca="1" si="175"/>
        <v>271.31897086528494</v>
      </c>
      <c r="AY86">
        <f t="shared" ca="1" si="175"/>
        <v>260.19186528029184</v>
      </c>
      <c r="AZ86">
        <f t="shared" ca="1" si="175"/>
        <v>262.95265460850055</v>
      </c>
      <c r="BA86">
        <f t="shared" ca="1" si="175"/>
        <v>262.21727497174186</v>
      </c>
      <c r="BB86">
        <f t="shared" ca="1" si="175"/>
        <v>260.31953773563595</v>
      </c>
      <c r="BC86">
        <f t="shared" ca="1" si="175"/>
        <v>254.92535683787571</v>
      </c>
      <c r="BD86">
        <f t="shared" ca="1" si="175"/>
        <v>247.3734887638617</v>
      </c>
      <c r="BE86">
        <f t="shared" ca="1" si="175"/>
        <v>230.77810527792923</v>
      </c>
      <c r="BF86">
        <f t="shared" ca="1" si="175"/>
        <v>218.40004825854578</v>
      </c>
      <c r="BG86">
        <f t="shared" ca="1" si="175"/>
        <v>209.93287041053796</v>
      </c>
      <c r="BH86">
        <f t="shared" ca="1" si="175"/>
        <v>210.62746086208026</v>
      </c>
      <c r="BI86">
        <f t="shared" ca="1" si="175"/>
        <v>202.84033368149019</v>
      </c>
      <c r="BJ86">
        <f t="shared" ca="1" si="175"/>
        <v>204.72683346635648</v>
      </c>
      <c r="BK86">
        <f t="shared" ca="1" si="175"/>
        <v>202.6377031184187</v>
      </c>
      <c r="BL86">
        <f t="shared" ca="1" si="175"/>
        <v>202.934855382846</v>
      </c>
      <c r="BM86">
        <f t="shared" ca="1" si="175"/>
        <v>203.15443552511451</v>
      </c>
      <c r="BN86">
        <f t="shared" ca="1" si="175"/>
        <v>197.99760970416821</v>
      </c>
      <c r="BO86">
        <f t="shared" ca="1" si="175"/>
        <v>200.09317245254121</v>
      </c>
      <c r="BP86">
        <f t="shared" ca="1" si="175"/>
        <v>196.54241184427835</v>
      </c>
      <c r="BQ86">
        <f t="shared" ca="1" si="175"/>
        <v>197.29754792197585</v>
      </c>
      <c r="BR86">
        <f t="shared" ref="BR86:CU86" ca="1" si="176">BQ86*(1+$B$2*$B$4+$B$3*SQRT($B$4)*_xlfn.NORM.S.INV(RAND()))</f>
        <v>197.45640634043372</v>
      </c>
      <c r="BS86">
        <f t="shared" ca="1" si="176"/>
        <v>202.35771317242592</v>
      </c>
      <c r="BT86">
        <f t="shared" ca="1" si="176"/>
        <v>205.61372641165613</v>
      </c>
      <c r="BU86">
        <f t="shared" ca="1" si="176"/>
        <v>197.67894157065138</v>
      </c>
      <c r="BV86">
        <f t="shared" ca="1" si="176"/>
        <v>198.44698679917246</v>
      </c>
      <c r="BW86">
        <f t="shared" ca="1" si="176"/>
        <v>194.8385923905598</v>
      </c>
      <c r="BX86">
        <f t="shared" ca="1" si="176"/>
        <v>199.52528406365334</v>
      </c>
      <c r="BY86">
        <f t="shared" ca="1" si="176"/>
        <v>197.8536027654996</v>
      </c>
      <c r="BZ86">
        <f t="shared" ca="1" si="176"/>
        <v>198.26063568204933</v>
      </c>
      <c r="CA86">
        <f t="shared" ca="1" si="176"/>
        <v>205.95221017029664</v>
      </c>
      <c r="CB86">
        <f t="shared" ca="1" si="176"/>
        <v>200.42147621925324</v>
      </c>
      <c r="CC86">
        <f t="shared" ca="1" si="176"/>
        <v>208.99128587102189</v>
      </c>
      <c r="CD86">
        <f t="shared" ca="1" si="176"/>
        <v>207.37765194009717</v>
      </c>
      <c r="CE86">
        <f t="shared" ca="1" si="176"/>
        <v>205.40628681504447</v>
      </c>
      <c r="CF86">
        <f t="shared" ca="1" si="176"/>
        <v>214.57051526624693</v>
      </c>
      <c r="CG86">
        <f t="shared" ca="1" si="176"/>
        <v>208.48793229904123</v>
      </c>
      <c r="CH86">
        <f t="shared" ca="1" si="176"/>
        <v>212.68255537518789</v>
      </c>
      <c r="CI86">
        <f t="shared" ca="1" si="176"/>
        <v>217.07975312413114</v>
      </c>
      <c r="CJ86">
        <f t="shared" ca="1" si="176"/>
        <v>216.43902773612959</v>
      </c>
      <c r="CK86">
        <f t="shared" ca="1" si="176"/>
        <v>218.40503261753472</v>
      </c>
      <c r="CL86">
        <f t="shared" ca="1" si="176"/>
        <v>222.79391586277302</v>
      </c>
      <c r="CM86">
        <f t="shared" ca="1" si="176"/>
        <v>219.51893861590412</v>
      </c>
      <c r="CN86">
        <f t="shared" ca="1" si="176"/>
        <v>217.68235414098626</v>
      </c>
      <c r="CO86">
        <f t="shared" ca="1" si="176"/>
        <v>205.06396753041068</v>
      </c>
      <c r="CP86">
        <f t="shared" ca="1" si="176"/>
        <v>198.52802120836813</v>
      </c>
      <c r="CQ86">
        <f t="shared" ca="1" si="176"/>
        <v>199.87661448786452</v>
      </c>
      <c r="CR86">
        <f t="shared" ca="1" si="176"/>
        <v>199.09140291210085</v>
      </c>
      <c r="CS86">
        <f t="shared" ca="1" si="176"/>
        <v>200.81761407885358</v>
      </c>
      <c r="CT86">
        <f t="shared" ca="1" si="176"/>
        <v>202.49290822325045</v>
      </c>
      <c r="CU86">
        <f t="shared" ca="1" si="176"/>
        <v>202.25053286308881</v>
      </c>
      <c r="CV86">
        <f t="shared" ca="1" si="135"/>
        <v>0</v>
      </c>
      <c r="CW86">
        <f t="shared" ca="1" si="138"/>
        <v>0</v>
      </c>
    </row>
    <row r="87" spans="5:101" x14ac:dyDescent="0.2">
      <c r="E87">
        <v>222.13</v>
      </c>
      <c r="F87">
        <f t="shared" ref="F87:BQ87" ca="1" si="177">E87*(1+$B$2*$B$4+$B$3*SQRT($B$4)*_xlfn.NORM.S.INV(RAND()))</f>
        <v>218.41138364355393</v>
      </c>
      <c r="G87">
        <f t="shared" ca="1" si="177"/>
        <v>222.32908916658178</v>
      </c>
      <c r="H87">
        <f t="shared" ca="1" si="177"/>
        <v>215.88505356977285</v>
      </c>
      <c r="I87">
        <f t="shared" ca="1" si="177"/>
        <v>220.74017039576609</v>
      </c>
      <c r="J87">
        <f t="shared" ca="1" si="177"/>
        <v>216.75970086908703</v>
      </c>
      <c r="K87">
        <f t="shared" ca="1" si="177"/>
        <v>217.97679742772129</v>
      </c>
      <c r="L87">
        <f t="shared" ca="1" si="177"/>
        <v>219.05330603611762</v>
      </c>
      <c r="M87">
        <f t="shared" ca="1" si="177"/>
        <v>223.06527912660724</v>
      </c>
      <c r="N87">
        <f t="shared" ca="1" si="177"/>
        <v>222.41558424248069</v>
      </c>
      <c r="O87">
        <f t="shared" ca="1" si="177"/>
        <v>219.72437548885702</v>
      </c>
      <c r="P87">
        <f t="shared" ca="1" si="177"/>
        <v>225.33515364079895</v>
      </c>
      <c r="Q87">
        <f t="shared" ca="1" si="177"/>
        <v>226.041830293072</v>
      </c>
      <c r="R87">
        <f t="shared" ca="1" si="177"/>
        <v>224.79086104687974</v>
      </c>
      <c r="S87">
        <f t="shared" ca="1" si="177"/>
        <v>224.28712268353641</v>
      </c>
      <c r="T87">
        <f t="shared" ca="1" si="177"/>
        <v>233.24194616979671</v>
      </c>
      <c r="U87">
        <f t="shared" ca="1" si="177"/>
        <v>225.01841663774596</v>
      </c>
      <c r="V87">
        <f t="shared" ca="1" si="177"/>
        <v>227.64473104447487</v>
      </c>
      <c r="W87">
        <f t="shared" ca="1" si="177"/>
        <v>224.34022219620948</v>
      </c>
      <c r="X87">
        <f t="shared" ca="1" si="177"/>
        <v>224.59341703965734</v>
      </c>
      <c r="Y87">
        <f t="shared" ca="1" si="177"/>
        <v>226.10346319591881</v>
      </c>
      <c r="Z87">
        <f t="shared" ca="1" si="177"/>
        <v>225.74539021771812</v>
      </c>
      <c r="AA87">
        <f t="shared" ca="1" si="177"/>
        <v>219.8721403147976</v>
      </c>
      <c r="AB87">
        <f t="shared" ca="1" si="177"/>
        <v>220.01138796942848</v>
      </c>
      <c r="AC87">
        <f t="shared" ca="1" si="177"/>
        <v>219.97064828363145</v>
      </c>
      <c r="AD87">
        <f t="shared" ca="1" si="177"/>
        <v>215.60261282842913</v>
      </c>
      <c r="AE87">
        <f t="shared" ca="1" si="177"/>
        <v>219.55487859048409</v>
      </c>
      <c r="AF87">
        <f t="shared" ca="1" si="177"/>
        <v>219.03959769169634</v>
      </c>
      <c r="AG87">
        <f t="shared" ca="1" si="177"/>
        <v>222.50340135895792</v>
      </c>
      <c r="AH87">
        <f t="shared" ca="1" si="177"/>
        <v>230.07553600414752</v>
      </c>
      <c r="AI87">
        <f t="shared" ca="1" si="177"/>
        <v>233.12128269949898</v>
      </c>
      <c r="AJ87">
        <f t="shared" ca="1" si="177"/>
        <v>238.38378056405179</v>
      </c>
      <c r="AK87">
        <f t="shared" ca="1" si="177"/>
        <v>244.49478603760869</v>
      </c>
      <c r="AL87">
        <f t="shared" ca="1" si="177"/>
        <v>250.51838235739282</v>
      </c>
      <c r="AM87">
        <f t="shared" ca="1" si="177"/>
        <v>256.0634068163169</v>
      </c>
      <c r="AN87">
        <f t="shared" ca="1" si="177"/>
        <v>265.43176107423704</v>
      </c>
      <c r="AO87">
        <f t="shared" ca="1" si="177"/>
        <v>271.69426430084656</v>
      </c>
      <c r="AP87">
        <f t="shared" ca="1" si="177"/>
        <v>259.94962990815748</v>
      </c>
      <c r="AQ87">
        <f t="shared" ca="1" si="177"/>
        <v>254.24225748891567</v>
      </c>
      <c r="AR87">
        <f t="shared" ca="1" si="177"/>
        <v>260.86101770854873</v>
      </c>
      <c r="AS87">
        <f t="shared" ca="1" si="177"/>
        <v>259.70688810647465</v>
      </c>
      <c r="AT87">
        <f t="shared" ca="1" si="177"/>
        <v>267.02457137284421</v>
      </c>
      <c r="AU87">
        <f t="shared" ca="1" si="177"/>
        <v>275.16338572695588</v>
      </c>
      <c r="AV87">
        <f t="shared" ca="1" si="177"/>
        <v>276.19476274659172</v>
      </c>
      <c r="AW87">
        <f t="shared" ca="1" si="177"/>
        <v>273.53497519619521</v>
      </c>
      <c r="AX87">
        <f t="shared" ca="1" si="177"/>
        <v>286.2651609681073</v>
      </c>
      <c r="AY87">
        <f t="shared" ca="1" si="177"/>
        <v>285.94308841802467</v>
      </c>
      <c r="AZ87">
        <f t="shared" ca="1" si="177"/>
        <v>283.2820991980841</v>
      </c>
      <c r="BA87">
        <f t="shared" ca="1" si="177"/>
        <v>283.42710425846917</v>
      </c>
      <c r="BB87">
        <f t="shared" ca="1" si="177"/>
        <v>290.17870599242082</v>
      </c>
      <c r="BC87">
        <f t="shared" ca="1" si="177"/>
        <v>286.11189617474855</v>
      </c>
      <c r="BD87">
        <f t="shared" ca="1" si="177"/>
        <v>277.70235992599351</v>
      </c>
      <c r="BE87">
        <f t="shared" ca="1" si="177"/>
        <v>284.3252632187631</v>
      </c>
      <c r="BF87">
        <f t="shared" ca="1" si="177"/>
        <v>289.22908786084417</v>
      </c>
      <c r="BG87">
        <f t="shared" ca="1" si="177"/>
        <v>290.29482476658154</v>
      </c>
      <c r="BH87">
        <f t="shared" ca="1" si="177"/>
        <v>292.25210445919907</v>
      </c>
      <c r="BI87">
        <f t="shared" ca="1" si="177"/>
        <v>287.36410840695373</v>
      </c>
      <c r="BJ87">
        <f t="shared" ca="1" si="177"/>
        <v>297.41702975508099</v>
      </c>
      <c r="BK87">
        <f t="shared" ca="1" si="177"/>
        <v>295.77937826187656</v>
      </c>
      <c r="BL87">
        <f t="shared" ca="1" si="177"/>
        <v>299.94030064797113</v>
      </c>
      <c r="BM87">
        <f t="shared" ca="1" si="177"/>
        <v>311.01165851301101</v>
      </c>
      <c r="BN87">
        <f t="shared" ca="1" si="177"/>
        <v>316.31994874387061</v>
      </c>
      <c r="BO87">
        <f t="shared" ca="1" si="177"/>
        <v>323.56916569810789</v>
      </c>
      <c r="BP87">
        <f t="shared" ca="1" si="177"/>
        <v>325.78867784525431</v>
      </c>
      <c r="BQ87">
        <f t="shared" ca="1" si="177"/>
        <v>327.15952840203278</v>
      </c>
      <c r="BR87">
        <f t="shared" ref="BR87:CU87" ca="1" si="178">BQ87*(1+$B$2*$B$4+$B$3*SQRT($B$4)*_xlfn.NORM.S.INV(RAND()))</f>
        <v>317.14311023212099</v>
      </c>
      <c r="BS87">
        <f t="shared" ca="1" si="178"/>
        <v>317.1520397408832</v>
      </c>
      <c r="BT87">
        <f t="shared" ca="1" si="178"/>
        <v>310.73210517649505</v>
      </c>
      <c r="BU87">
        <f t="shared" ca="1" si="178"/>
        <v>313.98955185896159</v>
      </c>
      <c r="BV87">
        <f t="shared" ca="1" si="178"/>
        <v>322.83119297302818</v>
      </c>
      <c r="BW87">
        <f t="shared" ca="1" si="178"/>
        <v>323.37826430124858</v>
      </c>
      <c r="BX87">
        <f t="shared" ca="1" si="178"/>
        <v>326.6682397019095</v>
      </c>
      <c r="BY87">
        <f t="shared" ca="1" si="178"/>
        <v>320.29728114074868</v>
      </c>
      <c r="BZ87">
        <f t="shared" ca="1" si="178"/>
        <v>318.23755524026143</v>
      </c>
      <c r="CA87">
        <f t="shared" ca="1" si="178"/>
        <v>310.28423202296784</v>
      </c>
      <c r="CB87">
        <f t="shared" ca="1" si="178"/>
        <v>303.98920496758996</v>
      </c>
      <c r="CC87">
        <f t="shared" ca="1" si="178"/>
        <v>301.11785556006845</v>
      </c>
      <c r="CD87">
        <f t="shared" ca="1" si="178"/>
        <v>304.78521687087135</v>
      </c>
      <c r="CE87">
        <f t="shared" ca="1" si="178"/>
        <v>315.45503171086528</v>
      </c>
      <c r="CF87">
        <f t="shared" ca="1" si="178"/>
        <v>315.57314771054502</v>
      </c>
      <c r="CG87">
        <f t="shared" ca="1" si="178"/>
        <v>311.66422055590567</v>
      </c>
      <c r="CH87">
        <f t="shared" ca="1" si="178"/>
        <v>309.57652820510873</v>
      </c>
      <c r="CI87">
        <f t="shared" ca="1" si="178"/>
        <v>305.09616073675829</v>
      </c>
      <c r="CJ87">
        <f t="shared" ca="1" si="178"/>
        <v>300.85864828890811</v>
      </c>
      <c r="CK87">
        <f t="shared" ca="1" si="178"/>
        <v>295.82614653976543</v>
      </c>
      <c r="CL87">
        <f t="shared" ca="1" si="178"/>
        <v>301.58181743329243</v>
      </c>
      <c r="CM87">
        <f t="shared" ca="1" si="178"/>
        <v>300.60534006898325</v>
      </c>
      <c r="CN87">
        <f t="shared" ca="1" si="178"/>
        <v>303.76617841813078</v>
      </c>
      <c r="CO87">
        <f t="shared" ca="1" si="178"/>
        <v>298.44831288597584</v>
      </c>
      <c r="CP87">
        <f t="shared" ca="1" si="178"/>
        <v>307.49471063821449</v>
      </c>
      <c r="CQ87">
        <f t="shared" ca="1" si="178"/>
        <v>307.18565085043952</v>
      </c>
      <c r="CR87">
        <f t="shared" ca="1" si="178"/>
        <v>300.13476938568039</v>
      </c>
      <c r="CS87">
        <f t="shared" ca="1" si="178"/>
        <v>302.51895421581344</v>
      </c>
      <c r="CT87">
        <f t="shared" ca="1" si="178"/>
        <v>291.02195873539688</v>
      </c>
      <c r="CU87">
        <f t="shared" ca="1" si="178"/>
        <v>282.9735518569122</v>
      </c>
      <c r="CV87">
        <f t="shared" ca="1" si="135"/>
        <v>62.973551856912195</v>
      </c>
      <c r="CW87">
        <f t="shared" ca="1" si="138"/>
        <v>60.546641659166688</v>
      </c>
    </row>
    <row r="88" spans="5:101" x14ac:dyDescent="0.2">
      <c r="E88">
        <v>222.13</v>
      </c>
      <c r="F88">
        <f t="shared" ref="F88:BQ88" ca="1" si="179">E88*(1+$B$2*$B$4+$B$3*SQRT($B$4)*_xlfn.NORM.S.INV(RAND()))</f>
        <v>220.29018995921447</v>
      </c>
      <c r="G88">
        <f t="shared" ca="1" si="179"/>
        <v>212.40984106581368</v>
      </c>
      <c r="H88">
        <f t="shared" ca="1" si="179"/>
        <v>213.3580641800076</v>
      </c>
      <c r="I88">
        <f t="shared" ca="1" si="179"/>
        <v>204.59629409148144</v>
      </c>
      <c r="J88">
        <f t="shared" ca="1" si="179"/>
        <v>209.78369452708944</v>
      </c>
      <c r="K88">
        <f t="shared" ca="1" si="179"/>
        <v>211.25124312335211</v>
      </c>
      <c r="L88">
        <f t="shared" ca="1" si="179"/>
        <v>212.41692051017364</v>
      </c>
      <c r="M88">
        <f t="shared" ca="1" si="179"/>
        <v>207.43473599271096</v>
      </c>
      <c r="N88">
        <f t="shared" ca="1" si="179"/>
        <v>206.3197096288944</v>
      </c>
      <c r="O88">
        <f t="shared" ca="1" si="179"/>
        <v>206.29836360367329</v>
      </c>
      <c r="P88">
        <f t="shared" ca="1" si="179"/>
        <v>203.49367681851629</v>
      </c>
      <c r="Q88">
        <f t="shared" ca="1" si="179"/>
        <v>202.6145168572059</v>
      </c>
      <c r="R88">
        <f t="shared" ca="1" si="179"/>
        <v>204.10177594872192</v>
      </c>
      <c r="S88">
        <f t="shared" ca="1" si="179"/>
        <v>202.65815469105442</v>
      </c>
      <c r="T88">
        <f t="shared" ca="1" si="179"/>
        <v>197.18947234733778</v>
      </c>
      <c r="U88">
        <f t="shared" ca="1" si="179"/>
        <v>199.75393203396152</v>
      </c>
      <c r="V88">
        <f t="shared" ca="1" si="179"/>
        <v>197.20133863473785</v>
      </c>
      <c r="W88">
        <f t="shared" ca="1" si="179"/>
        <v>196.334532924862</v>
      </c>
      <c r="X88">
        <f t="shared" ca="1" si="179"/>
        <v>193.88214764035231</v>
      </c>
      <c r="Y88">
        <f t="shared" ca="1" si="179"/>
        <v>198.49123946111828</v>
      </c>
      <c r="Z88">
        <f t="shared" ca="1" si="179"/>
        <v>204.89337935870205</v>
      </c>
      <c r="AA88">
        <f t="shared" ca="1" si="179"/>
        <v>218.94940966756678</v>
      </c>
      <c r="AB88">
        <f t="shared" ca="1" si="179"/>
        <v>213.47236679678852</v>
      </c>
      <c r="AC88">
        <f t="shared" ca="1" si="179"/>
        <v>213.94040519648129</v>
      </c>
      <c r="AD88">
        <f t="shared" ca="1" si="179"/>
        <v>212.91314239238773</v>
      </c>
      <c r="AE88">
        <f t="shared" ca="1" si="179"/>
        <v>218.71000721321528</v>
      </c>
      <c r="AF88">
        <f t="shared" ca="1" si="179"/>
        <v>208.8015945696506</v>
      </c>
      <c r="AG88">
        <f t="shared" ca="1" si="179"/>
        <v>208.01849341447235</v>
      </c>
      <c r="AH88">
        <f t="shared" ca="1" si="179"/>
        <v>206.38261228302892</v>
      </c>
      <c r="AI88">
        <f t="shared" ca="1" si="179"/>
        <v>207.82375288703977</v>
      </c>
      <c r="AJ88">
        <f t="shared" ca="1" si="179"/>
        <v>211.44649288902241</v>
      </c>
      <c r="AK88">
        <f t="shared" ca="1" si="179"/>
        <v>217.02783449000805</v>
      </c>
      <c r="AL88">
        <f t="shared" ca="1" si="179"/>
        <v>210.41748899363594</v>
      </c>
      <c r="AM88">
        <f t="shared" ca="1" si="179"/>
        <v>204.20223230499883</v>
      </c>
      <c r="AN88">
        <f t="shared" ca="1" si="179"/>
        <v>204.84767903627798</v>
      </c>
      <c r="AO88">
        <f t="shared" ca="1" si="179"/>
        <v>194.08681980648947</v>
      </c>
      <c r="AP88">
        <f t="shared" ca="1" si="179"/>
        <v>200.27584861910788</v>
      </c>
      <c r="AQ88">
        <f t="shared" ca="1" si="179"/>
        <v>201.00319360953114</v>
      </c>
      <c r="AR88">
        <f t="shared" ca="1" si="179"/>
        <v>201.37739730102658</v>
      </c>
      <c r="AS88">
        <f t="shared" ca="1" si="179"/>
        <v>201.06104314508067</v>
      </c>
      <c r="AT88">
        <f t="shared" ca="1" si="179"/>
        <v>204.23369790856776</v>
      </c>
      <c r="AU88">
        <f t="shared" ca="1" si="179"/>
        <v>204.03770514445557</v>
      </c>
      <c r="AV88">
        <f t="shared" ca="1" si="179"/>
        <v>205.40557572172651</v>
      </c>
      <c r="AW88">
        <f t="shared" ca="1" si="179"/>
        <v>206.15448640223198</v>
      </c>
      <c r="AX88">
        <f t="shared" ca="1" si="179"/>
        <v>193.00949512296893</v>
      </c>
      <c r="AY88">
        <f t="shared" ca="1" si="179"/>
        <v>198.717288074625</v>
      </c>
      <c r="AZ88">
        <f t="shared" ca="1" si="179"/>
        <v>196.24733510666331</v>
      </c>
      <c r="BA88">
        <f t="shared" ca="1" si="179"/>
        <v>196.51732959189729</v>
      </c>
      <c r="BB88">
        <f t="shared" ca="1" si="179"/>
        <v>189.85201070309131</v>
      </c>
      <c r="BC88">
        <f t="shared" ca="1" si="179"/>
        <v>193.72114546744834</v>
      </c>
      <c r="BD88">
        <f t="shared" ca="1" si="179"/>
        <v>193.75580291333975</v>
      </c>
      <c r="BE88">
        <f t="shared" ca="1" si="179"/>
        <v>199.11405505319465</v>
      </c>
      <c r="BF88">
        <f t="shared" ca="1" si="179"/>
        <v>191.01126723882109</v>
      </c>
      <c r="BG88">
        <f t="shared" ca="1" si="179"/>
        <v>187.75202825656257</v>
      </c>
      <c r="BH88">
        <f t="shared" ca="1" si="179"/>
        <v>182.30559271805009</v>
      </c>
      <c r="BI88">
        <f t="shared" ca="1" si="179"/>
        <v>182.91704579420554</v>
      </c>
      <c r="BJ88">
        <f t="shared" ca="1" si="179"/>
        <v>174.75394933900344</v>
      </c>
      <c r="BK88">
        <f t="shared" ca="1" si="179"/>
        <v>179.86887058446771</v>
      </c>
      <c r="BL88">
        <f t="shared" ca="1" si="179"/>
        <v>180.49976551397</v>
      </c>
      <c r="BM88">
        <f t="shared" ca="1" si="179"/>
        <v>181.28054205696299</v>
      </c>
      <c r="BN88">
        <f t="shared" ca="1" si="179"/>
        <v>181.92190264219056</v>
      </c>
      <c r="BO88">
        <f t="shared" ca="1" si="179"/>
        <v>179.09250791120203</v>
      </c>
      <c r="BP88">
        <f t="shared" ca="1" si="179"/>
        <v>177.82689514578692</v>
      </c>
      <c r="BQ88">
        <f t="shared" ca="1" si="179"/>
        <v>176.62443101947878</v>
      </c>
      <c r="BR88">
        <f t="shared" ref="BR88:CU88" ca="1" si="180">BQ88*(1+$B$2*$B$4+$B$3*SQRT($B$4)*_xlfn.NORM.S.INV(RAND()))</f>
        <v>173.55624151146122</v>
      </c>
      <c r="BS88">
        <f t="shared" ca="1" si="180"/>
        <v>170.91223153833738</v>
      </c>
      <c r="BT88">
        <f t="shared" ca="1" si="180"/>
        <v>167.5481557166201</v>
      </c>
      <c r="BU88">
        <f t="shared" ca="1" si="180"/>
        <v>166.82762084825754</v>
      </c>
      <c r="BV88">
        <f t="shared" ca="1" si="180"/>
        <v>168.40946479597795</v>
      </c>
      <c r="BW88">
        <f t="shared" ca="1" si="180"/>
        <v>169.16162548612792</v>
      </c>
      <c r="BX88">
        <f t="shared" ca="1" si="180"/>
        <v>170.01712606234773</v>
      </c>
      <c r="BY88">
        <f t="shared" ca="1" si="180"/>
        <v>172.70467124524666</v>
      </c>
      <c r="BZ88">
        <f t="shared" ca="1" si="180"/>
        <v>168.27646639819824</v>
      </c>
      <c r="CA88">
        <f t="shared" ca="1" si="180"/>
        <v>164.55367821169222</v>
      </c>
      <c r="CB88">
        <f t="shared" ca="1" si="180"/>
        <v>173.54343933958864</v>
      </c>
      <c r="CC88">
        <f t="shared" ca="1" si="180"/>
        <v>172.04731156745117</v>
      </c>
      <c r="CD88">
        <f t="shared" ca="1" si="180"/>
        <v>169.79797480339602</v>
      </c>
      <c r="CE88">
        <f t="shared" ca="1" si="180"/>
        <v>171.84600334741341</v>
      </c>
      <c r="CF88">
        <f t="shared" ca="1" si="180"/>
        <v>171.2621640899392</v>
      </c>
      <c r="CG88">
        <f t="shared" ca="1" si="180"/>
        <v>171.2157354239886</v>
      </c>
      <c r="CH88">
        <f t="shared" ca="1" si="180"/>
        <v>167.86536704237503</v>
      </c>
      <c r="CI88">
        <f t="shared" ca="1" si="180"/>
        <v>157.65588506831742</v>
      </c>
      <c r="CJ88">
        <f t="shared" ca="1" si="180"/>
        <v>156.48060466667977</v>
      </c>
      <c r="CK88">
        <f t="shared" ca="1" si="180"/>
        <v>147.50898846939083</v>
      </c>
      <c r="CL88">
        <f t="shared" ca="1" si="180"/>
        <v>144.67332270236136</v>
      </c>
      <c r="CM88">
        <f t="shared" ca="1" si="180"/>
        <v>144.29887592388377</v>
      </c>
      <c r="CN88">
        <f t="shared" ca="1" si="180"/>
        <v>147.64238943524805</v>
      </c>
      <c r="CO88">
        <f t="shared" ca="1" si="180"/>
        <v>147.03763995930396</v>
      </c>
      <c r="CP88">
        <f t="shared" ca="1" si="180"/>
        <v>146.18201008158871</v>
      </c>
      <c r="CQ88">
        <f t="shared" ca="1" si="180"/>
        <v>144.94632298075533</v>
      </c>
      <c r="CR88">
        <f t="shared" ca="1" si="180"/>
        <v>148.07320002986768</v>
      </c>
      <c r="CS88">
        <f t="shared" ca="1" si="180"/>
        <v>145.26426486438899</v>
      </c>
      <c r="CT88">
        <f t="shared" ca="1" si="180"/>
        <v>146.81927433584843</v>
      </c>
      <c r="CU88">
        <f t="shared" ca="1" si="180"/>
        <v>145.48521067087111</v>
      </c>
      <c r="CV88">
        <f t="shared" ca="1" si="135"/>
        <v>0</v>
      </c>
      <c r="CW88">
        <f t="shared" ca="1" si="138"/>
        <v>0</v>
      </c>
    </row>
    <row r="89" spans="5:101" x14ac:dyDescent="0.2">
      <c r="E89">
        <v>222.13</v>
      </c>
      <c r="F89">
        <f t="shared" ref="F89:BQ89" ca="1" si="181">E89*(1+$B$2*$B$4+$B$3*SQRT($B$4)*_xlfn.NORM.S.INV(RAND()))</f>
        <v>221.89303642641536</v>
      </c>
      <c r="G89">
        <f t="shared" ca="1" si="181"/>
        <v>221.32606573329932</v>
      </c>
      <c r="H89">
        <f t="shared" ca="1" si="181"/>
        <v>215.96816564653588</v>
      </c>
      <c r="I89">
        <f t="shared" ca="1" si="181"/>
        <v>213.66895804287202</v>
      </c>
      <c r="J89">
        <f t="shared" ca="1" si="181"/>
        <v>207.74985662343141</v>
      </c>
      <c r="K89">
        <f t="shared" ca="1" si="181"/>
        <v>215.13394537576565</v>
      </c>
      <c r="L89">
        <f t="shared" ca="1" si="181"/>
        <v>221.24570420457732</v>
      </c>
      <c r="M89">
        <f t="shared" ca="1" si="181"/>
        <v>220.50452920114833</v>
      </c>
      <c r="N89">
        <f t="shared" ca="1" si="181"/>
        <v>213.83981300535601</v>
      </c>
      <c r="O89">
        <f t="shared" ca="1" si="181"/>
        <v>214.10403609927019</v>
      </c>
      <c r="P89">
        <f t="shared" ca="1" si="181"/>
        <v>218.34066956468826</v>
      </c>
      <c r="Q89">
        <f t="shared" ca="1" si="181"/>
        <v>218.82027676352263</v>
      </c>
      <c r="R89">
        <f t="shared" ca="1" si="181"/>
        <v>214.99675039035364</v>
      </c>
      <c r="S89">
        <f t="shared" ca="1" si="181"/>
        <v>225.73062949007419</v>
      </c>
      <c r="T89">
        <f t="shared" ca="1" si="181"/>
        <v>231.35965150016489</v>
      </c>
      <c r="U89">
        <f t="shared" ca="1" si="181"/>
        <v>234.71487902219673</v>
      </c>
      <c r="V89">
        <f t="shared" ca="1" si="181"/>
        <v>231.71047839912208</v>
      </c>
      <c r="W89">
        <f t="shared" ca="1" si="181"/>
        <v>235.17106738639302</v>
      </c>
      <c r="X89">
        <f t="shared" ca="1" si="181"/>
        <v>237.48794300411592</v>
      </c>
      <c r="Y89">
        <f t="shared" ca="1" si="181"/>
        <v>236.26314596202567</v>
      </c>
      <c r="Z89">
        <f t="shared" ca="1" si="181"/>
        <v>229.03593915631595</v>
      </c>
      <c r="AA89">
        <f t="shared" ca="1" si="181"/>
        <v>227.0241241943387</v>
      </c>
      <c r="AB89">
        <f t="shared" ca="1" si="181"/>
        <v>230.92037047955569</v>
      </c>
      <c r="AC89">
        <f t="shared" ca="1" si="181"/>
        <v>229.95702943425678</v>
      </c>
      <c r="AD89">
        <f t="shared" ca="1" si="181"/>
        <v>233.08962049330157</v>
      </c>
      <c r="AE89">
        <f t="shared" ca="1" si="181"/>
        <v>231.00001583631024</v>
      </c>
      <c r="AF89">
        <f t="shared" ca="1" si="181"/>
        <v>231.14593116757382</v>
      </c>
      <c r="AG89">
        <f t="shared" ca="1" si="181"/>
        <v>232.85091054655607</v>
      </c>
      <c r="AH89">
        <f t="shared" ca="1" si="181"/>
        <v>235.40737518081994</v>
      </c>
      <c r="AI89">
        <f t="shared" ca="1" si="181"/>
        <v>241.42602821137169</v>
      </c>
      <c r="AJ89">
        <f t="shared" ca="1" si="181"/>
        <v>240.70624343233243</v>
      </c>
      <c r="AK89">
        <f t="shared" ca="1" si="181"/>
        <v>251.21843622171573</v>
      </c>
      <c r="AL89">
        <f t="shared" ca="1" si="181"/>
        <v>252.15005983685717</v>
      </c>
      <c r="AM89">
        <f t="shared" ca="1" si="181"/>
        <v>262.86444818244166</v>
      </c>
      <c r="AN89">
        <f t="shared" ca="1" si="181"/>
        <v>250.36214348563323</v>
      </c>
      <c r="AO89">
        <f t="shared" ca="1" si="181"/>
        <v>249.36599950578113</v>
      </c>
      <c r="AP89">
        <f t="shared" ca="1" si="181"/>
        <v>250.9404283279155</v>
      </c>
      <c r="AQ89">
        <f t="shared" ca="1" si="181"/>
        <v>240.92381875679069</v>
      </c>
      <c r="AR89">
        <f t="shared" ca="1" si="181"/>
        <v>237.8437579132364</v>
      </c>
      <c r="AS89">
        <f t="shared" ca="1" si="181"/>
        <v>242.55392361323931</v>
      </c>
      <c r="AT89">
        <f t="shared" ca="1" si="181"/>
        <v>239.26884445981071</v>
      </c>
      <c r="AU89">
        <f t="shared" ca="1" si="181"/>
        <v>252.2001306045145</v>
      </c>
      <c r="AV89">
        <f t="shared" ca="1" si="181"/>
        <v>241.60287129789526</v>
      </c>
      <c r="AW89">
        <f t="shared" ca="1" si="181"/>
        <v>247.39197210748239</v>
      </c>
      <c r="AX89">
        <f t="shared" ca="1" si="181"/>
        <v>245.0365759914207</v>
      </c>
      <c r="AY89">
        <f t="shared" ca="1" si="181"/>
        <v>254.97193544098039</v>
      </c>
      <c r="AZ89">
        <f t="shared" ca="1" si="181"/>
        <v>256.3652861230662</v>
      </c>
      <c r="BA89">
        <f t="shared" ca="1" si="181"/>
        <v>241.40198865473764</v>
      </c>
      <c r="BB89">
        <f t="shared" ca="1" si="181"/>
        <v>229.67352253189401</v>
      </c>
      <c r="BC89">
        <f t="shared" ca="1" si="181"/>
        <v>231.29981368533223</v>
      </c>
      <c r="BD89">
        <f t="shared" ca="1" si="181"/>
        <v>229.11766351285013</v>
      </c>
      <c r="BE89">
        <f t="shared" ca="1" si="181"/>
        <v>241.34557878172603</v>
      </c>
      <c r="BF89">
        <f t="shared" ca="1" si="181"/>
        <v>236.26347739479363</v>
      </c>
      <c r="BG89">
        <f t="shared" ca="1" si="181"/>
        <v>244.45637976067999</v>
      </c>
      <c r="BH89">
        <f t="shared" ca="1" si="181"/>
        <v>245.00281084996251</v>
      </c>
      <c r="BI89">
        <f t="shared" ca="1" si="181"/>
        <v>250.03143719776745</v>
      </c>
      <c r="BJ89">
        <f t="shared" ca="1" si="181"/>
        <v>257.39855235516188</v>
      </c>
      <c r="BK89">
        <f t="shared" ca="1" si="181"/>
        <v>250.42248276803582</v>
      </c>
      <c r="BL89">
        <f t="shared" ca="1" si="181"/>
        <v>255.10382073493534</v>
      </c>
      <c r="BM89">
        <f t="shared" ca="1" si="181"/>
        <v>253.37327284743731</v>
      </c>
      <c r="BN89">
        <f t="shared" ca="1" si="181"/>
        <v>250.50139256687007</v>
      </c>
      <c r="BO89">
        <f t="shared" ca="1" si="181"/>
        <v>250.82128045745941</v>
      </c>
      <c r="BP89">
        <f t="shared" ca="1" si="181"/>
        <v>247.367251806409</v>
      </c>
      <c r="BQ89">
        <f t="shared" ca="1" si="181"/>
        <v>239.34077837975639</v>
      </c>
      <c r="BR89">
        <f t="shared" ref="BR89:CU89" ca="1" si="182">BQ89*(1+$B$2*$B$4+$B$3*SQRT($B$4)*_xlfn.NORM.S.INV(RAND()))</f>
        <v>245.18355298769745</v>
      </c>
      <c r="BS89">
        <f t="shared" ca="1" si="182"/>
        <v>237.74282643094898</v>
      </c>
      <c r="BT89">
        <f t="shared" ca="1" si="182"/>
        <v>243.18890955541843</v>
      </c>
      <c r="BU89">
        <f t="shared" ca="1" si="182"/>
        <v>241.26803356620113</v>
      </c>
      <c r="BV89">
        <f t="shared" ca="1" si="182"/>
        <v>234.81301317512722</v>
      </c>
      <c r="BW89">
        <f t="shared" ca="1" si="182"/>
        <v>225.35789879625139</v>
      </c>
      <c r="BX89">
        <f t="shared" ca="1" si="182"/>
        <v>225.32903868105336</v>
      </c>
      <c r="BY89">
        <f t="shared" ca="1" si="182"/>
        <v>223.18932105185471</v>
      </c>
      <c r="BZ89">
        <f t="shared" ca="1" si="182"/>
        <v>220.54957310142117</v>
      </c>
      <c r="CA89">
        <f t="shared" ca="1" si="182"/>
        <v>220.58083813596821</v>
      </c>
      <c r="CB89">
        <f t="shared" ca="1" si="182"/>
        <v>233.0110107587833</v>
      </c>
      <c r="CC89">
        <f t="shared" ca="1" si="182"/>
        <v>229.74520564133525</v>
      </c>
      <c r="CD89">
        <f t="shared" ca="1" si="182"/>
        <v>237.06496401282621</v>
      </c>
      <c r="CE89">
        <f t="shared" ca="1" si="182"/>
        <v>233.57209065597306</v>
      </c>
      <c r="CF89">
        <f t="shared" ca="1" si="182"/>
        <v>238.2984379290566</v>
      </c>
      <c r="CG89">
        <f t="shared" ca="1" si="182"/>
        <v>235.08147380016834</v>
      </c>
      <c r="CH89">
        <f t="shared" ca="1" si="182"/>
        <v>236.66367441155987</v>
      </c>
      <c r="CI89">
        <f t="shared" ca="1" si="182"/>
        <v>238.1860162787807</v>
      </c>
      <c r="CJ89">
        <f t="shared" ca="1" si="182"/>
        <v>250.91955826478724</v>
      </c>
      <c r="CK89">
        <f t="shared" ca="1" si="182"/>
        <v>249.86536331991277</v>
      </c>
      <c r="CL89">
        <f t="shared" ca="1" si="182"/>
        <v>242.93412365370298</v>
      </c>
      <c r="CM89">
        <f t="shared" ca="1" si="182"/>
        <v>243.29553946055449</v>
      </c>
      <c r="CN89">
        <f t="shared" ca="1" si="182"/>
        <v>244.02779083929062</v>
      </c>
      <c r="CO89">
        <f t="shared" ca="1" si="182"/>
        <v>256.94414114730478</v>
      </c>
      <c r="CP89">
        <f t="shared" ca="1" si="182"/>
        <v>268.15790571658437</v>
      </c>
      <c r="CQ89">
        <f t="shared" ca="1" si="182"/>
        <v>261.38578112895004</v>
      </c>
      <c r="CR89">
        <f t="shared" ca="1" si="182"/>
        <v>263.33493856415026</v>
      </c>
      <c r="CS89">
        <f t="shared" ca="1" si="182"/>
        <v>260.0776072043916</v>
      </c>
      <c r="CT89">
        <f t="shared" ca="1" si="182"/>
        <v>254.45277067537904</v>
      </c>
      <c r="CU89">
        <f t="shared" ca="1" si="182"/>
        <v>259.98551402101447</v>
      </c>
      <c r="CV89">
        <f t="shared" ca="1" si="135"/>
        <v>39.985514021014467</v>
      </c>
      <c r="CW89">
        <f t="shared" ca="1" si="138"/>
        <v>38.444529768447737</v>
      </c>
    </row>
    <row r="90" spans="5:101" x14ac:dyDescent="0.2">
      <c r="E90">
        <v>222.13</v>
      </c>
      <c r="F90">
        <f t="shared" ref="F90:BQ90" ca="1" si="183">E90*(1+$B$2*$B$4+$B$3*SQRT($B$4)*_xlfn.NORM.S.INV(RAND()))</f>
        <v>219.19932033682741</v>
      </c>
      <c r="G90">
        <f t="shared" ca="1" si="183"/>
        <v>210.86989272183911</v>
      </c>
      <c r="H90">
        <f t="shared" ca="1" si="183"/>
        <v>212.53267846833282</v>
      </c>
      <c r="I90">
        <f t="shared" ca="1" si="183"/>
        <v>211.25788669919132</v>
      </c>
      <c r="J90">
        <f t="shared" ca="1" si="183"/>
        <v>224.17914531629833</v>
      </c>
      <c r="K90">
        <f t="shared" ca="1" si="183"/>
        <v>219.53396939848884</v>
      </c>
      <c r="L90">
        <f t="shared" ca="1" si="183"/>
        <v>212.87448239016337</v>
      </c>
      <c r="M90">
        <f t="shared" ca="1" si="183"/>
        <v>209.15622109703105</v>
      </c>
      <c r="N90">
        <f t="shared" ca="1" si="183"/>
        <v>212.82464390390635</v>
      </c>
      <c r="O90">
        <f t="shared" ca="1" si="183"/>
        <v>208.68670430468086</v>
      </c>
      <c r="P90">
        <f t="shared" ca="1" si="183"/>
        <v>208.99667997418229</v>
      </c>
      <c r="Q90">
        <f t="shared" ca="1" si="183"/>
        <v>203.55616319090655</v>
      </c>
      <c r="R90">
        <f t="shared" ca="1" si="183"/>
        <v>204.69986411137842</v>
      </c>
      <c r="S90">
        <f t="shared" ca="1" si="183"/>
        <v>208.35723638644939</v>
      </c>
      <c r="T90">
        <f t="shared" ca="1" si="183"/>
        <v>209.98820169528065</v>
      </c>
      <c r="U90">
        <f t="shared" ca="1" si="183"/>
        <v>210.02581753572005</v>
      </c>
      <c r="V90">
        <f t="shared" ca="1" si="183"/>
        <v>217.41881911265594</v>
      </c>
      <c r="W90">
        <f t="shared" ca="1" si="183"/>
        <v>231.52173539624579</v>
      </c>
      <c r="X90">
        <f t="shared" ca="1" si="183"/>
        <v>224.54203659665225</v>
      </c>
      <c r="Y90">
        <f t="shared" ca="1" si="183"/>
        <v>214.47202072809739</v>
      </c>
      <c r="Z90">
        <f t="shared" ca="1" si="183"/>
        <v>218.07003309758207</v>
      </c>
      <c r="AA90">
        <f t="shared" ca="1" si="183"/>
        <v>228.41561456004294</v>
      </c>
      <c r="AB90">
        <f t="shared" ca="1" si="183"/>
        <v>224.40702120022365</v>
      </c>
      <c r="AC90">
        <f t="shared" ca="1" si="183"/>
        <v>221.11913444058004</v>
      </c>
      <c r="AD90">
        <f t="shared" ca="1" si="183"/>
        <v>226.78095993207657</v>
      </c>
      <c r="AE90">
        <f t="shared" ca="1" si="183"/>
        <v>224.85864443841845</v>
      </c>
      <c r="AF90">
        <f t="shared" ca="1" si="183"/>
        <v>218.72976804034036</v>
      </c>
      <c r="AG90">
        <f t="shared" ca="1" si="183"/>
        <v>223.6386996945661</v>
      </c>
      <c r="AH90">
        <f t="shared" ca="1" si="183"/>
        <v>224.36834206053203</v>
      </c>
      <c r="AI90">
        <f t="shared" ca="1" si="183"/>
        <v>219.12118084911819</v>
      </c>
      <c r="AJ90">
        <f t="shared" ca="1" si="183"/>
        <v>229.49257870431981</v>
      </c>
      <c r="AK90">
        <f t="shared" ca="1" si="183"/>
        <v>224.95053220846665</v>
      </c>
      <c r="AL90">
        <f t="shared" ca="1" si="183"/>
        <v>223.52482780175228</v>
      </c>
      <c r="AM90">
        <f t="shared" ca="1" si="183"/>
        <v>236.76252880149127</v>
      </c>
      <c r="AN90">
        <f t="shared" ca="1" si="183"/>
        <v>234.17111077506783</v>
      </c>
      <c r="AO90">
        <f t="shared" ca="1" si="183"/>
        <v>237.16203150550172</v>
      </c>
      <c r="AP90">
        <f t="shared" ca="1" si="183"/>
        <v>238.61475512596269</v>
      </c>
      <c r="AQ90">
        <f t="shared" ca="1" si="183"/>
        <v>237.40480026018068</v>
      </c>
      <c r="AR90">
        <f t="shared" ca="1" si="183"/>
        <v>235.05077196183882</v>
      </c>
      <c r="AS90">
        <f t="shared" ca="1" si="183"/>
        <v>239.29150910345859</v>
      </c>
      <c r="AT90">
        <f t="shared" ca="1" si="183"/>
        <v>233.97595585004376</v>
      </c>
      <c r="AU90">
        <f t="shared" ca="1" si="183"/>
        <v>231.10018561347601</v>
      </c>
      <c r="AV90">
        <f t="shared" ca="1" si="183"/>
        <v>236.27309229780295</v>
      </c>
      <c r="AW90">
        <f t="shared" ca="1" si="183"/>
        <v>231.73178963516472</v>
      </c>
      <c r="AX90">
        <f t="shared" ca="1" si="183"/>
        <v>226.70921094083522</v>
      </c>
      <c r="AY90">
        <f t="shared" ca="1" si="183"/>
        <v>221.74371156759508</v>
      </c>
      <c r="AZ90">
        <f t="shared" ca="1" si="183"/>
        <v>223.71600547680018</v>
      </c>
      <c r="BA90">
        <f t="shared" ca="1" si="183"/>
        <v>223.68268959490825</v>
      </c>
      <c r="BB90">
        <f t="shared" ca="1" si="183"/>
        <v>229.03806816551204</v>
      </c>
      <c r="BC90">
        <f t="shared" ca="1" si="183"/>
        <v>231.1511959856733</v>
      </c>
      <c r="BD90">
        <f t="shared" ca="1" si="183"/>
        <v>231.2925234792169</v>
      </c>
      <c r="BE90">
        <f t="shared" ca="1" si="183"/>
        <v>227.19995377096544</v>
      </c>
      <c r="BF90">
        <f t="shared" ca="1" si="183"/>
        <v>231.67782204837144</v>
      </c>
      <c r="BG90">
        <f t="shared" ca="1" si="183"/>
        <v>234.98681268155548</v>
      </c>
      <c r="BH90">
        <f t="shared" ca="1" si="183"/>
        <v>242.87143752612138</v>
      </c>
      <c r="BI90">
        <f t="shared" ca="1" si="183"/>
        <v>245.41044013732699</v>
      </c>
      <c r="BJ90">
        <f t="shared" ca="1" si="183"/>
        <v>243.66512426298857</v>
      </c>
      <c r="BK90">
        <f t="shared" ca="1" si="183"/>
        <v>244.65373056355983</v>
      </c>
      <c r="BL90">
        <f t="shared" ca="1" si="183"/>
        <v>249.61005555175572</v>
      </c>
      <c r="BM90">
        <f t="shared" ca="1" si="183"/>
        <v>249.23602696514655</v>
      </c>
      <c r="BN90">
        <f t="shared" ca="1" si="183"/>
        <v>252.14912295277773</v>
      </c>
      <c r="BO90">
        <f t="shared" ca="1" si="183"/>
        <v>258.50309690972</v>
      </c>
      <c r="BP90">
        <f t="shared" ca="1" si="183"/>
        <v>263.92956121641942</v>
      </c>
      <c r="BQ90">
        <f t="shared" ca="1" si="183"/>
        <v>265.74741697435462</v>
      </c>
      <c r="BR90">
        <f t="shared" ref="BR90:CU90" ca="1" si="184">BQ90*(1+$B$2*$B$4+$B$3*SQRT($B$4)*_xlfn.NORM.S.INV(RAND()))</f>
        <v>260.87060962251985</v>
      </c>
      <c r="BS90">
        <f t="shared" ca="1" si="184"/>
        <v>266.50438732707062</v>
      </c>
      <c r="BT90">
        <f t="shared" ca="1" si="184"/>
        <v>260.71460589002987</v>
      </c>
      <c r="BU90">
        <f t="shared" ca="1" si="184"/>
        <v>261.31396233742726</v>
      </c>
      <c r="BV90">
        <f t="shared" ca="1" si="184"/>
        <v>264.91295105300264</v>
      </c>
      <c r="BW90">
        <f t="shared" ca="1" si="184"/>
        <v>269.91177916049685</v>
      </c>
      <c r="BX90">
        <f t="shared" ca="1" si="184"/>
        <v>269.20959498889238</v>
      </c>
      <c r="BY90">
        <f t="shared" ca="1" si="184"/>
        <v>267.53111770206499</v>
      </c>
      <c r="BZ90">
        <f t="shared" ca="1" si="184"/>
        <v>263.99612091030622</v>
      </c>
      <c r="CA90">
        <f t="shared" ca="1" si="184"/>
        <v>266.31794086345349</v>
      </c>
      <c r="CB90">
        <f t="shared" ca="1" si="184"/>
        <v>264.56506553997849</v>
      </c>
      <c r="CC90">
        <f t="shared" ca="1" si="184"/>
        <v>265.27739238294527</v>
      </c>
      <c r="CD90">
        <f t="shared" ca="1" si="184"/>
        <v>263.82192502349511</v>
      </c>
      <c r="CE90">
        <f t="shared" ca="1" si="184"/>
        <v>251.46962634290495</v>
      </c>
      <c r="CF90">
        <f t="shared" ca="1" si="184"/>
        <v>244.44495162093156</v>
      </c>
      <c r="CG90">
        <f t="shared" ca="1" si="184"/>
        <v>246.52065588364951</v>
      </c>
      <c r="CH90">
        <f t="shared" ca="1" si="184"/>
        <v>249.5497192504551</v>
      </c>
      <c r="CI90">
        <f t="shared" ca="1" si="184"/>
        <v>244.93409432819911</v>
      </c>
      <c r="CJ90">
        <f t="shared" ca="1" si="184"/>
        <v>250.59823076661203</v>
      </c>
      <c r="CK90">
        <f t="shared" ca="1" si="184"/>
        <v>257.85504912093643</v>
      </c>
      <c r="CL90">
        <f t="shared" ca="1" si="184"/>
        <v>259.40641966102248</v>
      </c>
      <c r="CM90">
        <f t="shared" ca="1" si="184"/>
        <v>263.01877355380805</v>
      </c>
      <c r="CN90">
        <f t="shared" ca="1" si="184"/>
        <v>255.52607150443822</v>
      </c>
      <c r="CO90">
        <f t="shared" ca="1" si="184"/>
        <v>254.67824036859716</v>
      </c>
      <c r="CP90">
        <f t="shared" ca="1" si="184"/>
        <v>246.29457841094438</v>
      </c>
      <c r="CQ90">
        <f t="shared" ca="1" si="184"/>
        <v>236.46316969640947</v>
      </c>
      <c r="CR90">
        <f t="shared" ca="1" si="184"/>
        <v>237.53927367903748</v>
      </c>
      <c r="CS90">
        <f t="shared" ca="1" si="184"/>
        <v>232.91244736955625</v>
      </c>
      <c r="CT90">
        <f t="shared" ca="1" si="184"/>
        <v>235.82095450781156</v>
      </c>
      <c r="CU90">
        <f t="shared" ca="1" si="184"/>
        <v>229.75504578006365</v>
      </c>
      <c r="CV90">
        <f t="shared" ca="1" si="135"/>
        <v>9.7550457800636536</v>
      </c>
      <c r="CW90">
        <f t="shared" ca="1" si="138"/>
        <v>9.3791003333639988</v>
      </c>
    </row>
    <row r="91" spans="5:101" x14ac:dyDescent="0.2">
      <c r="E91">
        <v>222.13</v>
      </c>
      <c r="F91">
        <f t="shared" ref="F91:BQ91" ca="1" si="185">E91*(1+$B$2*$B$4+$B$3*SQRT($B$4)*_xlfn.NORM.S.INV(RAND()))</f>
        <v>218.97929452425657</v>
      </c>
      <c r="G91">
        <f t="shared" ca="1" si="185"/>
        <v>214.28740012368405</v>
      </c>
      <c r="H91">
        <f t="shared" ca="1" si="185"/>
        <v>207.48014244244902</v>
      </c>
      <c r="I91">
        <f t="shared" ca="1" si="185"/>
        <v>206.89293627893662</v>
      </c>
      <c r="J91">
        <f t="shared" ca="1" si="185"/>
        <v>209.80729227137593</v>
      </c>
      <c r="K91">
        <f t="shared" ca="1" si="185"/>
        <v>213.78468943687702</v>
      </c>
      <c r="L91">
        <f t="shared" ca="1" si="185"/>
        <v>223.3834772622051</v>
      </c>
      <c r="M91">
        <f t="shared" ca="1" si="185"/>
        <v>218.02785529478371</v>
      </c>
      <c r="N91">
        <f t="shared" ca="1" si="185"/>
        <v>216.09989798743175</v>
      </c>
      <c r="O91">
        <f t="shared" ca="1" si="185"/>
        <v>214.36464164767264</v>
      </c>
      <c r="P91">
        <f t="shared" ca="1" si="185"/>
        <v>218.92942933798193</v>
      </c>
      <c r="Q91">
        <f t="shared" ca="1" si="185"/>
        <v>216.87832247120696</v>
      </c>
      <c r="R91">
        <f t="shared" ca="1" si="185"/>
        <v>218.50612441111903</v>
      </c>
      <c r="S91">
        <f t="shared" ca="1" si="185"/>
        <v>218.39736707045569</v>
      </c>
      <c r="T91">
        <f t="shared" ca="1" si="185"/>
        <v>217.15327524704193</v>
      </c>
      <c r="U91">
        <f t="shared" ca="1" si="185"/>
        <v>216.3388642842842</v>
      </c>
      <c r="V91">
        <f t="shared" ca="1" si="185"/>
        <v>217.95299424147385</v>
      </c>
      <c r="W91">
        <f t="shared" ca="1" si="185"/>
        <v>217.33757274099813</v>
      </c>
      <c r="X91">
        <f t="shared" ca="1" si="185"/>
        <v>218.10335731968945</v>
      </c>
      <c r="Y91">
        <f t="shared" ca="1" si="185"/>
        <v>215.20700777704195</v>
      </c>
      <c r="Z91">
        <f t="shared" ca="1" si="185"/>
        <v>212.75389581456525</v>
      </c>
      <c r="AA91">
        <f t="shared" ca="1" si="185"/>
        <v>213.9775324060804</v>
      </c>
      <c r="AB91">
        <f t="shared" ca="1" si="185"/>
        <v>220.88685797548783</v>
      </c>
      <c r="AC91">
        <f t="shared" ca="1" si="185"/>
        <v>224.99806885522653</v>
      </c>
      <c r="AD91">
        <f t="shared" ca="1" si="185"/>
        <v>212.54230855906718</v>
      </c>
      <c r="AE91">
        <f t="shared" ca="1" si="185"/>
        <v>216.20837264142966</v>
      </c>
      <c r="AF91">
        <f t="shared" ca="1" si="185"/>
        <v>208.47417931659967</v>
      </c>
      <c r="AG91">
        <f t="shared" ca="1" si="185"/>
        <v>215.73840192673939</v>
      </c>
      <c r="AH91">
        <f t="shared" ca="1" si="185"/>
        <v>210.1893203043991</v>
      </c>
      <c r="AI91">
        <f t="shared" ca="1" si="185"/>
        <v>215.49673125737678</v>
      </c>
      <c r="AJ91">
        <f t="shared" ca="1" si="185"/>
        <v>219.81609855933368</v>
      </c>
      <c r="AK91">
        <f t="shared" ca="1" si="185"/>
        <v>222.11939500248522</v>
      </c>
      <c r="AL91">
        <f t="shared" ca="1" si="185"/>
        <v>219.12177204412504</v>
      </c>
      <c r="AM91">
        <f t="shared" ca="1" si="185"/>
        <v>217.55490578056651</v>
      </c>
      <c r="AN91">
        <f t="shared" ca="1" si="185"/>
        <v>214.31881622134023</v>
      </c>
      <c r="AO91">
        <f t="shared" ca="1" si="185"/>
        <v>214.91979455555767</v>
      </c>
      <c r="AP91">
        <f t="shared" ca="1" si="185"/>
        <v>213.01606523461868</v>
      </c>
      <c r="AQ91">
        <f t="shared" ca="1" si="185"/>
        <v>213.36409218330894</v>
      </c>
      <c r="AR91">
        <f t="shared" ca="1" si="185"/>
        <v>214.69524598619122</v>
      </c>
      <c r="AS91">
        <f t="shared" ca="1" si="185"/>
        <v>217.99608505720315</v>
      </c>
      <c r="AT91">
        <f t="shared" ca="1" si="185"/>
        <v>216.56057479136697</v>
      </c>
      <c r="AU91">
        <f t="shared" ca="1" si="185"/>
        <v>208.25210762871293</v>
      </c>
      <c r="AV91">
        <f t="shared" ca="1" si="185"/>
        <v>213.66950809513435</v>
      </c>
      <c r="AW91">
        <f t="shared" ca="1" si="185"/>
        <v>205.64035670016042</v>
      </c>
      <c r="AX91">
        <f t="shared" ca="1" si="185"/>
        <v>203.74897781562731</v>
      </c>
      <c r="AY91">
        <f t="shared" ca="1" si="185"/>
        <v>203.20873179113957</v>
      </c>
      <c r="AZ91">
        <f t="shared" ca="1" si="185"/>
        <v>213.65675500454049</v>
      </c>
      <c r="BA91">
        <f t="shared" ca="1" si="185"/>
        <v>208.85418341460968</v>
      </c>
      <c r="BB91">
        <f t="shared" ca="1" si="185"/>
        <v>212.35084435915627</v>
      </c>
      <c r="BC91">
        <f t="shared" ca="1" si="185"/>
        <v>209.11510460185661</v>
      </c>
      <c r="BD91">
        <f t="shared" ca="1" si="185"/>
        <v>201.87692411530668</v>
      </c>
      <c r="BE91">
        <f t="shared" ca="1" si="185"/>
        <v>203.60434110755943</v>
      </c>
      <c r="BF91">
        <f t="shared" ca="1" si="185"/>
        <v>198.25750505682169</v>
      </c>
      <c r="BG91">
        <f t="shared" ca="1" si="185"/>
        <v>195.88002370826931</v>
      </c>
      <c r="BH91">
        <f t="shared" ca="1" si="185"/>
        <v>208.91812615177227</v>
      </c>
      <c r="BI91">
        <f t="shared" ca="1" si="185"/>
        <v>207.30900878282515</v>
      </c>
      <c r="BJ91">
        <f t="shared" ca="1" si="185"/>
        <v>207.0188134364397</v>
      </c>
      <c r="BK91">
        <f t="shared" ca="1" si="185"/>
        <v>214.26587088694436</v>
      </c>
      <c r="BL91">
        <f t="shared" ca="1" si="185"/>
        <v>212.47171821309908</v>
      </c>
      <c r="BM91">
        <f t="shared" ca="1" si="185"/>
        <v>212.57745285047133</v>
      </c>
      <c r="BN91">
        <f t="shared" ca="1" si="185"/>
        <v>222.08032917032597</v>
      </c>
      <c r="BO91">
        <f t="shared" ca="1" si="185"/>
        <v>228.47484526042865</v>
      </c>
      <c r="BP91">
        <f t="shared" ca="1" si="185"/>
        <v>225.86201187730359</v>
      </c>
      <c r="BQ91">
        <f t="shared" ca="1" si="185"/>
        <v>214.84280365894256</v>
      </c>
      <c r="BR91">
        <f t="shared" ref="BR91:CU91" ca="1" si="186">BQ91*(1+$B$2*$B$4+$B$3*SQRT($B$4)*_xlfn.NORM.S.INV(RAND()))</f>
        <v>216.17842611027316</v>
      </c>
      <c r="BS91">
        <f t="shared" ca="1" si="186"/>
        <v>212.95496802629714</v>
      </c>
      <c r="BT91">
        <f t="shared" ca="1" si="186"/>
        <v>218.3081480326646</v>
      </c>
      <c r="BU91">
        <f t="shared" ca="1" si="186"/>
        <v>220.91514841772278</v>
      </c>
      <c r="BV91">
        <f t="shared" ca="1" si="186"/>
        <v>215.00548089406226</v>
      </c>
      <c r="BW91">
        <f t="shared" ca="1" si="186"/>
        <v>211.82660675429867</v>
      </c>
      <c r="BX91">
        <f t="shared" ca="1" si="186"/>
        <v>217.76560605711316</v>
      </c>
      <c r="BY91">
        <f t="shared" ca="1" si="186"/>
        <v>232.91906206964367</v>
      </c>
      <c r="BZ91">
        <f t="shared" ca="1" si="186"/>
        <v>232.3540454251675</v>
      </c>
      <c r="CA91">
        <f t="shared" ca="1" si="186"/>
        <v>228.27777475940417</v>
      </c>
      <c r="CB91">
        <f t="shared" ca="1" si="186"/>
        <v>225.00059570250659</v>
      </c>
      <c r="CC91">
        <f t="shared" ca="1" si="186"/>
        <v>229.41463875400706</v>
      </c>
      <c r="CD91">
        <f t="shared" ca="1" si="186"/>
        <v>231.277853809139</v>
      </c>
      <c r="CE91">
        <f t="shared" ca="1" si="186"/>
        <v>232.722185662942</v>
      </c>
      <c r="CF91">
        <f t="shared" ca="1" si="186"/>
        <v>224.39363434270848</v>
      </c>
      <c r="CG91">
        <f t="shared" ca="1" si="186"/>
        <v>221.37937914235175</v>
      </c>
      <c r="CH91">
        <f t="shared" ca="1" si="186"/>
        <v>218.79650958176077</v>
      </c>
      <c r="CI91">
        <f t="shared" ca="1" si="186"/>
        <v>211.26573659712736</v>
      </c>
      <c r="CJ91">
        <f t="shared" ca="1" si="186"/>
        <v>207.84563245531757</v>
      </c>
      <c r="CK91">
        <f t="shared" ca="1" si="186"/>
        <v>209.89190861546004</v>
      </c>
      <c r="CL91">
        <f t="shared" ca="1" si="186"/>
        <v>207.55845103020502</v>
      </c>
      <c r="CM91">
        <f t="shared" ca="1" si="186"/>
        <v>212.49521566107757</v>
      </c>
      <c r="CN91">
        <f t="shared" ca="1" si="186"/>
        <v>210.44901453697972</v>
      </c>
      <c r="CO91">
        <f t="shared" ca="1" si="186"/>
        <v>204.26662907299004</v>
      </c>
      <c r="CP91">
        <f t="shared" ca="1" si="186"/>
        <v>200.09093652869936</v>
      </c>
      <c r="CQ91">
        <f t="shared" ca="1" si="186"/>
        <v>203.4483221572649</v>
      </c>
      <c r="CR91">
        <f t="shared" ca="1" si="186"/>
        <v>200.52112567978068</v>
      </c>
      <c r="CS91">
        <f t="shared" ca="1" si="186"/>
        <v>202.58859093361926</v>
      </c>
      <c r="CT91">
        <f t="shared" ca="1" si="186"/>
        <v>205.37048090025411</v>
      </c>
      <c r="CU91">
        <f t="shared" ca="1" si="186"/>
        <v>203.9025930175803</v>
      </c>
      <c r="CV91">
        <f t="shared" ca="1" si="135"/>
        <v>0</v>
      </c>
      <c r="CW91">
        <f t="shared" ca="1" si="138"/>
        <v>0</v>
      </c>
    </row>
    <row r="92" spans="5:101" x14ac:dyDescent="0.2">
      <c r="E92">
        <v>222.13</v>
      </c>
      <c r="F92">
        <f t="shared" ref="F92:BQ92" ca="1" si="187">E92*(1+$B$2*$B$4+$B$3*SQRT($B$4)*_xlfn.NORM.S.INV(RAND()))</f>
        <v>221.46386008196205</v>
      </c>
      <c r="G92">
        <f t="shared" ca="1" si="187"/>
        <v>215.78997011329378</v>
      </c>
      <c r="H92">
        <f t="shared" ca="1" si="187"/>
        <v>212.69748368827476</v>
      </c>
      <c r="I92">
        <f t="shared" ca="1" si="187"/>
        <v>208.38431590136125</v>
      </c>
      <c r="J92">
        <f t="shared" ca="1" si="187"/>
        <v>205.70037737227662</v>
      </c>
      <c r="K92">
        <f t="shared" ca="1" si="187"/>
        <v>206.23720063455193</v>
      </c>
      <c r="L92">
        <f t="shared" ca="1" si="187"/>
        <v>204.76423295678723</v>
      </c>
      <c r="M92">
        <f t="shared" ca="1" si="187"/>
        <v>207.5280953836525</v>
      </c>
      <c r="N92">
        <f t="shared" ca="1" si="187"/>
        <v>209.18987965273573</v>
      </c>
      <c r="O92">
        <f t="shared" ca="1" si="187"/>
        <v>210.54136904422936</v>
      </c>
      <c r="P92">
        <f t="shared" ca="1" si="187"/>
        <v>204.62996896545116</v>
      </c>
      <c r="Q92">
        <f t="shared" ca="1" si="187"/>
        <v>214.87171019887776</v>
      </c>
      <c r="R92">
        <f t="shared" ca="1" si="187"/>
        <v>216.67305373783498</v>
      </c>
      <c r="S92">
        <f t="shared" ca="1" si="187"/>
        <v>218.31245982812152</v>
      </c>
      <c r="T92">
        <f t="shared" ca="1" si="187"/>
        <v>215.12624676013252</v>
      </c>
      <c r="U92">
        <f t="shared" ca="1" si="187"/>
        <v>204.67986160177924</v>
      </c>
      <c r="V92">
        <f t="shared" ca="1" si="187"/>
        <v>204.94854600207023</v>
      </c>
      <c r="W92">
        <f t="shared" ca="1" si="187"/>
        <v>206.50564015659634</v>
      </c>
      <c r="X92">
        <f t="shared" ca="1" si="187"/>
        <v>198.27486173281551</v>
      </c>
      <c r="Y92">
        <f t="shared" ca="1" si="187"/>
        <v>197.39189337400791</v>
      </c>
      <c r="Z92">
        <f t="shared" ca="1" si="187"/>
        <v>197.28935287787334</v>
      </c>
      <c r="AA92">
        <f t="shared" ca="1" si="187"/>
        <v>198.34741072051983</v>
      </c>
      <c r="AB92">
        <f t="shared" ca="1" si="187"/>
        <v>199.29084158447671</v>
      </c>
      <c r="AC92">
        <f t="shared" ca="1" si="187"/>
        <v>194.78274185498489</v>
      </c>
      <c r="AD92">
        <f t="shared" ca="1" si="187"/>
        <v>198.96366015856793</v>
      </c>
      <c r="AE92">
        <f t="shared" ca="1" si="187"/>
        <v>198.32267510231401</v>
      </c>
      <c r="AF92">
        <f t="shared" ca="1" si="187"/>
        <v>192.21619747167674</v>
      </c>
      <c r="AG92">
        <f t="shared" ca="1" si="187"/>
        <v>197.43778550788366</v>
      </c>
      <c r="AH92">
        <f t="shared" ca="1" si="187"/>
        <v>193.3587076600179</v>
      </c>
      <c r="AI92">
        <f t="shared" ca="1" si="187"/>
        <v>200.05133098533435</v>
      </c>
      <c r="AJ92">
        <f t="shared" ca="1" si="187"/>
        <v>194.43567000827076</v>
      </c>
      <c r="AK92">
        <f t="shared" ca="1" si="187"/>
        <v>190.74332510244324</v>
      </c>
      <c r="AL92">
        <f t="shared" ca="1" si="187"/>
        <v>190.15782044521413</v>
      </c>
      <c r="AM92">
        <f t="shared" ca="1" si="187"/>
        <v>187.77539788144847</v>
      </c>
      <c r="AN92">
        <f t="shared" ca="1" si="187"/>
        <v>186.90912175751299</v>
      </c>
      <c r="AO92">
        <f t="shared" ca="1" si="187"/>
        <v>190.13854251553619</v>
      </c>
      <c r="AP92">
        <f t="shared" ca="1" si="187"/>
        <v>193.55632168778831</v>
      </c>
      <c r="AQ92">
        <f t="shared" ca="1" si="187"/>
        <v>192.40646336864842</v>
      </c>
      <c r="AR92">
        <f t="shared" ca="1" si="187"/>
        <v>192.35129407052148</v>
      </c>
      <c r="AS92">
        <f t="shared" ca="1" si="187"/>
        <v>188.99535614111707</v>
      </c>
      <c r="AT92">
        <f t="shared" ca="1" si="187"/>
        <v>191.4022481219138</v>
      </c>
      <c r="AU92">
        <f t="shared" ca="1" si="187"/>
        <v>187.75222584062536</v>
      </c>
      <c r="AV92">
        <f t="shared" ca="1" si="187"/>
        <v>190.14387623623958</v>
      </c>
      <c r="AW92">
        <f t="shared" ca="1" si="187"/>
        <v>192.86419762922912</v>
      </c>
      <c r="AX92">
        <f t="shared" ca="1" si="187"/>
        <v>194.22648909002538</v>
      </c>
      <c r="AY92">
        <f t="shared" ca="1" si="187"/>
        <v>188.51146109157312</v>
      </c>
      <c r="AZ92">
        <f t="shared" ca="1" si="187"/>
        <v>191.85712429103756</v>
      </c>
      <c r="BA92">
        <f t="shared" ca="1" si="187"/>
        <v>196.05702733857393</v>
      </c>
      <c r="BB92">
        <f t="shared" ca="1" si="187"/>
        <v>194.95562109529502</v>
      </c>
      <c r="BC92">
        <f t="shared" ca="1" si="187"/>
        <v>194.95267146712388</v>
      </c>
      <c r="BD92">
        <f t="shared" ca="1" si="187"/>
        <v>189.1068953066443</v>
      </c>
      <c r="BE92">
        <f t="shared" ca="1" si="187"/>
        <v>189.62090979974076</v>
      </c>
      <c r="BF92">
        <f t="shared" ca="1" si="187"/>
        <v>186.61285599183111</v>
      </c>
      <c r="BG92">
        <f t="shared" ca="1" si="187"/>
        <v>191.54102236481646</v>
      </c>
      <c r="BH92">
        <f t="shared" ca="1" si="187"/>
        <v>191.37125691812039</v>
      </c>
      <c r="BI92">
        <f t="shared" ca="1" si="187"/>
        <v>191.84390162318809</v>
      </c>
      <c r="BJ92">
        <f t="shared" ca="1" si="187"/>
        <v>195.36781497826431</v>
      </c>
      <c r="BK92">
        <f t="shared" ca="1" si="187"/>
        <v>195.43195409481982</v>
      </c>
      <c r="BL92">
        <f t="shared" ca="1" si="187"/>
        <v>204.88843119537935</v>
      </c>
      <c r="BM92">
        <f t="shared" ca="1" si="187"/>
        <v>201.62330010277853</v>
      </c>
      <c r="BN92">
        <f t="shared" ca="1" si="187"/>
        <v>204.37146627991817</v>
      </c>
      <c r="BO92">
        <f t="shared" ca="1" si="187"/>
        <v>203.9743436226459</v>
      </c>
      <c r="BP92">
        <f t="shared" ca="1" si="187"/>
        <v>202.75963791063427</v>
      </c>
      <c r="BQ92">
        <f t="shared" ca="1" si="187"/>
        <v>200.21479485072209</v>
      </c>
      <c r="BR92">
        <f t="shared" ref="BR92:CU92" ca="1" si="188">BQ92*(1+$B$2*$B$4+$B$3*SQRT($B$4)*_xlfn.NORM.S.INV(RAND()))</f>
        <v>207.26463143018259</v>
      </c>
      <c r="BS92">
        <f t="shared" ca="1" si="188"/>
        <v>212.1122293052675</v>
      </c>
      <c r="BT92">
        <f t="shared" ca="1" si="188"/>
        <v>217.35240111423144</v>
      </c>
      <c r="BU92">
        <f t="shared" ca="1" si="188"/>
        <v>214.82493423175501</v>
      </c>
      <c r="BV92">
        <f t="shared" ca="1" si="188"/>
        <v>225.49308946719134</v>
      </c>
      <c r="BW92">
        <f t="shared" ca="1" si="188"/>
        <v>219.97615181097908</v>
      </c>
      <c r="BX92">
        <f t="shared" ca="1" si="188"/>
        <v>214.15186326643465</v>
      </c>
      <c r="BY92">
        <f t="shared" ca="1" si="188"/>
        <v>207.48517102655902</v>
      </c>
      <c r="BZ92">
        <f t="shared" ca="1" si="188"/>
        <v>206.87838658095069</v>
      </c>
      <c r="CA92">
        <f t="shared" ca="1" si="188"/>
        <v>199.74617341564937</v>
      </c>
      <c r="CB92">
        <f t="shared" ca="1" si="188"/>
        <v>197.96510506535557</v>
      </c>
      <c r="CC92">
        <f t="shared" ca="1" si="188"/>
        <v>200.89532349404516</v>
      </c>
      <c r="CD92">
        <f t="shared" ca="1" si="188"/>
        <v>194.00658285107033</v>
      </c>
      <c r="CE92">
        <f t="shared" ca="1" si="188"/>
        <v>193.90773044485124</v>
      </c>
      <c r="CF92">
        <f t="shared" ca="1" si="188"/>
        <v>199.08495674985699</v>
      </c>
      <c r="CG92">
        <f t="shared" ca="1" si="188"/>
        <v>203.19813524135137</v>
      </c>
      <c r="CH92">
        <f t="shared" ca="1" si="188"/>
        <v>203.58254594328147</v>
      </c>
      <c r="CI92">
        <f t="shared" ca="1" si="188"/>
        <v>207.76585849081326</v>
      </c>
      <c r="CJ92">
        <f t="shared" ca="1" si="188"/>
        <v>218.53151252606997</v>
      </c>
      <c r="CK92">
        <f t="shared" ca="1" si="188"/>
        <v>223.65583738379598</v>
      </c>
      <c r="CL92">
        <f t="shared" ca="1" si="188"/>
        <v>225.06562184086698</v>
      </c>
      <c r="CM92">
        <f t="shared" ca="1" si="188"/>
        <v>219.5258324841825</v>
      </c>
      <c r="CN92">
        <f t="shared" ca="1" si="188"/>
        <v>217.14501066944698</v>
      </c>
      <c r="CO92">
        <f t="shared" ca="1" si="188"/>
        <v>222.25001338159947</v>
      </c>
      <c r="CP92">
        <f t="shared" ca="1" si="188"/>
        <v>219.83521977183372</v>
      </c>
      <c r="CQ92">
        <f t="shared" ca="1" si="188"/>
        <v>225.10871706570538</v>
      </c>
      <c r="CR92">
        <f t="shared" ca="1" si="188"/>
        <v>227.17554663865931</v>
      </c>
      <c r="CS92">
        <f t="shared" ca="1" si="188"/>
        <v>227.10083841943501</v>
      </c>
      <c r="CT92">
        <f t="shared" ca="1" si="188"/>
        <v>233.28329641811771</v>
      </c>
      <c r="CU92">
        <f t="shared" ca="1" si="188"/>
        <v>233.1304661496448</v>
      </c>
      <c r="CV92">
        <f t="shared" ca="1" si="135"/>
        <v>13.130466149644803</v>
      </c>
      <c r="CW92">
        <f t="shared" ca="1" si="138"/>
        <v>12.624436852264028</v>
      </c>
    </row>
    <row r="93" spans="5:101" x14ac:dyDescent="0.2">
      <c r="E93">
        <v>222.13</v>
      </c>
      <c r="F93">
        <f t="shared" ref="F93:BQ93" ca="1" si="189">E93*(1+$B$2*$B$4+$B$3*SQRT($B$4)*_xlfn.NORM.S.INV(RAND()))</f>
        <v>223.24690706915226</v>
      </c>
      <c r="G93">
        <f t="shared" ca="1" si="189"/>
        <v>237.56578797293187</v>
      </c>
      <c r="H93">
        <f t="shared" ca="1" si="189"/>
        <v>236.66320229462531</v>
      </c>
      <c r="I93">
        <f t="shared" ca="1" si="189"/>
        <v>247.28920167554048</v>
      </c>
      <c r="J93">
        <f t="shared" ca="1" si="189"/>
        <v>255.12139512955488</v>
      </c>
      <c r="K93">
        <f t="shared" ca="1" si="189"/>
        <v>256.42099020588671</v>
      </c>
      <c r="L93">
        <f t="shared" ca="1" si="189"/>
        <v>263.0704361931206</v>
      </c>
      <c r="M93">
        <f t="shared" ca="1" si="189"/>
        <v>257.69704056253863</v>
      </c>
      <c r="N93">
        <f t="shared" ca="1" si="189"/>
        <v>251.15935512999658</v>
      </c>
      <c r="O93">
        <f t="shared" ca="1" si="189"/>
        <v>251.99714089411253</v>
      </c>
      <c r="P93">
        <f t="shared" ca="1" si="189"/>
        <v>247.87071130279574</v>
      </c>
      <c r="Q93">
        <f t="shared" ca="1" si="189"/>
        <v>246.37935457905922</v>
      </c>
      <c r="R93">
        <f t="shared" ca="1" si="189"/>
        <v>239.69060661326694</v>
      </c>
      <c r="S93">
        <f t="shared" ca="1" si="189"/>
        <v>245.99826874361844</v>
      </c>
      <c r="T93">
        <f t="shared" ca="1" si="189"/>
        <v>246.95346951756352</v>
      </c>
      <c r="U93">
        <f t="shared" ca="1" si="189"/>
        <v>248.12141677943859</v>
      </c>
      <c r="V93">
        <f t="shared" ca="1" si="189"/>
        <v>248.11112051950812</v>
      </c>
      <c r="W93">
        <f t="shared" ca="1" si="189"/>
        <v>256.11793759083253</v>
      </c>
      <c r="X93">
        <f t="shared" ca="1" si="189"/>
        <v>258.98899654043686</v>
      </c>
      <c r="Y93">
        <f t="shared" ca="1" si="189"/>
        <v>257.685165196056</v>
      </c>
      <c r="Z93">
        <f t="shared" ca="1" si="189"/>
        <v>262.19870436898537</v>
      </c>
      <c r="AA93">
        <f t="shared" ca="1" si="189"/>
        <v>262.60179899758248</v>
      </c>
      <c r="AB93">
        <f t="shared" ca="1" si="189"/>
        <v>264.54995546235506</v>
      </c>
      <c r="AC93">
        <f t="shared" ca="1" si="189"/>
        <v>265.7111711881891</v>
      </c>
      <c r="AD93">
        <f t="shared" ca="1" si="189"/>
        <v>262.90803720156873</v>
      </c>
      <c r="AE93">
        <f t="shared" ca="1" si="189"/>
        <v>270.66924030641195</v>
      </c>
      <c r="AF93">
        <f t="shared" ca="1" si="189"/>
        <v>271.32150895213266</v>
      </c>
      <c r="AG93">
        <f t="shared" ca="1" si="189"/>
        <v>270.49524839986907</v>
      </c>
      <c r="AH93">
        <f t="shared" ca="1" si="189"/>
        <v>273.87733627908716</v>
      </c>
      <c r="AI93">
        <f t="shared" ca="1" si="189"/>
        <v>273.60025944808524</v>
      </c>
      <c r="AJ93">
        <f t="shared" ca="1" si="189"/>
        <v>275.18268671925159</v>
      </c>
      <c r="AK93">
        <f t="shared" ca="1" si="189"/>
        <v>269.54995568109371</v>
      </c>
      <c r="AL93">
        <f t="shared" ca="1" si="189"/>
        <v>272.81059911813054</v>
      </c>
      <c r="AM93">
        <f t="shared" ca="1" si="189"/>
        <v>277.97449351580326</v>
      </c>
      <c r="AN93">
        <f t="shared" ca="1" si="189"/>
        <v>275.70665479999406</v>
      </c>
      <c r="AO93">
        <f t="shared" ca="1" si="189"/>
        <v>285.2947368534717</v>
      </c>
      <c r="AP93">
        <f t="shared" ca="1" si="189"/>
        <v>288.78888351148589</v>
      </c>
      <c r="AQ93">
        <f t="shared" ca="1" si="189"/>
        <v>296.7958821912024</v>
      </c>
      <c r="AR93">
        <f t="shared" ca="1" si="189"/>
        <v>316.2206560678714</v>
      </c>
      <c r="AS93">
        <f t="shared" ca="1" si="189"/>
        <v>313.1875844816289</v>
      </c>
      <c r="AT93">
        <f t="shared" ca="1" si="189"/>
        <v>305.95198941653996</v>
      </c>
      <c r="AU93">
        <f t="shared" ca="1" si="189"/>
        <v>320.06771032211498</v>
      </c>
      <c r="AV93">
        <f t="shared" ca="1" si="189"/>
        <v>319.46343389342559</v>
      </c>
      <c r="AW93">
        <f t="shared" ca="1" si="189"/>
        <v>330.35351268493901</v>
      </c>
      <c r="AX93">
        <f t="shared" ca="1" si="189"/>
        <v>332.50587123219674</v>
      </c>
      <c r="AY93">
        <f t="shared" ca="1" si="189"/>
        <v>327.71255007074939</v>
      </c>
      <c r="AZ93">
        <f t="shared" ca="1" si="189"/>
        <v>322.26509740233934</v>
      </c>
      <c r="BA93">
        <f t="shared" ca="1" si="189"/>
        <v>322.76571640571666</v>
      </c>
      <c r="BB93">
        <f t="shared" ca="1" si="189"/>
        <v>325.4657278610465</v>
      </c>
      <c r="BC93">
        <f t="shared" ca="1" si="189"/>
        <v>328.51203002352702</v>
      </c>
      <c r="BD93">
        <f t="shared" ca="1" si="189"/>
        <v>338.75671028012744</v>
      </c>
      <c r="BE93">
        <f t="shared" ca="1" si="189"/>
        <v>338.67774717896998</v>
      </c>
      <c r="BF93">
        <f t="shared" ca="1" si="189"/>
        <v>321.53286829962565</v>
      </c>
      <c r="BG93">
        <f t="shared" ca="1" si="189"/>
        <v>328.03501312742929</v>
      </c>
      <c r="BH93">
        <f t="shared" ca="1" si="189"/>
        <v>318.90407215021173</v>
      </c>
      <c r="BI93">
        <f t="shared" ca="1" si="189"/>
        <v>317.20860262914562</v>
      </c>
      <c r="BJ93">
        <f t="shared" ca="1" si="189"/>
        <v>316.11164049360889</v>
      </c>
      <c r="BK93">
        <f t="shared" ca="1" si="189"/>
        <v>308.50126269173563</v>
      </c>
      <c r="BL93">
        <f t="shared" ca="1" si="189"/>
        <v>304.58949796254046</v>
      </c>
      <c r="BM93">
        <f t="shared" ca="1" si="189"/>
        <v>302.20090401250008</v>
      </c>
      <c r="BN93">
        <f t="shared" ca="1" si="189"/>
        <v>307.20432045316136</v>
      </c>
      <c r="BO93">
        <f t="shared" ca="1" si="189"/>
        <v>302.55073849658493</v>
      </c>
      <c r="BP93">
        <f t="shared" ca="1" si="189"/>
        <v>292.51726868751433</v>
      </c>
      <c r="BQ93">
        <f t="shared" ca="1" si="189"/>
        <v>302.04530205848221</v>
      </c>
      <c r="BR93">
        <f t="shared" ref="BR93:CU93" ca="1" si="190">BQ93*(1+$B$2*$B$4+$B$3*SQRT($B$4)*_xlfn.NORM.S.INV(RAND()))</f>
        <v>305.99153283851103</v>
      </c>
      <c r="BS93">
        <f t="shared" ca="1" si="190"/>
        <v>311.62708310853543</v>
      </c>
      <c r="BT93">
        <f t="shared" ca="1" si="190"/>
        <v>302.38664261986611</v>
      </c>
      <c r="BU93">
        <f t="shared" ca="1" si="190"/>
        <v>302.33784340663698</v>
      </c>
      <c r="BV93">
        <f t="shared" ca="1" si="190"/>
        <v>286.83120203777412</v>
      </c>
      <c r="BW93">
        <f t="shared" ca="1" si="190"/>
        <v>288.34998747935924</v>
      </c>
      <c r="BX93">
        <f t="shared" ca="1" si="190"/>
        <v>280.86880194890534</v>
      </c>
      <c r="BY93">
        <f t="shared" ca="1" si="190"/>
        <v>288.49828155177926</v>
      </c>
      <c r="BZ93">
        <f t="shared" ca="1" si="190"/>
        <v>305.51867193744454</v>
      </c>
      <c r="CA93">
        <f t="shared" ca="1" si="190"/>
        <v>298.84441721026411</v>
      </c>
      <c r="CB93">
        <f t="shared" ca="1" si="190"/>
        <v>317.71485534654988</v>
      </c>
      <c r="CC93">
        <f t="shared" ca="1" si="190"/>
        <v>320.98386582329198</v>
      </c>
      <c r="CD93">
        <f t="shared" ca="1" si="190"/>
        <v>331.51971490520117</v>
      </c>
      <c r="CE93">
        <f t="shared" ca="1" si="190"/>
        <v>329.56057860794391</v>
      </c>
      <c r="CF93">
        <f t="shared" ca="1" si="190"/>
        <v>338.73561234804964</v>
      </c>
      <c r="CG93">
        <f t="shared" ca="1" si="190"/>
        <v>343.38760169593587</v>
      </c>
      <c r="CH93">
        <f t="shared" ca="1" si="190"/>
        <v>348.89998127328846</v>
      </c>
      <c r="CI93">
        <f t="shared" ca="1" si="190"/>
        <v>354.19818487927756</v>
      </c>
      <c r="CJ93">
        <f t="shared" ca="1" si="190"/>
        <v>350.41660506199077</v>
      </c>
      <c r="CK93">
        <f t="shared" ca="1" si="190"/>
        <v>348.77945376870446</v>
      </c>
      <c r="CL93">
        <f t="shared" ca="1" si="190"/>
        <v>346.13574820819173</v>
      </c>
      <c r="CM93">
        <f t="shared" ca="1" si="190"/>
        <v>355.00008634254601</v>
      </c>
      <c r="CN93">
        <f t="shared" ca="1" si="190"/>
        <v>340.8945440890447</v>
      </c>
      <c r="CO93">
        <f t="shared" ca="1" si="190"/>
        <v>343.23703731883057</v>
      </c>
      <c r="CP93">
        <f t="shared" ca="1" si="190"/>
        <v>355.25839424373021</v>
      </c>
      <c r="CQ93">
        <f t="shared" ca="1" si="190"/>
        <v>361.04088478617695</v>
      </c>
      <c r="CR93">
        <f t="shared" ca="1" si="190"/>
        <v>365.48419468154395</v>
      </c>
      <c r="CS93">
        <f t="shared" ca="1" si="190"/>
        <v>370.45702497890181</v>
      </c>
      <c r="CT93">
        <f t="shared" ca="1" si="190"/>
        <v>373.47513472495604</v>
      </c>
      <c r="CU93">
        <f t="shared" ca="1" si="190"/>
        <v>370.42901579371892</v>
      </c>
      <c r="CV93">
        <f t="shared" ca="1" si="135"/>
        <v>150.42901579371892</v>
      </c>
      <c r="CW93">
        <f t="shared" ca="1" si="138"/>
        <v>144.63169768633119</v>
      </c>
    </row>
    <row r="94" spans="5:101" x14ac:dyDescent="0.2">
      <c r="E94">
        <v>222.13</v>
      </c>
      <c r="F94">
        <f t="shared" ref="F94:BQ94" ca="1" si="191">E94*(1+$B$2*$B$4+$B$3*SQRT($B$4)*_xlfn.NORM.S.INV(RAND()))</f>
        <v>221.75128974801362</v>
      </c>
      <c r="G94">
        <f t="shared" ca="1" si="191"/>
        <v>227.1377639337652</v>
      </c>
      <c r="H94">
        <f t="shared" ca="1" si="191"/>
        <v>219.10289234452924</v>
      </c>
      <c r="I94">
        <f t="shared" ca="1" si="191"/>
        <v>216.25600647175634</v>
      </c>
      <c r="J94">
        <f t="shared" ca="1" si="191"/>
        <v>217.42305325438406</v>
      </c>
      <c r="K94">
        <f t="shared" ca="1" si="191"/>
        <v>222.24282921631385</v>
      </c>
      <c r="L94">
        <f t="shared" ca="1" si="191"/>
        <v>213.16796049684461</v>
      </c>
      <c r="M94">
        <f t="shared" ca="1" si="191"/>
        <v>217.26623409421634</v>
      </c>
      <c r="N94">
        <f t="shared" ca="1" si="191"/>
        <v>222.98100090009441</v>
      </c>
      <c r="O94">
        <f t="shared" ca="1" si="191"/>
        <v>226.39654649315602</v>
      </c>
      <c r="P94">
        <f t="shared" ca="1" si="191"/>
        <v>229.73848677595456</v>
      </c>
      <c r="Q94">
        <f t="shared" ca="1" si="191"/>
        <v>227.49370728322546</v>
      </c>
      <c r="R94">
        <f t="shared" ca="1" si="191"/>
        <v>223.31481274313788</v>
      </c>
      <c r="S94">
        <f t="shared" ca="1" si="191"/>
        <v>228.95988534569096</v>
      </c>
      <c r="T94">
        <f t="shared" ca="1" si="191"/>
        <v>232.06802642551148</v>
      </c>
      <c r="U94">
        <f t="shared" ca="1" si="191"/>
        <v>236.8429123471621</v>
      </c>
      <c r="V94">
        <f t="shared" ca="1" si="191"/>
        <v>232.23824036758788</v>
      </c>
      <c r="W94">
        <f t="shared" ca="1" si="191"/>
        <v>240.42602676972052</v>
      </c>
      <c r="X94">
        <f t="shared" ca="1" si="191"/>
        <v>239.82626714507873</v>
      </c>
      <c r="Y94">
        <f t="shared" ca="1" si="191"/>
        <v>243.75483442488934</v>
      </c>
      <c r="Z94">
        <f t="shared" ca="1" si="191"/>
        <v>233.93628201274603</v>
      </c>
      <c r="AA94">
        <f t="shared" ca="1" si="191"/>
        <v>232.70580941915583</v>
      </c>
      <c r="AB94">
        <f t="shared" ca="1" si="191"/>
        <v>220.28834487124359</v>
      </c>
      <c r="AC94">
        <f t="shared" ca="1" si="191"/>
        <v>219.51099983795166</v>
      </c>
      <c r="AD94">
        <f t="shared" ca="1" si="191"/>
        <v>216.03530684449788</v>
      </c>
      <c r="AE94">
        <f t="shared" ca="1" si="191"/>
        <v>210.22625081671919</v>
      </c>
      <c r="AF94">
        <f t="shared" ca="1" si="191"/>
        <v>214.61125656126677</v>
      </c>
      <c r="AG94">
        <f t="shared" ca="1" si="191"/>
        <v>212.75598564603067</v>
      </c>
      <c r="AH94">
        <f t="shared" ca="1" si="191"/>
        <v>209.33771741003869</v>
      </c>
      <c r="AI94">
        <f t="shared" ca="1" si="191"/>
        <v>207.10350752559037</v>
      </c>
      <c r="AJ94">
        <f t="shared" ca="1" si="191"/>
        <v>205.85461913960464</v>
      </c>
      <c r="AK94">
        <f t="shared" ca="1" si="191"/>
        <v>206.73143759474593</v>
      </c>
      <c r="AL94">
        <f t="shared" ca="1" si="191"/>
        <v>205.62424634464568</v>
      </c>
      <c r="AM94">
        <f t="shared" ca="1" si="191"/>
        <v>206.67994544596536</v>
      </c>
      <c r="AN94">
        <f t="shared" ca="1" si="191"/>
        <v>204.74280579903001</v>
      </c>
      <c r="AO94">
        <f t="shared" ca="1" si="191"/>
        <v>196.39772513563008</v>
      </c>
      <c r="AP94">
        <f t="shared" ca="1" si="191"/>
        <v>205.8017274689978</v>
      </c>
      <c r="AQ94">
        <f t="shared" ca="1" si="191"/>
        <v>205.15791761470695</v>
      </c>
      <c r="AR94">
        <f t="shared" ca="1" si="191"/>
        <v>204.04758036354582</v>
      </c>
      <c r="AS94">
        <f t="shared" ca="1" si="191"/>
        <v>207.39733528581272</v>
      </c>
      <c r="AT94">
        <f t="shared" ca="1" si="191"/>
        <v>204.1655406209338</v>
      </c>
      <c r="AU94">
        <f t="shared" ca="1" si="191"/>
        <v>204.24565568756492</v>
      </c>
      <c r="AV94">
        <f t="shared" ca="1" si="191"/>
        <v>199.14979630449113</v>
      </c>
      <c r="AW94">
        <f t="shared" ca="1" si="191"/>
        <v>187.57909448290678</v>
      </c>
      <c r="AX94">
        <f t="shared" ca="1" si="191"/>
        <v>181.4669351770269</v>
      </c>
      <c r="AY94">
        <f t="shared" ca="1" si="191"/>
        <v>178.5674399607687</v>
      </c>
      <c r="AZ94">
        <f t="shared" ca="1" si="191"/>
        <v>177.24211529482722</v>
      </c>
      <c r="BA94">
        <f t="shared" ca="1" si="191"/>
        <v>183.19075937790268</v>
      </c>
      <c r="BB94">
        <f t="shared" ca="1" si="191"/>
        <v>183.46720254719324</v>
      </c>
      <c r="BC94">
        <f t="shared" ca="1" si="191"/>
        <v>186.75035042024359</v>
      </c>
      <c r="BD94">
        <f t="shared" ca="1" si="191"/>
        <v>191.14646455357772</v>
      </c>
      <c r="BE94">
        <f t="shared" ca="1" si="191"/>
        <v>185.32988226864987</v>
      </c>
      <c r="BF94">
        <f t="shared" ca="1" si="191"/>
        <v>179.6294180649686</v>
      </c>
      <c r="BG94">
        <f t="shared" ca="1" si="191"/>
        <v>176.98237185018331</v>
      </c>
      <c r="BH94">
        <f t="shared" ca="1" si="191"/>
        <v>176.11924048108239</v>
      </c>
      <c r="BI94">
        <f t="shared" ca="1" si="191"/>
        <v>180.22287603728228</v>
      </c>
      <c r="BJ94">
        <f t="shared" ca="1" si="191"/>
        <v>182.06447356008721</v>
      </c>
      <c r="BK94">
        <f t="shared" ca="1" si="191"/>
        <v>190.42983421756244</v>
      </c>
      <c r="BL94">
        <f t="shared" ca="1" si="191"/>
        <v>190.95943340772007</v>
      </c>
      <c r="BM94">
        <f t="shared" ca="1" si="191"/>
        <v>190.9253080694024</v>
      </c>
      <c r="BN94">
        <f t="shared" ca="1" si="191"/>
        <v>183.3596601149724</v>
      </c>
      <c r="BO94">
        <f t="shared" ca="1" si="191"/>
        <v>186.37446876282985</v>
      </c>
      <c r="BP94">
        <f t="shared" ca="1" si="191"/>
        <v>179.31109717911832</v>
      </c>
      <c r="BQ94">
        <f t="shared" ca="1" si="191"/>
        <v>176.36751445038078</v>
      </c>
      <c r="BR94">
        <f t="shared" ref="BR94:CU94" ca="1" si="192">BQ94*(1+$B$2*$B$4+$B$3*SQRT($B$4)*_xlfn.NORM.S.INV(RAND()))</f>
        <v>174.80505885397039</v>
      </c>
      <c r="BS94">
        <f t="shared" ca="1" si="192"/>
        <v>179.95961493853548</v>
      </c>
      <c r="BT94">
        <f t="shared" ca="1" si="192"/>
        <v>173.73966483091459</v>
      </c>
      <c r="BU94">
        <f t="shared" ca="1" si="192"/>
        <v>177.40128097655153</v>
      </c>
      <c r="BV94">
        <f t="shared" ca="1" si="192"/>
        <v>170.45874563920918</v>
      </c>
      <c r="BW94">
        <f t="shared" ca="1" si="192"/>
        <v>164.49945940264598</v>
      </c>
      <c r="BX94">
        <f t="shared" ca="1" si="192"/>
        <v>167.53517581615657</v>
      </c>
      <c r="BY94">
        <f t="shared" ca="1" si="192"/>
        <v>167.9545187377056</v>
      </c>
      <c r="BZ94">
        <f t="shared" ca="1" si="192"/>
        <v>171.97607606853015</v>
      </c>
      <c r="CA94">
        <f t="shared" ca="1" si="192"/>
        <v>172.29744782106704</v>
      </c>
      <c r="CB94">
        <f t="shared" ca="1" si="192"/>
        <v>173.44107864851992</v>
      </c>
      <c r="CC94">
        <f t="shared" ca="1" si="192"/>
        <v>180.29075383189752</v>
      </c>
      <c r="CD94">
        <f t="shared" ca="1" si="192"/>
        <v>183.10962966835757</v>
      </c>
      <c r="CE94">
        <f t="shared" ca="1" si="192"/>
        <v>187.4928226371355</v>
      </c>
      <c r="CF94">
        <f t="shared" ca="1" si="192"/>
        <v>184.19767149089481</v>
      </c>
      <c r="CG94">
        <f t="shared" ca="1" si="192"/>
        <v>192.7474926592771</v>
      </c>
      <c r="CH94">
        <f t="shared" ca="1" si="192"/>
        <v>192.59667922273408</v>
      </c>
      <c r="CI94">
        <f t="shared" ca="1" si="192"/>
        <v>196.05063320610773</v>
      </c>
      <c r="CJ94">
        <f t="shared" ca="1" si="192"/>
        <v>203.21266411361694</v>
      </c>
      <c r="CK94">
        <f t="shared" ca="1" si="192"/>
        <v>206.82600836250904</v>
      </c>
      <c r="CL94">
        <f t="shared" ca="1" si="192"/>
        <v>201.93523004679759</v>
      </c>
      <c r="CM94">
        <f t="shared" ca="1" si="192"/>
        <v>204.86495019734554</v>
      </c>
      <c r="CN94">
        <f t="shared" ca="1" si="192"/>
        <v>203.49939072786202</v>
      </c>
      <c r="CO94">
        <f t="shared" ca="1" si="192"/>
        <v>204.02588974606209</v>
      </c>
      <c r="CP94">
        <f t="shared" ca="1" si="192"/>
        <v>209.09425707912851</v>
      </c>
      <c r="CQ94">
        <f t="shared" ca="1" si="192"/>
        <v>203.84266753716122</v>
      </c>
      <c r="CR94">
        <f t="shared" ca="1" si="192"/>
        <v>209.92920947439214</v>
      </c>
      <c r="CS94">
        <f t="shared" ca="1" si="192"/>
        <v>212.3057768593651</v>
      </c>
      <c r="CT94">
        <f t="shared" ca="1" si="192"/>
        <v>220.623431005138</v>
      </c>
      <c r="CU94">
        <f t="shared" ca="1" si="192"/>
        <v>215.56096783010122</v>
      </c>
      <c r="CV94">
        <f t="shared" ca="1" si="135"/>
        <v>0</v>
      </c>
      <c r="CW94">
        <f t="shared" ca="1" si="138"/>
        <v>0</v>
      </c>
    </row>
    <row r="95" spans="5:101" x14ac:dyDescent="0.2">
      <c r="E95">
        <v>222.13</v>
      </c>
      <c r="F95">
        <f t="shared" ref="F95:BQ95" ca="1" si="193">E95*(1+$B$2*$B$4+$B$3*SQRT($B$4)*_xlfn.NORM.S.INV(RAND()))</f>
        <v>223.22221926264615</v>
      </c>
      <c r="G95">
        <f t="shared" ca="1" si="193"/>
        <v>225.50030598170991</v>
      </c>
      <c r="H95">
        <f t="shared" ca="1" si="193"/>
        <v>235.45611514055742</v>
      </c>
      <c r="I95">
        <f t="shared" ca="1" si="193"/>
        <v>243.25728419796954</v>
      </c>
      <c r="J95">
        <f t="shared" ca="1" si="193"/>
        <v>252.16474060564087</v>
      </c>
      <c r="K95">
        <f t="shared" ca="1" si="193"/>
        <v>248.15484678216697</v>
      </c>
      <c r="L95">
        <f t="shared" ca="1" si="193"/>
        <v>240.26522541101804</v>
      </c>
      <c r="M95">
        <f t="shared" ca="1" si="193"/>
        <v>232.79011952875553</v>
      </c>
      <c r="N95">
        <f t="shared" ca="1" si="193"/>
        <v>229.90355724500967</v>
      </c>
      <c r="O95">
        <f t="shared" ca="1" si="193"/>
        <v>237.23186239919806</v>
      </c>
      <c r="P95">
        <f t="shared" ca="1" si="193"/>
        <v>235.45511215387461</v>
      </c>
      <c r="Q95">
        <f t="shared" ca="1" si="193"/>
        <v>232.17534282562204</v>
      </c>
      <c r="R95">
        <f t="shared" ca="1" si="193"/>
        <v>228.83673056545274</v>
      </c>
      <c r="S95">
        <f t="shared" ca="1" si="193"/>
        <v>234.64511221963355</v>
      </c>
      <c r="T95">
        <f t="shared" ca="1" si="193"/>
        <v>235.15700203745138</v>
      </c>
      <c r="U95">
        <f t="shared" ca="1" si="193"/>
        <v>229.08595844522253</v>
      </c>
      <c r="V95">
        <f t="shared" ca="1" si="193"/>
        <v>232.3720108945748</v>
      </c>
      <c r="W95">
        <f t="shared" ca="1" si="193"/>
        <v>228.97371401177026</v>
      </c>
      <c r="X95">
        <f t="shared" ca="1" si="193"/>
        <v>231.48874326101028</v>
      </c>
      <c r="Y95">
        <f t="shared" ca="1" si="193"/>
        <v>233.28453597858575</v>
      </c>
      <c r="Z95">
        <f t="shared" ca="1" si="193"/>
        <v>230.82019809045192</v>
      </c>
      <c r="AA95">
        <f t="shared" ca="1" si="193"/>
        <v>228.23830861789097</v>
      </c>
      <c r="AB95">
        <f t="shared" ca="1" si="193"/>
        <v>227.10506022903508</v>
      </c>
      <c r="AC95">
        <f t="shared" ca="1" si="193"/>
        <v>222.47817374788045</v>
      </c>
      <c r="AD95">
        <f t="shared" ca="1" si="193"/>
        <v>214.54092545070563</v>
      </c>
      <c r="AE95">
        <f t="shared" ca="1" si="193"/>
        <v>211.72763323085317</v>
      </c>
      <c r="AF95">
        <f t="shared" ca="1" si="193"/>
        <v>207.86789805374897</v>
      </c>
      <c r="AG95">
        <f t="shared" ca="1" si="193"/>
        <v>209.30975135299292</v>
      </c>
      <c r="AH95">
        <f t="shared" ca="1" si="193"/>
        <v>194.38209389492101</v>
      </c>
      <c r="AI95">
        <f t="shared" ca="1" si="193"/>
        <v>191.38608296208307</v>
      </c>
      <c r="AJ95">
        <f t="shared" ca="1" si="193"/>
        <v>194.58383017554459</v>
      </c>
      <c r="AK95">
        <f t="shared" ca="1" si="193"/>
        <v>194.82787732987029</v>
      </c>
      <c r="AL95">
        <f t="shared" ca="1" si="193"/>
        <v>199.27167165049019</v>
      </c>
      <c r="AM95">
        <f t="shared" ca="1" si="193"/>
        <v>200.83276742407895</v>
      </c>
      <c r="AN95">
        <f t="shared" ca="1" si="193"/>
        <v>202.65208621009549</v>
      </c>
      <c r="AO95">
        <f t="shared" ca="1" si="193"/>
        <v>200.79077763649823</v>
      </c>
      <c r="AP95">
        <f t="shared" ca="1" si="193"/>
        <v>198.07879211939348</v>
      </c>
      <c r="AQ95">
        <f t="shared" ca="1" si="193"/>
        <v>205.19318541591363</v>
      </c>
      <c r="AR95">
        <f t="shared" ca="1" si="193"/>
        <v>204.08289061038079</v>
      </c>
      <c r="AS95">
        <f t="shared" ca="1" si="193"/>
        <v>186.49282720628889</v>
      </c>
      <c r="AT95">
        <f t="shared" ca="1" si="193"/>
        <v>176.21868318196493</v>
      </c>
      <c r="AU95">
        <f t="shared" ca="1" si="193"/>
        <v>177.7592076801435</v>
      </c>
      <c r="AV95">
        <f t="shared" ca="1" si="193"/>
        <v>175.60845282805067</v>
      </c>
      <c r="AW95">
        <f t="shared" ca="1" si="193"/>
        <v>172.16691619843667</v>
      </c>
      <c r="AX95">
        <f t="shared" ca="1" si="193"/>
        <v>172.8779667039814</v>
      </c>
      <c r="AY95">
        <f t="shared" ca="1" si="193"/>
        <v>167.71030863841898</v>
      </c>
      <c r="AZ95">
        <f t="shared" ca="1" si="193"/>
        <v>165.34279424124082</v>
      </c>
      <c r="BA95">
        <f t="shared" ca="1" si="193"/>
        <v>171.47599143334642</v>
      </c>
      <c r="BB95">
        <f t="shared" ca="1" si="193"/>
        <v>174.03605757989723</v>
      </c>
      <c r="BC95">
        <f t="shared" ca="1" si="193"/>
        <v>166.73502359889028</v>
      </c>
      <c r="BD95">
        <f t="shared" ca="1" si="193"/>
        <v>160.03098539343742</v>
      </c>
      <c r="BE95">
        <f t="shared" ca="1" si="193"/>
        <v>157.69493996762873</v>
      </c>
      <c r="BF95">
        <f t="shared" ca="1" si="193"/>
        <v>157.26328056687686</v>
      </c>
      <c r="BG95">
        <f t="shared" ca="1" si="193"/>
        <v>154.56070403733921</v>
      </c>
      <c r="BH95">
        <f t="shared" ca="1" si="193"/>
        <v>160.86317113192624</v>
      </c>
      <c r="BI95">
        <f t="shared" ca="1" si="193"/>
        <v>157.7729198814896</v>
      </c>
      <c r="BJ95">
        <f t="shared" ca="1" si="193"/>
        <v>155.43773306683121</v>
      </c>
      <c r="BK95">
        <f t="shared" ca="1" si="193"/>
        <v>156.93013289551496</v>
      </c>
      <c r="BL95">
        <f t="shared" ca="1" si="193"/>
        <v>157.17764450996506</v>
      </c>
      <c r="BM95">
        <f t="shared" ca="1" si="193"/>
        <v>160.72880808237443</v>
      </c>
      <c r="BN95">
        <f t="shared" ca="1" si="193"/>
        <v>161.40757839097722</v>
      </c>
      <c r="BO95">
        <f t="shared" ca="1" si="193"/>
        <v>165.4037198888029</v>
      </c>
      <c r="BP95">
        <f t="shared" ca="1" si="193"/>
        <v>165.07036357158307</v>
      </c>
      <c r="BQ95">
        <f t="shared" ca="1" si="193"/>
        <v>166.93016206529143</v>
      </c>
      <c r="BR95">
        <f t="shared" ref="BR95:CU95" ca="1" si="194">BQ95*(1+$B$2*$B$4+$B$3*SQRT($B$4)*_xlfn.NORM.S.INV(RAND()))</f>
        <v>173.90223581473353</v>
      </c>
      <c r="BS95">
        <f t="shared" ca="1" si="194"/>
        <v>169.49761828921285</v>
      </c>
      <c r="BT95">
        <f t="shared" ca="1" si="194"/>
        <v>166.27156659806678</v>
      </c>
      <c r="BU95">
        <f t="shared" ca="1" si="194"/>
        <v>167.67429339547149</v>
      </c>
      <c r="BV95">
        <f t="shared" ca="1" si="194"/>
        <v>167.71725512292994</v>
      </c>
      <c r="BW95">
        <f t="shared" ca="1" si="194"/>
        <v>168.46934090805252</v>
      </c>
      <c r="BX95">
        <f t="shared" ca="1" si="194"/>
        <v>167.86883509727321</v>
      </c>
      <c r="BY95">
        <f t="shared" ca="1" si="194"/>
        <v>165.00190093926085</v>
      </c>
      <c r="BZ95">
        <f t="shared" ca="1" si="194"/>
        <v>162.51684623160634</v>
      </c>
      <c r="CA95">
        <f t="shared" ca="1" si="194"/>
        <v>161.38415839600475</v>
      </c>
      <c r="CB95">
        <f t="shared" ca="1" si="194"/>
        <v>161.86169661567916</v>
      </c>
      <c r="CC95">
        <f t="shared" ca="1" si="194"/>
        <v>159.33958403097211</v>
      </c>
      <c r="CD95">
        <f t="shared" ca="1" si="194"/>
        <v>165.95992255436528</v>
      </c>
      <c r="CE95">
        <f t="shared" ca="1" si="194"/>
        <v>163.25757204992885</v>
      </c>
      <c r="CF95">
        <f t="shared" ca="1" si="194"/>
        <v>163.25735896829877</v>
      </c>
      <c r="CG95">
        <f t="shared" ca="1" si="194"/>
        <v>169.45736114949727</v>
      </c>
      <c r="CH95">
        <f t="shared" ca="1" si="194"/>
        <v>163.61640501060262</v>
      </c>
      <c r="CI95">
        <f t="shared" ca="1" si="194"/>
        <v>163.88877268912367</v>
      </c>
      <c r="CJ95">
        <f t="shared" ca="1" si="194"/>
        <v>166.89723169090144</v>
      </c>
      <c r="CK95">
        <f t="shared" ca="1" si="194"/>
        <v>162.61177386668029</v>
      </c>
      <c r="CL95">
        <f t="shared" ca="1" si="194"/>
        <v>153.57850623816447</v>
      </c>
      <c r="CM95">
        <f t="shared" ca="1" si="194"/>
        <v>152.68104618731851</v>
      </c>
      <c r="CN95">
        <f t="shared" ca="1" si="194"/>
        <v>150.14419969766951</v>
      </c>
      <c r="CO95">
        <f t="shared" ca="1" si="194"/>
        <v>152.38616461647482</v>
      </c>
      <c r="CP95">
        <f t="shared" ca="1" si="194"/>
        <v>152.45610628267499</v>
      </c>
      <c r="CQ95">
        <f t="shared" ca="1" si="194"/>
        <v>149.80346591427622</v>
      </c>
      <c r="CR95">
        <f t="shared" ca="1" si="194"/>
        <v>149.13936806754117</v>
      </c>
      <c r="CS95">
        <f t="shared" ca="1" si="194"/>
        <v>146.55165105159844</v>
      </c>
      <c r="CT95">
        <f t="shared" ca="1" si="194"/>
        <v>155.02384714658132</v>
      </c>
      <c r="CU95">
        <f t="shared" ca="1" si="194"/>
        <v>155.07226933611176</v>
      </c>
      <c r="CV95">
        <f t="shared" ca="1" si="135"/>
        <v>0</v>
      </c>
      <c r="CW95">
        <f t="shared" ca="1" si="138"/>
        <v>0</v>
      </c>
    </row>
    <row r="96" spans="5:101" x14ac:dyDescent="0.2">
      <c r="E96">
        <v>222.13</v>
      </c>
      <c r="F96">
        <f t="shared" ref="F96:BQ96" ca="1" si="195">E96*(1+$B$2*$B$4+$B$3*SQRT($B$4)*_xlfn.NORM.S.INV(RAND()))</f>
        <v>224.34729968514071</v>
      </c>
      <c r="G96">
        <f t="shared" ca="1" si="195"/>
        <v>225.00016195839282</v>
      </c>
      <c r="H96">
        <f t="shared" ca="1" si="195"/>
        <v>216.58944242977225</v>
      </c>
      <c r="I96">
        <f t="shared" ca="1" si="195"/>
        <v>218.90750143199287</v>
      </c>
      <c r="J96">
        <f t="shared" ca="1" si="195"/>
        <v>225.06303324232866</v>
      </c>
      <c r="K96">
        <f t="shared" ca="1" si="195"/>
        <v>231.47078087793142</v>
      </c>
      <c r="L96">
        <f t="shared" ca="1" si="195"/>
        <v>244.12326814099148</v>
      </c>
      <c r="M96">
        <f t="shared" ca="1" si="195"/>
        <v>241.15515819268646</v>
      </c>
      <c r="N96">
        <f t="shared" ca="1" si="195"/>
        <v>242.08058037229986</v>
      </c>
      <c r="O96">
        <f t="shared" ca="1" si="195"/>
        <v>241.57882209831976</v>
      </c>
      <c r="P96">
        <f t="shared" ca="1" si="195"/>
        <v>239.93707311429367</v>
      </c>
      <c r="Q96">
        <f t="shared" ca="1" si="195"/>
        <v>253.97210825673639</v>
      </c>
      <c r="R96">
        <f t="shared" ca="1" si="195"/>
        <v>255.43143001300837</v>
      </c>
      <c r="S96">
        <f t="shared" ca="1" si="195"/>
        <v>251.89742169040201</v>
      </c>
      <c r="T96">
        <f t="shared" ca="1" si="195"/>
        <v>237.94398542788636</v>
      </c>
      <c r="U96">
        <f t="shared" ca="1" si="195"/>
        <v>230.00045209573065</v>
      </c>
      <c r="V96">
        <f t="shared" ca="1" si="195"/>
        <v>227.29028343927635</v>
      </c>
      <c r="W96">
        <f t="shared" ca="1" si="195"/>
        <v>221.44130567757648</v>
      </c>
      <c r="X96">
        <f t="shared" ca="1" si="195"/>
        <v>221.74471144449754</v>
      </c>
      <c r="Y96">
        <f t="shared" ca="1" si="195"/>
        <v>218.43086426575584</v>
      </c>
      <c r="Z96">
        <f t="shared" ca="1" si="195"/>
        <v>224.45922443367124</v>
      </c>
      <c r="AA96">
        <f t="shared" ca="1" si="195"/>
        <v>215.07731766797343</v>
      </c>
      <c r="AB96">
        <f t="shared" ca="1" si="195"/>
        <v>213.31961603115028</v>
      </c>
      <c r="AC96">
        <f t="shared" ca="1" si="195"/>
        <v>212.36589405263857</v>
      </c>
      <c r="AD96">
        <f t="shared" ca="1" si="195"/>
        <v>213.99173352964729</v>
      </c>
      <c r="AE96">
        <f t="shared" ca="1" si="195"/>
        <v>206.65468630871254</v>
      </c>
      <c r="AF96">
        <f t="shared" ca="1" si="195"/>
        <v>216.0515652838497</v>
      </c>
      <c r="AG96">
        <f t="shared" ca="1" si="195"/>
        <v>212.10659899315209</v>
      </c>
      <c r="AH96">
        <f t="shared" ca="1" si="195"/>
        <v>218.4103627867303</v>
      </c>
      <c r="AI96">
        <f t="shared" ca="1" si="195"/>
        <v>220.51817014162538</v>
      </c>
      <c r="AJ96">
        <f t="shared" ca="1" si="195"/>
        <v>220.50753255397197</v>
      </c>
      <c r="AK96">
        <f t="shared" ca="1" si="195"/>
        <v>217.33588494833253</v>
      </c>
      <c r="AL96">
        <f t="shared" ca="1" si="195"/>
        <v>208.91552356767804</v>
      </c>
      <c r="AM96">
        <f t="shared" ca="1" si="195"/>
        <v>200.78340353093975</v>
      </c>
      <c r="AN96">
        <f t="shared" ca="1" si="195"/>
        <v>208.18544052167616</v>
      </c>
      <c r="AO96">
        <f t="shared" ca="1" si="195"/>
        <v>213.3586969805288</v>
      </c>
      <c r="AP96">
        <f t="shared" ca="1" si="195"/>
        <v>219.33666335573375</v>
      </c>
      <c r="AQ96">
        <f t="shared" ca="1" si="195"/>
        <v>220.60352133023159</v>
      </c>
      <c r="AR96">
        <f t="shared" ca="1" si="195"/>
        <v>217.02189971625216</v>
      </c>
      <c r="AS96">
        <f t="shared" ca="1" si="195"/>
        <v>224.9533987267977</v>
      </c>
      <c r="AT96">
        <f t="shared" ca="1" si="195"/>
        <v>220.67200607515724</v>
      </c>
      <c r="AU96">
        <f t="shared" ca="1" si="195"/>
        <v>227.99822057880019</v>
      </c>
      <c r="AV96">
        <f t="shared" ca="1" si="195"/>
        <v>237.72485995199369</v>
      </c>
      <c r="AW96">
        <f t="shared" ca="1" si="195"/>
        <v>244.70810766572811</v>
      </c>
      <c r="AX96">
        <f t="shared" ca="1" si="195"/>
        <v>244.05179485985775</v>
      </c>
      <c r="AY96">
        <f t="shared" ca="1" si="195"/>
        <v>242.95985890268048</v>
      </c>
      <c r="AZ96">
        <f t="shared" ca="1" si="195"/>
        <v>242.50323545226365</v>
      </c>
      <c r="BA96">
        <f t="shared" ca="1" si="195"/>
        <v>229.6313146169816</v>
      </c>
      <c r="BB96">
        <f t="shared" ca="1" si="195"/>
        <v>229.83175115716423</v>
      </c>
      <c r="BC96">
        <f t="shared" ca="1" si="195"/>
        <v>232.45163072842999</v>
      </c>
      <c r="BD96">
        <f t="shared" ca="1" si="195"/>
        <v>226.77185240275301</v>
      </c>
      <c r="BE96">
        <f t="shared" ca="1" si="195"/>
        <v>228.81102447138875</v>
      </c>
      <c r="BF96">
        <f t="shared" ca="1" si="195"/>
        <v>219.63828462986592</v>
      </c>
      <c r="BG96">
        <f t="shared" ca="1" si="195"/>
        <v>216.90095319280272</v>
      </c>
      <c r="BH96">
        <f t="shared" ca="1" si="195"/>
        <v>220.78064491666632</v>
      </c>
      <c r="BI96">
        <f t="shared" ca="1" si="195"/>
        <v>218.04285704540015</v>
      </c>
      <c r="BJ96">
        <f t="shared" ca="1" si="195"/>
        <v>211.53834711053446</v>
      </c>
      <c r="BK96">
        <f t="shared" ca="1" si="195"/>
        <v>210.31211636470564</v>
      </c>
      <c r="BL96">
        <f t="shared" ca="1" si="195"/>
        <v>200.6508296784782</v>
      </c>
      <c r="BM96">
        <f t="shared" ca="1" si="195"/>
        <v>197.52778234853415</v>
      </c>
      <c r="BN96">
        <f t="shared" ca="1" si="195"/>
        <v>192.19746081081536</v>
      </c>
      <c r="BO96">
        <f t="shared" ca="1" si="195"/>
        <v>198.74243333765975</v>
      </c>
      <c r="BP96">
        <f t="shared" ca="1" si="195"/>
        <v>198.13206353681844</v>
      </c>
      <c r="BQ96">
        <f t="shared" ca="1" si="195"/>
        <v>196.65156280732668</v>
      </c>
      <c r="BR96">
        <f t="shared" ref="BR96:CU96" ca="1" si="196">BQ96*(1+$B$2*$B$4+$B$3*SQRT($B$4)*_xlfn.NORM.S.INV(RAND()))</f>
        <v>204.82336424400043</v>
      </c>
      <c r="BS96">
        <f t="shared" ca="1" si="196"/>
        <v>211.3681918236957</v>
      </c>
      <c r="BT96">
        <f t="shared" ca="1" si="196"/>
        <v>209.18554839800322</v>
      </c>
      <c r="BU96">
        <f t="shared" ca="1" si="196"/>
        <v>212.2384910950212</v>
      </c>
      <c r="BV96">
        <f t="shared" ca="1" si="196"/>
        <v>218.48452256039388</v>
      </c>
      <c r="BW96">
        <f t="shared" ca="1" si="196"/>
        <v>213.0148288931334</v>
      </c>
      <c r="BX96">
        <f t="shared" ca="1" si="196"/>
        <v>212.50591924392941</v>
      </c>
      <c r="BY96">
        <f t="shared" ca="1" si="196"/>
        <v>201.83007337400736</v>
      </c>
      <c r="BZ96">
        <f t="shared" ca="1" si="196"/>
        <v>208.18999254447988</v>
      </c>
      <c r="CA96">
        <f t="shared" ca="1" si="196"/>
        <v>215.47923179778016</v>
      </c>
      <c r="CB96">
        <f t="shared" ca="1" si="196"/>
        <v>212.34047118693638</v>
      </c>
      <c r="CC96">
        <f t="shared" ca="1" si="196"/>
        <v>217.69491112535883</v>
      </c>
      <c r="CD96">
        <f t="shared" ca="1" si="196"/>
        <v>214.39638036102349</v>
      </c>
      <c r="CE96">
        <f t="shared" ca="1" si="196"/>
        <v>208.48727955636517</v>
      </c>
      <c r="CF96">
        <f t="shared" ca="1" si="196"/>
        <v>215.66161604868213</v>
      </c>
      <c r="CG96">
        <f t="shared" ca="1" si="196"/>
        <v>211.61325379673121</v>
      </c>
      <c r="CH96">
        <f t="shared" ca="1" si="196"/>
        <v>212.67183220008639</v>
      </c>
      <c r="CI96">
        <f t="shared" ca="1" si="196"/>
        <v>221.8501939134558</v>
      </c>
      <c r="CJ96">
        <f t="shared" ca="1" si="196"/>
        <v>223.743996098389</v>
      </c>
      <c r="CK96">
        <f t="shared" ca="1" si="196"/>
        <v>222.93861036487016</v>
      </c>
      <c r="CL96">
        <f t="shared" ca="1" si="196"/>
        <v>221.29194893624634</v>
      </c>
      <c r="CM96">
        <f t="shared" ca="1" si="196"/>
        <v>217.96968316514537</v>
      </c>
      <c r="CN96">
        <f t="shared" ca="1" si="196"/>
        <v>223.77393455104232</v>
      </c>
      <c r="CO96">
        <f t="shared" ca="1" si="196"/>
        <v>223.73664292121967</v>
      </c>
      <c r="CP96">
        <f t="shared" ca="1" si="196"/>
        <v>224.38541539395291</v>
      </c>
      <c r="CQ96">
        <f t="shared" ca="1" si="196"/>
        <v>217.10612909102184</v>
      </c>
      <c r="CR96">
        <f t="shared" ca="1" si="196"/>
        <v>212.98565712934086</v>
      </c>
      <c r="CS96">
        <f t="shared" ca="1" si="196"/>
        <v>217.13294005206129</v>
      </c>
      <c r="CT96">
        <f t="shared" ca="1" si="196"/>
        <v>206.09130077305221</v>
      </c>
      <c r="CU96">
        <f t="shared" ca="1" si="196"/>
        <v>204.33502266626525</v>
      </c>
      <c r="CV96">
        <f t="shared" ca="1" si="135"/>
        <v>0</v>
      </c>
      <c r="CW96">
        <f t="shared" ca="1" si="138"/>
        <v>0</v>
      </c>
    </row>
    <row r="97" spans="5:101" x14ac:dyDescent="0.2">
      <c r="E97">
        <v>222.13</v>
      </c>
      <c r="F97">
        <f t="shared" ref="F97:BQ97" ca="1" si="197">E97*(1+$B$2*$B$4+$B$3*SQRT($B$4)*_xlfn.NORM.S.INV(RAND()))</f>
        <v>219.45935955051246</v>
      </c>
      <c r="G97">
        <f t="shared" ca="1" si="197"/>
        <v>215.54026794043506</v>
      </c>
      <c r="H97">
        <f t="shared" ca="1" si="197"/>
        <v>218.61897090266146</v>
      </c>
      <c r="I97">
        <f t="shared" ca="1" si="197"/>
        <v>209.64397028559631</v>
      </c>
      <c r="J97">
        <f t="shared" ca="1" si="197"/>
        <v>206.69062980580816</v>
      </c>
      <c r="K97">
        <f t="shared" ca="1" si="197"/>
        <v>212.94130393641723</v>
      </c>
      <c r="L97">
        <f t="shared" ca="1" si="197"/>
        <v>222.28916229515119</v>
      </c>
      <c r="M97">
        <f t="shared" ca="1" si="197"/>
        <v>219.76186939886301</v>
      </c>
      <c r="N97">
        <f t="shared" ca="1" si="197"/>
        <v>221.07587622683886</v>
      </c>
      <c r="O97">
        <f t="shared" ca="1" si="197"/>
        <v>221.23557482286398</v>
      </c>
      <c r="P97">
        <f t="shared" ca="1" si="197"/>
        <v>217.33961429627962</v>
      </c>
      <c r="Q97">
        <f t="shared" ca="1" si="197"/>
        <v>216.04046068864929</v>
      </c>
      <c r="R97">
        <f t="shared" ca="1" si="197"/>
        <v>215.80280212502123</v>
      </c>
      <c r="S97">
        <f t="shared" ca="1" si="197"/>
        <v>214.4651758753125</v>
      </c>
      <c r="T97">
        <f t="shared" ca="1" si="197"/>
        <v>207.43986343289197</v>
      </c>
      <c r="U97">
        <f t="shared" ca="1" si="197"/>
        <v>200.30119735823391</v>
      </c>
      <c r="V97">
        <f t="shared" ca="1" si="197"/>
        <v>192.57507092107841</v>
      </c>
      <c r="W97">
        <f t="shared" ca="1" si="197"/>
        <v>187.2436048403832</v>
      </c>
      <c r="X97">
        <f t="shared" ca="1" si="197"/>
        <v>176.19578875507901</v>
      </c>
      <c r="Y97">
        <f t="shared" ca="1" si="197"/>
        <v>167.87504114211717</v>
      </c>
      <c r="Z97">
        <f t="shared" ca="1" si="197"/>
        <v>163.05351407437885</v>
      </c>
      <c r="AA97">
        <f t="shared" ca="1" si="197"/>
        <v>163.13997674302513</v>
      </c>
      <c r="AB97">
        <f t="shared" ca="1" si="197"/>
        <v>162.01035737316943</v>
      </c>
      <c r="AC97">
        <f t="shared" ca="1" si="197"/>
        <v>169.67265443150808</v>
      </c>
      <c r="AD97">
        <f t="shared" ca="1" si="197"/>
        <v>174.37578777755459</v>
      </c>
      <c r="AE97">
        <f t="shared" ca="1" si="197"/>
        <v>173.55177739727904</v>
      </c>
      <c r="AF97">
        <f t="shared" ca="1" si="197"/>
        <v>170.08081912702863</v>
      </c>
      <c r="AG97">
        <f t="shared" ca="1" si="197"/>
        <v>167.68828385096154</v>
      </c>
      <c r="AH97">
        <f t="shared" ca="1" si="197"/>
        <v>170.14711363928538</v>
      </c>
      <c r="AI97">
        <f t="shared" ca="1" si="197"/>
        <v>173.00832963028674</v>
      </c>
      <c r="AJ97">
        <f t="shared" ca="1" si="197"/>
        <v>170.58065334932249</v>
      </c>
      <c r="AK97">
        <f t="shared" ca="1" si="197"/>
        <v>175.13584224338496</v>
      </c>
      <c r="AL97">
        <f t="shared" ca="1" si="197"/>
        <v>178.10658094728032</v>
      </c>
      <c r="AM97">
        <f t="shared" ca="1" si="197"/>
        <v>178.20540963414271</v>
      </c>
      <c r="AN97">
        <f t="shared" ca="1" si="197"/>
        <v>180.34776057061322</v>
      </c>
      <c r="AO97">
        <f t="shared" ca="1" si="197"/>
        <v>172.29968731981413</v>
      </c>
      <c r="AP97">
        <f t="shared" ca="1" si="197"/>
        <v>172.87055831737385</v>
      </c>
      <c r="AQ97">
        <f t="shared" ca="1" si="197"/>
        <v>170.00081591318266</v>
      </c>
      <c r="AR97">
        <f t="shared" ca="1" si="197"/>
        <v>173.14075246859252</v>
      </c>
      <c r="AS97">
        <f t="shared" ca="1" si="197"/>
        <v>173.43672957990941</v>
      </c>
      <c r="AT97">
        <f t="shared" ca="1" si="197"/>
        <v>179.79367782639815</v>
      </c>
      <c r="AU97">
        <f t="shared" ca="1" si="197"/>
        <v>173.91922842544739</v>
      </c>
      <c r="AV97">
        <f t="shared" ca="1" si="197"/>
        <v>173.55130214156299</v>
      </c>
      <c r="AW97">
        <f t="shared" ca="1" si="197"/>
        <v>174.91711945418194</v>
      </c>
      <c r="AX97">
        <f t="shared" ca="1" si="197"/>
        <v>172.23499590372526</v>
      </c>
      <c r="AY97">
        <f t="shared" ca="1" si="197"/>
        <v>165.00730167287898</v>
      </c>
      <c r="AZ97">
        <f t="shared" ca="1" si="197"/>
        <v>161.33928136960904</v>
      </c>
      <c r="BA97">
        <f t="shared" ca="1" si="197"/>
        <v>157.78811227471172</v>
      </c>
      <c r="BB97">
        <f t="shared" ca="1" si="197"/>
        <v>154.87148737465566</v>
      </c>
      <c r="BC97">
        <f t="shared" ca="1" si="197"/>
        <v>156.56080448823317</v>
      </c>
      <c r="BD97">
        <f t="shared" ca="1" si="197"/>
        <v>152.90170002708732</v>
      </c>
      <c r="BE97">
        <f t="shared" ca="1" si="197"/>
        <v>159.67175797561188</v>
      </c>
      <c r="BF97">
        <f t="shared" ca="1" si="197"/>
        <v>158.13334420938776</v>
      </c>
      <c r="BG97">
        <f t="shared" ca="1" si="197"/>
        <v>156.16297541392902</v>
      </c>
      <c r="BH97">
        <f t="shared" ca="1" si="197"/>
        <v>152.11114701773067</v>
      </c>
      <c r="BI97">
        <f t="shared" ca="1" si="197"/>
        <v>152.50489964319911</v>
      </c>
      <c r="BJ97">
        <f t="shared" ca="1" si="197"/>
        <v>148.26229227043837</v>
      </c>
      <c r="BK97">
        <f t="shared" ca="1" si="197"/>
        <v>147.46642771532314</v>
      </c>
      <c r="BL97">
        <f t="shared" ca="1" si="197"/>
        <v>146.61455067159787</v>
      </c>
      <c r="BM97">
        <f t="shared" ca="1" si="197"/>
        <v>149.43205191568225</v>
      </c>
      <c r="BN97">
        <f t="shared" ca="1" si="197"/>
        <v>153.83966437171159</v>
      </c>
      <c r="BO97">
        <f t="shared" ca="1" si="197"/>
        <v>153.20654276045818</v>
      </c>
      <c r="BP97">
        <f t="shared" ca="1" si="197"/>
        <v>147.06241578135746</v>
      </c>
      <c r="BQ97">
        <f t="shared" ca="1" si="197"/>
        <v>144.24277676339108</v>
      </c>
      <c r="BR97">
        <f t="shared" ref="BR97:CU97" ca="1" si="198">BQ97*(1+$B$2*$B$4+$B$3*SQRT($B$4)*_xlfn.NORM.S.INV(RAND()))</f>
        <v>149.4266382360955</v>
      </c>
      <c r="BS97">
        <f t="shared" ca="1" si="198"/>
        <v>148.39241089111877</v>
      </c>
      <c r="BT97">
        <f t="shared" ca="1" si="198"/>
        <v>150.68823548621944</v>
      </c>
      <c r="BU97">
        <f t="shared" ca="1" si="198"/>
        <v>149.65727518877506</v>
      </c>
      <c r="BV97">
        <f t="shared" ca="1" si="198"/>
        <v>143.34166444174514</v>
      </c>
      <c r="BW97">
        <f t="shared" ca="1" si="198"/>
        <v>145.04562649463281</v>
      </c>
      <c r="BX97">
        <f t="shared" ca="1" si="198"/>
        <v>147.03629670280517</v>
      </c>
      <c r="BY97">
        <f t="shared" ca="1" si="198"/>
        <v>145.61981178157546</v>
      </c>
      <c r="BZ97">
        <f t="shared" ca="1" si="198"/>
        <v>145.41346934776843</v>
      </c>
      <c r="CA97">
        <f t="shared" ca="1" si="198"/>
        <v>145.32136772480257</v>
      </c>
      <c r="CB97">
        <f t="shared" ca="1" si="198"/>
        <v>151.5291985906334</v>
      </c>
      <c r="CC97">
        <f t="shared" ca="1" si="198"/>
        <v>148.17037169505949</v>
      </c>
      <c r="CD97">
        <f t="shared" ca="1" si="198"/>
        <v>147.24792768973654</v>
      </c>
      <c r="CE97">
        <f t="shared" ca="1" si="198"/>
        <v>142.492313757875</v>
      </c>
      <c r="CF97">
        <f t="shared" ca="1" si="198"/>
        <v>136.79821346437038</v>
      </c>
      <c r="CG97">
        <f t="shared" ca="1" si="198"/>
        <v>139.39769091449932</v>
      </c>
      <c r="CH97">
        <f t="shared" ca="1" si="198"/>
        <v>140.65128354471744</v>
      </c>
      <c r="CI97">
        <f t="shared" ca="1" si="198"/>
        <v>139.32293416122937</v>
      </c>
      <c r="CJ97">
        <f t="shared" ca="1" si="198"/>
        <v>138.43965616948188</v>
      </c>
      <c r="CK97">
        <f t="shared" ca="1" si="198"/>
        <v>141.35020230680306</v>
      </c>
      <c r="CL97">
        <f t="shared" ca="1" si="198"/>
        <v>142.85671182669685</v>
      </c>
      <c r="CM97">
        <f t="shared" ca="1" si="198"/>
        <v>137.63811189196215</v>
      </c>
      <c r="CN97">
        <f t="shared" ca="1" si="198"/>
        <v>135.54936321351141</v>
      </c>
      <c r="CO97">
        <f t="shared" ca="1" si="198"/>
        <v>137.08841576167774</v>
      </c>
      <c r="CP97">
        <f t="shared" ca="1" si="198"/>
        <v>137.24804931925834</v>
      </c>
      <c r="CQ97">
        <f t="shared" ca="1" si="198"/>
        <v>137.34821520923404</v>
      </c>
      <c r="CR97">
        <f t="shared" ca="1" si="198"/>
        <v>138.74909934988514</v>
      </c>
      <c r="CS97">
        <f t="shared" ca="1" si="198"/>
        <v>140.23939065956822</v>
      </c>
      <c r="CT97">
        <f t="shared" ca="1" si="198"/>
        <v>138.803550874878</v>
      </c>
      <c r="CU97">
        <f t="shared" ca="1" si="198"/>
        <v>139.47679750891322</v>
      </c>
      <c r="CV97">
        <f ca="1">MAX(CU97-$CU$102,0)</f>
        <v>0</v>
      </c>
      <c r="CW97">
        <f t="shared" ca="1" si="138"/>
        <v>0</v>
      </c>
    </row>
    <row r="98" spans="5:101" x14ac:dyDescent="0.2">
      <c r="E98">
        <v>222.13</v>
      </c>
      <c r="F98">
        <f t="shared" ref="F98:BQ98" ca="1" si="199">E98*(1+$B$2*$B$4+$B$3*SQRT($B$4)*_xlfn.NORM.S.INV(RAND()))</f>
        <v>217.2968422220271</v>
      </c>
      <c r="G98">
        <f t="shared" ca="1" si="199"/>
        <v>221.01854017531574</v>
      </c>
      <c r="H98">
        <f t="shared" ca="1" si="199"/>
        <v>222.13343920768924</v>
      </c>
      <c r="I98">
        <f t="shared" ca="1" si="199"/>
        <v>228.229315369641</v>
      </c>
      <c r="J98">
        <f t="shared" ca="1" si="199"/>
        <v>226.60136813330305</v>
      </c>
      <c r="K98">
        <f t="shared" ca="1" si="199"/>
        <v>240.49393294760102</v>
      </c>
      <c r="L98">
        <f t="shared" ca="1" si="199"/>
        <v>240.54545871118609</v>
      </c>
      <c r="M98">
        <f t="shared" ca="1" si="199"/>
        <v>233.32101284342929</v>
      </c>
      <c r="N98">
        <f t="shared" ca="1" si="199"/>
        <v>235.99148183376991</v>
      </c>
      <c r="O98">
        <f t="shared" ca="1" si="199"/>
        <v>239.12332116442721</v>
      </c>
      <c r="P98">
        <f t="shared" ca="1" si="199"/>
        <v>242.75829379104314</v>
      </c>
      <c r="Q98">
        <f t="shared" ca="1" si="199"/>
        <v>247.64398115362809</v>
      </c>
      <c r="R98">
        <f t="shared" ca="1" si="199"/>
        <v>252.82684512366947</v>
      </c>
      <c r="S98">
        <f t="shared" ca="1" si="199"/>
        <v>242.73862326513239</v>
      </c>
      <c r="T98">
        <f t="shared" ca="1" si="199"/>
        <v>242.68311953871611</v>
      </c>
      <c r="U98">
        <f t="shared" ca="1" si="199"/>
        <v>238.33833320894072</v>
      </c>
      <c r="V98">
        <f t="shared" ca="1" si="199"/>
        <v>232.37626273335343</v>
      </c>
      <c r="W98">
        <f t="shared" ca="1" si="199"/>
        <v>231.95720399961047</v>
      </c>
      <c r="X98">
        <f t="shared" ca="1" si="199"/>
        <v>228.48407498566982</v>
      </c>
      <c r="Y98">
        <f t="shared" ca="1" si="199"/>
        <v>232.86877717843231</v>
      </c>
      <c r="Z98">
        <f t="shared" ca="1" si="199"/>
        <v>233.98257248155417</v>
      </c>
      <c r="AA98">
        <f t="shared" ca="1" si="199"/>
        <v>237.98704181878739</v>
      </c>
      <c r="AB98">
        <f t="shared" ca="1" si="199"/>
        <v>240.49512847824562</v>
      </c>
      <c r="AC98">
        <f t="shared" ca="1" si="199"/>
        <v>236.68299428696795</v>
      </c>
      <c r="AD98">
        <f t="shared" ca="1" si="199"/>
        <v>235.73012355046791</v>
      </c>
      <c r="AE98">
        <f t="shared" ca="1" si="199"/>
        <v>237.12476496065466</v>
      </c>
      <c r="AF98">
        <f t="shared" ca="1" si="199"/>
        <v>233.32391385104947</v>
      </c>
      <c r="AG98">
        <f t="shared" ca="1" si="199"/>
        <v>239.88405968228085</v>
      </c>
      <c r="AH98">
        <f t="shared" ca="1" si="199"/>
        <v>245.47817444656559</v>
      </c>
      <c r="AI98">
        <f t="shared" ca="1" si="199"/>
        <v>246.83808684751321</v>
      </c>
      <c r="AJ98">
        <f t="shared" ca="1" si="199"/>
        <v>242.24068163012387</v>
      </c>
      <c r="AK98">
        <f t="shared" ca="1" si="199"/>
        <v>236.43163551834292</v>
      </c>
      <c r="AL98">
        <f t="shared" ca="1" si="199"/>
        <v>250.59339180327945</v>
      </c>
      <c r="AM98">
        <f t="shared" ca="1" si="199"/>
        <v>261.84838969046348</v>
      </c>
      <c r="AN98">
        <f t="shared" ca="1" si="199"/>
        <v>265.88352301159171</v>
      </c>
      <c r="AO98">
        <f t="shared" ca="1" si="199"/>
        <v>273.24134177244429</v>
      </c>
      <c r="AP98">
        <f t="shared" ca="1" si="199"/>
        <v>266.6016304179488</v>
      </c>
      <c r="AQ98">
        <f t="shared" ca="1" si="199"/>
        <v>269.60046360567623</v>
      </c>
      <c r="AR98">
        <f t="shared" ca="1" si="199"/>
        <v>264.17769739162503</v>
      </c>
      <c r="AS98">
        <f t="shared" ca="1" si="199"/>
        <v>265.45759895089981</v>
      </c>
      <c r="AT98">
        <f t="shared" ca="1" si="199"/>
        <v>251.4474135638018</v>
      </c>
      <c r="AU98">
        <f t="shared" ca="1" si="199"/>
        <v>246.27486789777066</v>
      </c>
      <c r="AV98">
        <f t="shared" ca="1" si="199"/>
        <v>255.93975124711051</v>
      </c>
      <c r="AW98">
        <f t="shared" ca="1" si="199"/>
        <v>261.0753759686209</v>
      </c>
      <c r="AX98">
        <f t="shared" ca="1" si="199"/>
        <v>264.8592648310144</v>
      </c>
      <c r="AY98">
        <f t="shared" ca="1" si="199"/>
        <v>262.44325745923931</v>
      </c>
      <c r="AZ98">
        <f t="shared" ca="1" si="199"/>
        <v>266.75468825745855</v>
      </c>
      <c r="BA98">
        <f t="shared" ca="1" si="199"/>
        <v>270.76639348917098</v>
      </c>
      <c r="BB98">
        <f t="shared" ca="1" si="199"/>
        <v>267.23906184240013</v>
      </c>
      <c r="BC98">
        <f t="shared" ca="1" si="199"/>
        <v>272.48963369178347</v>
      </c>
      <c r="BD98">
        <f t="shared" ca="1" si="199"/>
        <v>263.54031556435768</v>
      </c>
      <c r="BE98">
        <f t="shared" ca="1" si="199"/>
        <v>266.29473369236615</v>
      </c>
      <c r="BF98">
        <f t="shared" ca="1" si="199"/>
        <v>266.49865296059352</v>
      </c>
      <c r="BG98">
        <f t="shared" ca="1" si="199"/>
        <v>261.04591712183924</v>
      </c>
      <c r="BH98">
        <f t="shared" ca="1" si="199"/>
        <v>256.4342537909626</v>
      </c>
      <c r="BI98">
        <f t="shared" ca="1" si="199"/>
        <v>255.6083636379368</v>
      </c>
      <c r="BJ98">
        <f t="shared" ca="1" si="199"/>
        <v>255.67196425550841</v>
      </c>
      <c r="BK98">
        <f t="shared" ca="1" si="199"/>
        <v>258.17574614789004</v>
      </c>
      <c r="BL98">
        <f t="shared" ca="1" si="199"/>
        <v>257.60866780376222</v>
      </c>
      <c r="BM98">
        <f t="shared" ca="1" si="199"/>
        <v>264.99892041011935</v>
      </c>
      <c r="BN98">
        <f t="shared" ca="1" si="199"/>
        <v>273.49352409002819</v>
      </c>
      <c r="BO98">
        <f t="shared" ca="1" si="199"/>
        <v>273.34296341568296</v>
      </c>
      <c r="BP98">
        <f t="shared" ca="1" si="199"/>
        <v>276.42143086820573</v>
      </c>
      <c r="BQ98">
        <f t="shared" ca="1" si="199"/>
        <v>280.99954384206364</v>
      </c>
      <c r="BR98">
        <f t="shared" ref="BR98:CU98" ca="1" si="200">BQ98*(1+$B$2*$B$4+$B$3*SQRT($B$4)*_xlfn.NORM.S.INV(RAND()))</f>
        <v>283.31842462540175</v>
      </c>
      <c r="BS98">
        <f t="shared" ca="1" si="200"/>
        <v>284.12783570922392</v>
      </c>
      <c r="BT98">
        <f t="shared" ca="1" si="200"/>
        <v>284.64587377571979</v>
      </c>
      <c r="BU98">
        <f t="shared" ca="1" si="200"/>
        <v>285.3847297501967</v>
      </c>
      <c r="BV98">
        <f t="shared" ca="1" si="200"/>
        <v>292.29168097494562</v>
      </c>
      <c r="BW98">
        <f t="shared" ca="1" si="200"/>
        <v>307.95669691890845</v>
      </c>
      <c r="BX98">
        <f t="shared" ca="1" si="200"/>
        <v>296.34141237654234</v>
      </c>
      <c r="BY98">
        <f t="shared" ca="1" si="200"/>
        <v>305.82031293937837</v>
      </c>
      <c r="BZ98">
        <f t="shared" ca="1" si="200"/>
        <v>302.3634038800131</v>
      </c>
      <c r="CA98">
        <f t="shared" ca="1" si="200"/>
        <v>317.31310878279328</v>
      </c>
      <c r="CB98">
        <f t="shared" ca="1" si="200"/>
        <v>325.92929998508265</v>
      </c>
      <c r="CC98">
        <f t="shared" ca="1" si="200"/>
        <v>339.59419275409454</v>
      </c>
      <c r="CD98">
        <f t="shared" ca="1" si="200"/>
        <v>346.16752953929495</v>
      </c>
      <c r="CE98">
        <f t="shared" ca="1" si="200"/>
        <v>346.41067350631619</v>
      </c>
      <c r="CF98">
        <f t="shared" ca="1" si="200"/>
        <v>338.23197003498495</v>
      </c>
      <c r="CG98">
        <f t="shared" ca="1" si="200"/>
        <v>348.36207691684461</v>
      </c>
      <c r="CH98">
        <f t="shared" ca="1" si="200"/>
        <v>345.95519761698398</v>
      </c>
      <c r="CI98">
        <f t="shared" ca="1" si="200"/>
        <v>354.83914293761757</v>
      </c>
      <c r="CJ98">
        <f t="shared" ca="1" si="200"/>
        <v>350.33403920504838</v>
      </c>
      <c r="CK98">
        <f t="shared" ca="1" si="200"/>
        <v>360.09145000418857</v>
      </c>
      <c r="CL98">
        <f t="shared" ca="1" si="200"/>
        <v>364.20608589162811</v>
      </c>
      <c r="CM98">
        <f t="shared" ca="1" si="200"/>
        <v>348.50698206461584</v>
      </c>
      <c r="CN98">
        <f t="shared" ca="1" si="200"/>
        <v>350.08694122818349</v>
      </c>
      <c r="CO98">
        <f t="shared" ca="1" si="200"/>
        <v>350.01361826390627</v>
      </c>
      <c r="CP98">
        <f t="shared" ca="1" si="200"/>
        <v>349.97214780740774</v>
      </c>
      <c r="CQ98">
        <f t="shared" ca="1" si="200"/>
        <v>337.82354009904498</v>
      </c>
      <c r="CR98">
        <f t="shared" ca="1" si="200"/>
        <v>338.30120222184723</v>
      </c>
      <c r="CS98">
        <f t="shared" ca="1" si="200"/>
        <v>335.89481236312719</v>
      </c>
      <c r="CT98">
        <f t="shared" ca="1" si="200"/>
        <v>333.78076549445638</v>
      </c>
      <c r="CU98">
        <f t="shared" ca="1" si="200"/>
        <v>326.15244702543453</v>
      </c>
      <c r="CV98">
        <f t="shared" ref="CV98:CV101" ca="1" si="201">MAX(CU98-$CU$102,0)</f>
        <v>106.15244702543453</v>
      </c>
      <c r="CW98">
        <f t="shared" ca="1" si="138"/>
        <v>102.06148425447579</v>
      </c>
    </row>
    <row r="99" spans="5:101" x14ac:dyDescent="0.2">
      <c r="E99">
        <v>222.13</v>
      </c>
      <c r="F99">
        <f t="shared" ref="F99:BQ99" ca="1" si="202">E99*(1+$B$2*$B$4+$B$3*SQRT($B$4)*_xlfn.NORM.S.INV(RAND()))</f>
        <v>224.66882924679479</v>
      </c>
      <c r="G99">
        <f t="shared" ca="1" si="202"/>
        <v>228.98854768111286</v>
      </c>
      <c r="H99">
        <f t="shared" ca="1" si="202"/>
        <v>223.1941042275038</v>
      </c>
      <c r="I99">
        <f t="shared" ca="1" si="202"/>
        <v>224.56465513346927</v>
      </c>
      <c r="J99">
        <f t="shared" ca="1" si="202"/>
        <v>222.53439019120523</v>
      </c>
      <c r="K99">
        <f t="shared" ca="1" si="202"/>
        <v>225.5214354994676</v>
      </c>
      <c r="L99">
        <f t="shared" ca="1" si="202"/>
        <v>224.71404677836622</v>
      </c>
      <c r="M99">
        <f t="shared" ca="1" si="202"/>
        <v>223.82495557703174</v>
      </c>
      <c r="N99">
        <f t="shared" ca="1" si="202"/>
        <v>221.80161073912589</v>
      </c>
      <c r="O99">
        <f t="shared" ca="1" si="202"/>
        <v>221.75987139106431</v>
      </c>
      <c r="P99">
        <f t="shared" ca="1" si="202"/>
        <v>213.70701132933581</v>
      </c>
      <c r="Q99">
        <f t="shared" ca="1" si="202"/>
        <v>208.93413148756582</v>
      </c>
      <c r="R99">
        <f t="shared" ca="1" si="202"/>
        <v>206.90684804856861</v>
      </c>
      <c r="S99">
        <f t="shared" ca="1" si="202"/>
        <v>211.00872057664657</v>
      </c>
      <c r="T99">
        <f t="shared" ca="1" si="202"/>
        <v>208.94439789539229</v>
      </c>
      <c r="U99">
        <f t="shared" ca="1" si="202"/>
        <v>209.43187843797764</v>
      </c>
      <c r="V99">
        <f t="shared" ca="1" si="202"/>
        <v>205.33230281672832</v>
      </c>
      <c r="W99">
        <f t="shared" ca="1" si="202"/>
        <v>208.41532176636184</v>
      </c>
      <c r="X99">
        <f t="shared" ca="1" si="202"/>
        <v>201.3296405546628</v>
      </c>
      <c r="Y99">
        <f t="shared" ca="1" si="202"/>
        <v>199.74553712537755</v>
      </c>
      <c r="Z99">
        <f t="shared" ca="1" si="202"/>
        <v>203.57899667183858</v>
      </c>
      <c r="AA99">
        <f t="shared" ca="1" si="202"/>
        <v>200.7775701193203</v>
      </c>
      <c r="AB99">
        <f t="shared" ca="1" si="202"/>
        <v>199.99003191977656</v>
      </c>
      <c r="AC99">
        <f t="shared" ca="1" si="202"/>
        <v>203.72811565792412</v>
      </c>
      <c r="AD99">
        <f t="shared" ca="1" si="202"/>
        <v>201.11236488530284</v>
      </c>
      <c r="AE99">
        <f t="shared" ca="1" si="202"/>
        <v>193.00208458801015</v>
      </c>
      <c r="AF99">
        <f t="shared" ca="1" si="202"/>
        <v>193.46330181752126</v>
      </c>
      <c r="AG99">
        <f t="shared" ca="1" si="202"/>
        <v>190.16363613351029</v>
      </c>
      <c r="AH99">
        <f t="shared" ca="1" si="202"/>
        <v>182.31108971377819</v>
      </c>
      <c r="AI99">
        <f t="shared" ca="1" si="202"/>
        <v>181.64573209002307</v>
      </c>
      <c r="AJ99">
        <f t="shared" ca="1" si="202"/>
        <v>184.74356069266531</v>
      </c>
      <c r="AK99">
        <f t="shared" ca="1" si="202"/>
        <v>187.86788813973456</v>
      </c>
      <c r="AL99">
        <f t="shared" ca="1" si="202"/>
        <v>185.96352266033148</v>
      </c>
      <c r="AM99">
        <f t="shared" ca="1" si="202"/>
        <v>188.54091948832433</v>
      </c>
      <c r="AN99">
        <f t="shared" ca="1" si="202"/>
        <v>192.29984102221275</v>
      </c>
      <c r="AO99">
        <f t="shared" ca="1" si="202"/>
        <v>194.99435063949653</v>
      </c>
      <c r="AP99">
        <f t="shared" ca="1" si="202"/>
        <v>189.7168526828178</v>
      </c>
      <c r="AQ99">
        <f t="shared" ca="1" si="202"/>
        <v>183.21361614637146</v>
      </c>
      <c r="AR99">
        <f t="shared" ca="1" si="202"/>
        <v>193.24328620339355</v>
      </c>
      <c r="AS99">
        <f t="shared" ca="1" si="202"/>
        <v>189.4965300204895</v>
      </c>
      <c r="AT99">
        <f t="shared" ca="1" si="202"/>
        <v>189.50780602955294</v>
      </c>
      <c r="AU99">
        <f t="shared" ca="1" si="202"/>
        <v>193.16422425296042</v>
      </c>
      <c r="AV99">
        <f t="shared" ca="1" si="202"/>
        <v>189.16977193124677</v>
      </c>
      <c r="AW99">
        <f t="shared" ca="1" si="202"/>
        <v>189.81911441939531</v>
      </c>
      <c r="AX99">
        <f t="shared" ca="1" si="202"/>
        <v>186.81835378654412</v>
      </c>
      <c r="AY99">
        <f t="shared" ca="1" si="202"/>
        <v>181.99141916542095</v>
      </c>
      <c r="AZ99">
        <f t="shared" ca="1" si="202"/>
        <v>182.83649265855166</v>
      </c>
      <c r="BA99">
        <f t="shared" ca="1" si="202"/>
        <v>186.43471553544063</v>
      </c>
      <c r="BB99">
        <f t="shared" ca="1" si="202"/>
        <v>180.26883523962275</v>
      </c>
      <c r="BC99">
        <f t="shared" ca="1" si="202"/>
        <v>180.61335342308698</v>
      </c>
      <c r="BD99">
        <f t="shared" ca="1" si="202"/>
        <v>180.67581714382922</v>
      </c>
      <c r="BE99">
        <f t="shared" ca="1" si="202"/>
        <v>179.33493961115889</v>
      </c>
      <c r="BF99">
        <f t="shared" ca="1" si="202"/>
        <v>175.33615546613242</v>
      </c>
      <c r="BG99">
        <f t="shared" ca="1" si="202"/>
        <v>176.17355347188919</v>
      </c>
      <c r="BH99">
        <f t="shared" ca="1" si="202"/>
        <v>181.30094781347967</v>
      </c>
      <c r="BI99">
        <f t="shared" ca="1" si="202"/>
        <v>178.73975918553035</v>
      </c>
      <c r="BJ99">
        <f t="shared" ca="1" si="202"/>
        <v>176.35505887038332</v>
      </c>
      <c r="BK99">
        <f t="shared" ca="1" si="202"/>
        <v>180.0282672159029</v>
      </c>
      <c r="BL99">
        <f t="shared" ca="1" si="202"/>
        <v>184.47911818057105</v>
      </c>
      <c r="BM99">
        <f t="shared" ca="1" si="202"/>
        <v>181.64767313522029</v>
      </c>
      <c r="BN99">
        <f t="shared" ca="1" si="202"/>
        <v>180.0518468359235</v>
      </c>
      <c r="BO99">
        <f t="shared" ca="1" si="202"/>
        <v>181.17665774375362</v>
      </c>
      <c r="BP99">
        <f t="shared" ca="1" si="202"/>
        <v>180.88814700655402</v>
      </c>
      <c r="BQ99">
        <f t="shared" ca="1" si="202"/>
        <v>181.20748136525538</v>
      </c>
      <c r="BR99">
        <f t="shared" ref="BR99:CU99" ca="1" si="203">BQ99*(1+$B$2*$B$4+$B$3*SQRT($B$4)*_xlfn.NORM.S.INV(RAND()))</f>
        <v>173.85806961521604</v>
      </c>
      <c r="BS99">
        <f t="shared" ca="1" si="203"/>
        <v>164.43146045566235</v>
      </c>
      <c r="BT99">
        <f t="shared" ca="1" si="203"/>
        <v>159.35888219279914</v>
      </c>
      <c r="BU99">
        <f t="shared" ca="1" si="203"/>
        <v>155.88345101047852</v>
      </c>
      <c r="BV99">
        <f t="shared" ca="1" si="203"/>
        <v>155.5085733987417</v>
      </c>
      <c r="BW99">
        <f t="shared" ca="1" si="203"/>
        <v>148.20876456223345</v>
      </c>
      <c r="BX99">
        <f t="shared" ca="1" si="203"/>
        <v>147.77380602156848</v>
      </c>
      <c r="BY99">
        <f t="shared" ca="1" si="203"/>
        <v>149.12551452801978</v>
      </c>
      <c r="BZ99">
        <f t="shared" ca="1" si="203"/>
        <v>146.60751987500862</v>
      </c>
      <c r="CA99">
        <f t="shared" ca="1" si="203"/>
        <v>148.94279691288256</v>
      </c>
      <c r="CB99">
        <f t="shared" ca="1" si="203"/>
        <v>151.45993672648495</v>
      </c>
      <c r="CC99">
        <f t="shared" ca="1" si="203"/>
        <v>153.47218236593469</v>
      </c>
      <c r="CD99">
        <f t="shared" ca="1" si="203"/>
        <v>151.37272262614724</v>
      </c>
      <c r="CE99">
        <f t="shared" ca="1" si="203"/>
        <v>150.68746386875452</v>
      </c>
      <c r="CF99">
        <f t="shared" ca="1" si="203"/>
        <v>151.62617013106026</v>
      </c>
      <c r="CG99">
        <f t="shared" ca="1" si="203"/>
        <v>149.76631422488191</v>
      </c>
      <c r="CH99">
        <f t="shared" ca="1" si="203"/>
        <v>156.16045237351773</v>
      </c>
      <c r="CI99">
        <f t="shared" ca="1" si="203"/>
        <v>161.25928250526962</v>
      </c>
      <c r="CJ99">
        <f t="shared" ca="1" si="203"/>
        <v>160.8564804076332</v>
      </c>
      <c r="CK99">
        <f t="shared" ca="1" si="203"/>
        <v>160.54443352817231</v>
      </c>
      <c r="CL99">
        <f t="shared" ca="1" si="203"/>
        <v>162.29470831738928</v>
      </c>
      <c r="CM99">
        <f t="shared" ca="1" si="203"/>
        <v>157.64499501623919</v>
      </c>
      <c r="CN99">
        <f t="shared" ca="1" si="203"/>
        <v>165.62157437765481</v>
      </c>
      <c r="CO99">
        <f t="shared" ca="1" si="203"/>
        <v>162.87033229479434</v>
      </c>
      <c r="CP99">
        <f t="shared" ca="1" si="203"/>
        <v>164.24194499415472</v>
      </c>
      <c r="CQ99">
        <f t="shared" ca="1" si="203"/>
        <v>167.87933966808248</v>
      </c>
      <c r="CR99">
        <f t="shared" ca="1" si="203"/>
        <v>171.17642393157641</v>
      </c>
      <c r="CS99">
        <f t="shared" ca="1" si="203"/>
        <v>171.73087709789365</v>
      </c>
      <c r="CT99">
        <f t="shared" ca="1" si="203"/>
        <v>169.34766332401617</v>
      </c>
      <c r="CU99">
        <f t="shared" ca="1" si="203"/>
        <v>165.25496672903645</v>
      </c>
      <c r="CV99">
        <f t="shared" ca="1" si="201"/>
        <v>0</v>
      </c>
      <c r="CW99">
        <f t="shared" ca="1" si="138"/>
        <v>0</v>
      </c>
    </row>
    <row r="100" spans="5:101" x14ac:dyDescent="0.2">
      <c r="E100">
        <v>222.13</v>
      </c>
      <c r="F100">
        <f t="shared" ref="F100:BQ100" ca="1" si="204">E100*(1+$B$2*$B$4+$B$3*SQRT($B$4)*_xlfn.NORM.S.INV(RAND()))</f>
        <v>228.05980870240992</v>
      </c>
      <c r="G100">
        <f t="shared" ca="1" si="204"/>
        <v>239.24449323535993</v>
      </c>
      <c r="H100">
        <f t="shared" ca="1" si="204"/>
        <v>237.99659655838531</v>
      </c>
      <c r="I100">
        <f t="shared" ca="1" si="204"/>
        <v>237.53883919038054</v>
      </c>
      <c r="J100">
        <f t="shared" ca="1" si="204"/>
        <v>230.71253168131051</v>
      </c>
      <c r="K100">
        <f t="shared" ca="1" si="204"/>
        <v>231.06264015286055</v>
      </c>
      <c r="L100">
        <f t="shared" ca="1" si="204"/>
        <v>238.99519341633697</v>
      </c>
      <c r="M100">
        <f t="shared" ca="1" si="204"/>
        <v>232.33080186267404</v>
      </c>
      <c r="N100">
        <f t="shared" ca="1" si="204"/>
        <v>224.86414955172347</v>
      </c>
      <c r="O100">
        <f t="shared" ca="1" si="204"/>
        <v>230.23529006622266</v>
      </c>
      <c r="P100">
        <f t="shared" ca="1" si="204"/>
        <v>226.61367558383992</v>
      </c>
      <c r="Q100">
        <f t="shared" ca="1" si="204"/>
        <v>223.50899917691549</v>
      </c>
      <c r="R100">
        <f t="shared" ca="1" si="204"/>
        <v>224.16819707288951</v>
      </c>
      <c r="S100">
        <f t="shared" ca="1" si="204"/>
        <v>225.22387097708585</v>
      </c>
      <c r="T100">
        <f t="shared" ca="1" si="204"/>
        <v>225.86567023696412</v>
      </c>
      <c r="U100">
        <f t="shared" ca="1" si="204"/>
        <v>227.89534658625476</v>
      </c>
      <c r="V100">
        <f t="shared" ca="1" si="204"/>
        <v>225.41612995123106</v>
      </c>
      <c r="W100">
        <f t="shared" ca="1" si="204"/>
        <v>219.97879417213707</v>
      </c>
      <c r="X100">
        <f t="shared" ca="1" si="204"/>
        <v>228.91070182726472</v>
      </c>
      <c r="Y100">
        <f t="shared" ca="1" si="204"/>
        <v>230.79004742997387</v>
      </c>
      <c r="Z100">
        <f t="shared" ca="1" si="204"/>
        <v>228.78025503462175</v>
      </c>
      <c r="AA100">
        <f t="shared" ca="1" si="204"/>
        <v>232.7830460736246</v>
      </c>
      <c r="AB100">
        <f t="shared" ca="1" si="204"/>
        <v>245.95034109481026</v>
      </c>
      <c r="AC100">
        <f t="shared" ca="1" si="204"/>
        <v>246.43526496138148</v>
      </c>
      <c r="AD100">
        <f t="shared" ca="1" si="204"/>
        <v>245.52379551350199</v>
      </c>
      <c r="AE100">
        <f t="shared" ca="1" si="204"/>
        <v>241.38494125104245</v>
      </c>
      <c r="AF100">
        <f t="shared" ca="1" si="204"/>
        <v>245.11561312705422</v>
      </c>
      <c r="AG100">
        <f t="shared" ca="1" si="204"/>
        <v>246.74997179947786</v>
      </c>
      <c r="AH100">
        <f t="shared" ca="1" si="204"/>
        <v>251.61317562021387</v>
      </c>
      <c r="AI100">
        <f t="shared" ca="1" si="204"/>
        <v>239.0415560059669</v>
      </c>
      <c r="AJ100">
        <f t="shared" ca="1" si="204"/>
        <v>243.69185504964062</v>
      </c>
      <c r="AK100">
        <f t="shared" ca="1" si="204"/>
        <v>234.76681338425354</v>
      </c>
      <c r="AL100">
        <f t="shared" ca="1" si="204"/>
        <v>233.05030558204814</v>
      </c>
      <c r="AM100">
        <f t="shared" ca="1" si="204"/>
        <v>240.46067222468307</v>
      </c>
      <c r="AN100">
        <f t="shared" ca="1" si="204"/>
        <v>243.32802676308899</v>
      </c>
      <c r="AO100">
        <f t="shared" ca="1" si="204"/>
        <v>246.6985979989322</v>
      </c>
      <c r="AP100">
        <f t="shared" ca="1" si="204"/>
        <v>247.79378492494135</v>
      </c>
      <c r="AQ100">
        <f t="shared" ca="1" si="204"/>
        <v>262.65572074367566</v>
      </c>
      <c r="AR100">
        <f t="shared" ca="1" si="204"/>
        <v>264.21611057833735</v>
      </c>
      <c r="AS100">
        <f t="shared" ca="1" si="204"/>
        <v>267.61550884770054</v>
      </c>
      <c r="AT100">
        <f t="shared" ca="1" si="204"/>
        <v>265.40831464105855</v>
      </c>
      <c r="AU100">
        <f t="shared" ca="1" si="204"/>
        <v>267.30680582067629</v>
      </c>
      <c r="AV100">
        <f t="shared" ca="1" si="204"/>
        <v>261.30892295145509</v>
      </c>
      <c r="AW100">
        <f t="shared" ca="1" si="204"/>
        <v>265.94616104467008</v>
      </c>
      <c r="AX100">
        <f t="shared" ca="1" si="204"/>
        <v>260.50960649925258</v>
      </c>
      <c r="AY100">
        <f t="shared" ca="1" si="204"/>
        <v>247.15415655885465</v>
      </c>
      <c r="AZ100">
        <f t="shared" ca="1" si="204"/>
        <v>254.89830749597749</v>
      </c>
      <c r="BA100">
        <f t="shared" ca="1" si="204"/>
        <v>260.86981720474824</v>
      </c>
      <c r="BB100">
        <f t="shared" ca="1" si="204"/>
        <v>272.06690605970681</v>
      </c>
      <c r="BC100">
        <f t="shared" ca="1" si="204"/>
        <v>266.80758005527213</v>
      </c>
      <c r="BD100">
        <f t="shared" ca="1" si="204"/>
        <v>260.65927166206228</v>
      </c>
      <c r="BE100">
        <f t="shared" ca="1" si="204"/>
        <v>266.54054352964209</v>
      </c>
      <c r="BF100">
        <f t="shared" ca="1" si="204"/>
        <v>274.99035889930684</v>
      </c>
      <c r="BG100">
        <f t="shared" ca="1" si="204"/>
        <v>279.0652675333842</v>
      </c>
      <c r="BH100">
        <f t="shared" ca="1" si="204"/>
        <v>278.76069843007616</v>
      </c>
      <c r="BI100">
        <f t="shared" ca="1" si="204"/>
        <v>269.35211438998999</v>
      </c>
      <c r="BJ100">
        <f t="shared" ca="1" si="204"/>
        <v>278.27711719518203</v>
      </c>
      <c r="BK100">
        <f t="shared" ca="1" si="204"/>
        <v>284.23787730925363</v>
      </c>
      <c r="BL100">
        <f t="shared" ca="1" si="204"/>
        <v>277.57079643807737</v>
      </c>
      <c r="BM100">
        <f t="shared" ca="1" si="204"/>
        <v>279.92438278091021</v>
      </c>
      <c r="BN100">
        <f t="shared" ca="1" si="204"/>
        <v>285.12264933249099</v>
      </c>
      <c r="BO100">
        <f t="shared" ca="1" si="204"/>
        <v>276.93777131794189</v>
      </c>
      <c r="BP100">
        <f t="shared" ca="1" si="204"/>
        <v>281.95801601307238</v>
      </c>
      <c r="BQ100">
        <f t="shared" ca="1" si="204"/>
        <v>276.76169855749174</v>
      </c>
      <c r="BR100">
        <f t="shared" ref="BR100:CU100" ca="1" si="205">BQ100*(1+$B$2*$B$4+$B$3*SQRT($B$4)*_xlfn.NORM.S.INV(RAND()))</f>
        <v>270.55025318265183</v>
      </c>
      <c r="BS100">
        <f t="shared" ca="1" si="205"/>
        <v>276.26988266107332</v>
      </c>
      <c r="BT100">
        <f t="shared" ca="1" si="205"/>
        <v>264.70194334712335</v>
      </c>
      <c r="BU100">
        <f t="shared" ca="1" si="205"/>
        <v>268.62789143779133</v>
      </c>
      <c r="BV100">
        <f t="shared" ca="1" si="205"/>
        <v>271.17071025558789</v>
      </c>
      <c r="BW100">
        <f t="shared" ca="1" si="205"/>
        <v>276.60192384608979</v>
      </c>
      <c r="BX100">
        <f t="shared" ca="1" si="205"/>
        <v>269.17359670538866</v>
      </c>
      <c r="BY100">
        <f t="shared" ca="1" si="205"/>
        <v>272.75637985747727</v>
      </c>
      <c r="BZ100">
        <f t="shared" ca="1" si="205"/>
        <v>268.05727619285307</v>
      </c>
      <c r="CA100">
        <f t="shared" ca="1" si="205"/>
        <v>265.95319485176492</v>
      </c>
      <c r="CB100">
        <f t="shared" ca="1" si="205"/>
        <v>273.85574496944736</v>
      </c>
      <c r="CC100">
        <f t="shared" ca="1" si="205"/>
        <v>270.21436735612713</v>
      </c>
      <c r="CD100">
        <f t="shared" ca="1" si="205"/>
        <v>273.57309746031854</v>
      </c>
      <c r="CE100">
        <f t="shared" ca="1" si="205"/>
        <v>281.63439892505841</v>
      </c>
      <c r="CF100">
        <f t="shared" ca="1" si="205"/>
        <v>286.18284949861868</v>
      </c>
      <c r="CG100">
        <f t="shared" ca="1" si="205"/>
        <v>285.06137636858898</v>
      </c>
      <c r="CH100">
        <f t="shared" ca="1" si="205"/>
        <v>285.56928975041853</v>
      </c>
      <c r="CI100">
        <f t="shared" ca="1" si="205"/>
        <v>273.7946318477392</v>
      </c>
      <c r="CJ100">
        <f t="shared" ca="1" si="205"/>
        <v>274.96820054230523</v>
      </c>
      <c r="CK100">
        <f t="shared" ca="1" si="205"/>
        <v>276.70329293849221</v>
      </c>
      <c r="CL100">
        <f t="shared" ca="1" si="205"/>
        <v>272.92370649347453</v>
      </c>
      <c r="CM100">
        <f t="shared" ca="1" si="205"/>
        <v>265.04862255384779</v>
      </c>
      <c r="CN100">
        <f t="shared" ca="1" si="205"/>
        <v>274.80902338282385</v>
      </c>
      <c r="CO100">
        <f t="shared" ca="1" si="205"/>
        <v>285.10495865621169</v>
      </c>
      <c r="CP100">
        <f t="shared" ca="1" si="205"/>
        <v>287.74768057096645</v>
      </c>
      <c r="CQ100">
        <f t="shared" ca="1" si="205"/>
        <v>290.05114765164905</v>
      </c>
      <c r="CR100">
        <f t="shared" ca="1" si="205"/>
        <v>292.50234581414611</v>
      </c>
      <c r="CS100">
        <f t="shared" ca="1" si="205"/>
        <v>282.0052304319276</v>
      </c>
      <c r="CT100">
        <f t="shared" ca="1" si="205"/>
        <v>283.36719705897809</v>
      </c>
      <c r="CU100">
        <f t="shared" ca="1" si="205"/>
        <v>286.9648919690938</v>
      </c>
      <c r="CV100">
        <f t="shared" ca="1" si="201"/>
        <v>66.964891969093799</v>
      </c>
      <c r="CW100">
        <f t="shared" ca="1" si="138"/>
        <v>64.384161258842752</v>
      </c>
    </row>
    <row r="101" spans="5:101" x14ac:dyDescent="0.2">
      <c r="E101">
        <v>222.13</v>
      </c>
      <c r="F101">
        <f t="shared" ref="F101:BQ101" ca="1" si="206">E101*(1+$B$2*$B$4+$B$3*SQRT($B$4)*_xlfn.NORM.S.INV(RAND()))</f>
        <v>220.84866975755989</v>
      </c>
      <c r="G101">
        <f t="shared" ca="1" si="206"/>
        <v>218.49961608026939</v>
      </c>
      <c r="H101">
        <f t="shared" ca="1" si="206"/>
        <v>221.09413352764895</v>
      </c>
      <c r="I101">
        <f t="shared" ca="1" si="206"/>
        <v>203.76211460433663</v>
      </c>
      <c r="J101">
        <f t="shared" ca="1" si="206"/>
        <v>206.63121570271539</v>
      </c>
      <c r="K101">
        <f t="shared" ca="1" si="206"/>
        <v>203.13015761858384</v>
      </c>
      <c r="L101">
        <f t="shared" ca="1" si="206"/>
        <v>202.91732841084792</v>
      </c>
      <c r="M101">
        <f t="shared" ca="1" si="206"/>
        <v>200.37400270383375</v>
      </c>
      <c r="N101">
        <f t="shared" ca="1" si="206"/>
        <v>206.04540381596712</v>
      </c>
      <c r="O101">
        <f t="shared" ca="1" si="206"/>
        <v>201.39775839278866</v>
      </c>
      <c r="P101">
        <f t="shared" ca="1" si="206"/>
        <v>202.09789924075224</v>
      </c>
      <c r="Q101">
        <f t="shared" ca="1" si="206"/>
        <v>206.97312773870593</v>
      </c>
      <c r="R101">
        <f t="shared" ca="1" si="206"/>
        <v>205.166606051343</v>
      </c>
      <c r="S101">
        <f t="shared" ca="1" si="206"/>
        <v>206.4876984464847</v>
      </c>
      <c r="T101">
        <f t="shared" ca="1" si="206"/>
        <v>209.05488648999986</v>
      </c>
      <c r="U101">
        <f t="shared" ca="1" si="206"/>
        <v>208.99518411706055</v>
      </c>
      <c r="V101">
        <f t="shared" ca="1" si="206"/>
        <v>203.03769750651023</v>
      </c>
      <c r="W101">
        <f t="shared" ca="1" si="206"/>
        <v>215.38742260334172</v>
      </c>
      <c r="X101">
        <f t="shared" ca="1" si="206"/>
        <v>223.42364029748987</v>
      </c>
      <c r="Y101">
        <f t="shared" ca="1" si="206"/>
        <v>231.95724070437529</v>
      </c>
      <c r="Z101">
        <f t="shared" ca="1" si="206"/>
        <v>231.20972188198991</v>
      </c>
      <c r="AA101">
        <f t="shared" ca="1" si="206"/>
        <v>234.90419226320776</v>
      </c>
      <c r="AB101">
        <f t="shared" ca="1" si="206"/>
        <v>233.28665451846356</v>
      </c>
      <c r="AC101">
        <f t="shared" ca="1" si="206"/>
        <v>227.87911908750991</v>
      </c>
      <c r="AD101">
        <f t="shared" ca="1" si="206"/>
        <v>227.91021812227825</v>
      </c>
      <c r="AE101">
        <f t="shared" ca="1" si="206"/>
        <v>226.82231016626145</v>
      </c>
      <c r="AF101">
        <f t="shared" ca="1" si="206"/>
        <v>224.99331949657227</v>
      </c>
      <c r="AG101">
        <f t="shared" ca="1" si="206"/>
        <v>232.8883311342226</v>
      </c>
      <c r="AH101">
        <f t="shared" ca="1" si="206"/>
        <v>237.68393448845765</v>
      </c>
      <c r="AI101">
        <f t="shared" ca="1" si="206"/>
        <v>240.99145263425928</v>
      </c>
      <c r="AJ101">
        <f t="shared" ca="1" si="206"/>
        <v>237.96617126411613</v>
      </c>
      <c r="AK101">
        <f t="shared" ca="1" si="206"/>
        <v>238.07076236270103</v>
      </c>
      <c r="AL101">
        <f t="shared" ca="1" si="206"/>
        <v>244.20763042202347</v>
      </c>
      <c r="AM101">
        <f t="shared" ca="1" si="206"/>
        <v>238.70079524659545</v>
      </c>
      <c r="AN101">
        <f t="shared" ca="1" si="206"/>
        <v>240.945400760832</v>
      </c>
      <c r="AO101">
        <f t="shared" ca="1" si="206"/>
        <v>229.74167964638099</v>
      </c>
      <c r="AP101">
        <f t="shared" ca="1" si="206"/>
        <v>229.56442725281286</v>
      </c>
      <c r="AQ101">
        <f t="shared" ca="1" si="206"/>
        <v>224.30651523480901</v>
      </c>
      <c r="AR101">
        <f t="shared" ca="1" si="206"/>
        <v>220.4229261159042</v>
      </c>
      <c r="AS101">
        <f t="shared" ca="1" si="206"/>
        <v>221.5404539177712</v>
      </c>
      <c r="AT101">
        <f t="shared" ca="1" si="206"/>
        <v>222.64024635237567</v>
      </c>
      <c r="AU101">
        <f t="shared" ca="1" si="206"/>
        <v>222.4725515976433</v>
      </c>
      <c r="AV101">
        <f t="shared" ca="1" si="206"/>
        <v>223.4177875048444</v>
      </c>
      <c r="AW101">
        <f t="shared" ca="1" si="206"/>
        <v>225.11393512000512</v>
      </c>
      <c r="AX101">
        <f t="shared" ca="1" si="206"/>
        <v>226.96779557542698</v>
      </c>
      <c r="AY101">
        <f t="shared" ca="1" si="206"/>
        <v>225.83946544315765</v>
      </c>
      <c r="AZ101">
        <f t="shared" ca="1" si="206"/>
        <v>230.08763644921979</v>
      </c>
      <c r="BA101">
        <f t="shared" ca="1" si="206"/>
        <v>232.35991133474477</v>
      </c>
      <c r="BB101">
        <f t="shared" ca="1" si="206"/>
        <v>225.85681220182818</v>
      </c>
      <c r="BC101">
        <f t="shared" ca="1" si="206"/>
        <v>221.59233771469127</v>
      </c>
      <c r="BD101">
        <f t="shared" ca="1" si="206"/>
        <v>218.19830208282002</v>
      </c>
      <c r="BE101">
        <f t="shared" ca="1" si="206"/>
        <v>215.83194927277751</v>
      </c>
      <c r="BF101">
        <f t="shared" ca="1" si="206"/>
        <v>215.46995859359185</v>
      </c>
      <c r="BG101">
        <f t="shared" ca="1" si="206"/>
        <v>207.3090581513475</v>
      </c>
      <c r="BH101">
        <f t="shared" ca="1" si="206"/>
        <v>203.908137140881</v>
      </c>
      <c r="BI101">
        <f t="shared" ca="1" si="206"/>
        <v>209.65235263256767</v>
      </c>
      <c r="BJ101">
        <f t="shared" ca="1" si="206"/>
        <v>209.43831116347747</v>
      </c>
      <c r="BK101">
        <f t="shared" ca="1" si="206"/>
        <v>204.11599063692819</v>
      </c>
      <c r="BL101">
        <f t="shared" ca="1" si="206"/>
        <v>196.66509194421212</v>
      </c>
      <c r="BM101">
        <f t="shared" ca="1" si="206"/>
        <v>191.93097250339608</v>
      </c>
      <c r="BN101">
        <f t="shared" ca="1" si="206"/>
        <v>190.62719415302047</v>
      </c>
      <c r="BO101">
        <f t="shared" ca="1" si="206"/>
        <v>188.2716538787146</v>
      </c>
      <c r="BP101">
        <f t="shared" ca="1" si="206"/>
        <v>184.11286359066199</v>
      </c>
      <c r="BQ101">
        <f t="shared" ca="1" si="206"/>
        <v>181.29616134725325</v>
      </c>
      <c r="BR101">
        <f t="shared" ref="BR101:CU101" ca="1" si="207">BQ101*(1+$B$2*$B$4+$B$3*SQRT($B$4)*_xlfn.NORM.S.INV(RAND()))</f>
        <v>177.58287304072203</v>
      </c>
      <c r="BS101">
        <f t="shared" ca="1" si="207"/>
        <v>172.61205814500266</v>
      </c>
      <c r="BT101">
        <f t="shared" ca="1" si="207"/>
        <v>175.94594680521575</v>
      </c>
      <c r="BU101">
        <f t="shared" ca="1" si="207"/>
        <v>170.85045827179962</v>
      </c>
      <c r="BV101">
        <f t="shared" ca="1" si="207"/>
        <v>172.22256241676922</v>
      </c>
      <c r="BW101">
        <f t="shared" ca="1" si="207"/>
        <v>177.46929378113441</v>
      </c>
      <c r="BX101">
        <f t="shared" ca="1" si="207"/>
        <v>172.6587579451446</v>
      </c>
      <c r="BY101">
        <f t="shared" ca="1" si="207"/>
        <v>169.48304823250098</v>
      </c>
      <c r="BZ101">
        <f t="shared" ca="1" si="207"/>
        <v>166.96790094800764</v>
      </c>
      <c r="CA101">
        <f t="shared" ca="1" si="207"/>
        <v>171.99113354392748</v>
      </c>
      <c r="CB101">
        <f t="shared" ca="1" si="207"/>
        <v>171.6487129912243</v>
      </c>
      <c r="CC101">
        <f t="shared" ca="1" si="207"/>
        <v>171.29512017060756</v>
      </c>
      <c r="CD101">
        <f t="shared" ca="1" si="207"/>
        <v>169.51740449724369</v>
      </c>
      <c r="CE101">
        <f t="shared" ca="1" si="207"/>
        <v>175.25136123129676</v>
      </c>
      <c r="CF101">
        <f t="shared" ca="1" si="207"/>
        <v>182.45062639991244</v>
      </c>
      <c r="CG101">
        <f t="shared" ca="1" si="207"/>
        <v>185.16768198214046</v>
      </c>
      <c r="CH101">
        <f t="shared" ca="1" si="207"/>
        <v>181.56017689113904</v>
      </c>
      <c r="CI101">
        <f t="shared" ca="1" si="207"/>
        <v>177.10784690939298</v>
      </c>
      <c r="CJ101">
        <f t="shared" ca="1" si="207"/>
        <v>170.65534160765017</v>
      </c>
      <c r="CK101">
        <f t="shared" ca="1" si="207"/>
        <v>169.07919071035963</v>
      </c>
      <c r="CL101">
        <f t="shared" ca="1" si="207"/>
        <v>169.4352763057949</v>
      </c>
      <c r="CM101">
        <f t="shared" ca="1" si="207"/>
        <v>168.34268773205625</v>
      </c>
      <c r="CN101">
        <f t="shared" ca="1" si="207"/>
        <v>173.13409228282507</v>
      </c>
      <c r="CO101">
        <f t="shared" ca="1" si="207"/>
        <v>170.76359384730165</v>
      </c>
      <c r="CP101">
        <f t="shared" ca="1" si="207"/>
        <v>170.58488799798405</v>
      </c>
      <c r="CQ101">
        <f t="shared" ca="1" si="207"/>
        <v>171.65414202075135</v>
      </c>
      <c r="CR101">
        <f t="shared" ca="1" si="207"/>
        <v>170.04761395497806</v>
      </c>
      <c r="CS101">
        <f t="shared" ca="1" si="207"/>
        <v>170.68172413913166</v>
      </c>
      <c r="CT101">
        <f t="shared" ca="1" si="207"/>
        <v>169.34106356853118</v>
      </c>
      <c r="CU101">
        <f t="shared" ca="1" si="207"/>
        <v>164.50994317909564</v>
      </c>
      <c r="CV101">
        <f t="shared" ca="1" si="201"/>
        <v>0</v>
      </c>
      <c r="CW101">
        <f t="shared" ca="1" si="138"/>
        <v>0</v>
      </c>
    </row>
    <row r="102" spans="5:101" x14ac:dyDescent="0.2">
      <c r="CT102" t="s">
        <v>47</v>
      </c>
      <c r="CU102">
        <v>220</v>
      </c>
      <c r="CV102" t="s">
        <v>46</v>
      </c>
      <c r="CW102" s="19">
        <f ca="1">AVERAGE(CW2:CW9)</f>
        <v>29.797405741066108</v>
      </c>
    </row>
    <row r="103" spans="5:101" x14ac:dyDescent="0.2">
      <c r="CT103" t="s">
        <v>50</v>
      </c>
      <c r="CU103" s="15">
        <f>0.0417</f>
        <v>4.1700000000000001E-2</v>
      </c>
      <c r="CV103" s="18">
        <f ca="1">AVERAGE(CV2:CV9)</f>
        <v>30.991784584841426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DB847-84A9-964C-8E66-BFF27B66783D}">
  <dimension ref="D1:CW103"/>
  <sheetViews>
    <sheetView topLeftCell="CS1" zoomScale="50" workbookViewId="0">
      <selection activeCell="DI59" sqref="DI59"/>
    </sheetView>
  </sheetViews>
  <sheetFormatPr baseColWidth="10" defaultRowHeight="15" x14ac:dyDescent="0.2"/>
  <sheetData>
    <row r="1" spans="4:101" x14ac:dyDescent="0.2">
      <c r="D1" t="s">
        <v>42</v>
      </c>
      <c r="E1">
        <v>0</v>
      </c>
      <c r="F1">
        <v>0.01</v>
      </c>
      <c r="G1">
        <v>0.02</v>
      </c>
      <c r="H1">
        <v>0.03</v>
      </c>
      <c r="I1">
        <v>0.04</v>
      </c>
      <c r="J1">
        <v>0.05</v>
      </c>
      <c r="K1">
        <v>6.0000000000000005E-2</v>
      </c>
      <c r="L1">
        <v>7.0000000000000007E-2</v>
      </c>
      <c r="M1">
        <v>0.08</v>
      </c>
      <c r="N1">
        <v>0.09</v>
      </c>
      <c r="O1">
        <v>9.9999999999999992E-2</v>
      </c>
      <c r="P1">
        <v>0.10999999999999999</v>
      </c>
      <c r="Q1">
        <v>0.11999999999999998</v>
      </c>
      <c r="R1">
        <v>0.12999999999999998</v>
      </c>
      <c r="S1">
        <v>0.13999999999999999</v>
      </c>
      <c r="T1">
        <v>0.15</v>
      </c>
      <c r="U1">
        <v>0.16</v>
      </c>
      <c r="V1">
        <v>0.17</v>
      </c>
      <c r="W1">
        <v>0.18000000000000002</v>
      </c>
      <c r="X1">
        <v>0.19000000000000003</v>
      </c>
      <c r="Y1">
        <v>0.20000000000000004</v>
      </c>
      <c r="Z1">
        <v>0.21000000000000005</v>
      </c>
      <c r="AA1">
        <v>0.22000000000000006</v>
      </c>
      <c r="AB1">
        <v>0.23000000000000007</v>
      </c>
      <c r="AC1">
        <v>0.24000000000000007</v>
      </c>
      <c r="AD1">
        <v>0.25000000000000006</v>
      </c>
      <c r="AE1">
        <v>0.26000000000000006</v>
      </c>
      <c r="AF1">
        <v>0.27000000000000007</v>
      </c>
      <c r="AG1">
        <v>0.28000000000000008</v>
      </c>
      <c r="AH1">
        <v>0.29000000000000009</v>
      </c>
      <c r="AI1">
        <v>0.3000000000000001</v>
      </c>
      <c r="AJ1">
        <v>0.31000000000000011</v>
      </c>
      <c r="AK1">
        <v>0.32000000000000012</v>
      </c>
      <c r="AL1">
        <v>0.33000000000000013</v>
      </c>
      <c r="AM1">
        <v>0.34000000000000014</v>
      </c>
      <c r="AN1">
        <v>0.35000000000000014</v>
      </c>
      <c r="AO1">
        <v>0.36000000000000015</v>
      </c>
      <c r="AP1">
        <v>0.37000000000000016</v>
      </c>
      <c r="AQ1">
        <v>0.38000000000000017</v>
      </c>
      <c r="AR1">
        <v>0.39000000000000018</v>
      </c>
      <c r="AS1">
        <v>0.40000000000000019</v>
      </c>
      <c r="AT1">
        <v>0.4100000000000002</v>
      </c>
      <c r="AU1">
        <v>0.42000000000000021</v>
      </c>
      <c r="AV1">
        <v>0.43000000000000022</v>
      </c>
      <c r="AW1">
        <v>0.44000000000000022</v>
      </c>
      <c r="AX1">
        <v>0.45000000000000023</v>
      </c>
      <c r="AY1">
        <v>0.46000000000000024</v>
      </c>
      <c r="AZ1">
        <v>0.47000000000000025</v>
      </c>
      <c r="BA1">
        <v>0.48000000000000026</v>
      </c>
      <c r="BB1">
        <v>0.49000000000000027</v>
      </c>
      <c r="BC1">
        <v>0.50000000000000022</v>
      </c>
      <c r="BD1">
        <v>0.51000000000000023</v>
      </c>
      <c r="BE1">
        <v>0.52000000000000024</v>
      </c>
      <c r="BF1">
        <v>0.53000000000000025</v>
      </c>
      <c r="BG1">
        <v>0.54000000000000026</v>
      </c>
      <c r="BH1">
        <v>0.55000000000000027</v>
      </c>
      <c r="BI1">
        <v>0.56000000000000028</v>
      </c>
      <c r="BJ1">
        <v>0.57000000000000028</v>
      </c>
      <c r="BK1">
        <v>0.58000000000000029</v>
      </c>
      <c r="BL1">
        <v>0.5900000000000003</v>
      </c>
      <c r="BM1">
        <v>0.60000000000000031</v>
      </c>
      <c r="BN1">
        <v>0.61000000000000032</v>
      </c>
      <c r="BO1">
        <v>0.62000000000000033</v>
      </c>
      <c r="BP1">
        <v>0.63000000000000034</v>
      </c>
      <c r="BQ1">
        <v>0.64000000000000035</v>
      </c>
      <c r="BR1">
        <v>0.65000000000000036</v>
      </c>
      <c r="BS1">
        <v>0.66000000000000036</v>
      </c>
      <c r="BT1">
        <v>0.67000000000000037</v>
      </c>
      <c r="BU1">
        <v>0.68000000000000038</v>
      </c>
      <c r="BV1">
        <v>0.69000000000000039</v>
      </c>
      <c r="BW1">
        <v>0.7000000000000004</v>
      </c>
      <c r="BX1">
        <v>0.71000000000000041</v>
      </c>
      <c r="BY1">
        <v>0.72000000000000042</v>
      </c>
      <c r="BZ1">
        <v>0.73000000000000043</v>
      </c>
      <c r="CA1">
        <v>0.74000000000000044</v>
      </c>
      <c r="CB1">
        <v>0.75000000000000044</v>
      </c>
      <c r="CC1">
        <v>0.76000000000000045</v>
      </c>
      <c r="CD1">
        <v>0.77000000000000046</v>
      </c>
      <c r="CE1">
        <v>0.78000000000000047</v>
      </c>
      <c r="CF1">
        <v>0.79000000000000048</v>
      </c>
      <c r="CG1">
        <v>0.80000000000000049</v>
      </c>
      <c r="CH1">
        <v>0.8100000000000005</v>
      </c>
      <c r="CI1">
        <v>0.82000000000000051</v>
      </c>
      <c r="CJ1">
        <v>0.83000000000000052</v>
      </c>
      <c r="CK1">
        <v>0.84000000000000052</v>
      </c>
      <c r="CL1">
        <v>0.85000000000000053</v>
      </c>
      <c r="CM1">
        <v>0.86000000000000054</v>
      </c>
      <c r="CN1">
        <v>0.87000000000000055</v>
      </c>
      <c r="CO1">
        <v>0.88000000000000056</v>
      </c>
      <c r="CP1">
        <v>0.89000000000000057</v>
      </c>
      <c r="CQ1">
        <v>0.90000000000000058</v>
      </c>
      <c r="CR1">
        <v>0.91000000000000059</v>
      </c>
      <c r="CS1">
        <v>0.9200000000000006</v>
      </c>
      <c r="CT1">
        <v>0.9300000000000006</v>
      </c>
      <c r="CU1">
        <v>0.94000000000000061</v>
      </c>
      <c r="CV1" t="s">
        <v>68</v>
      </c>
      <c r="CW1" t="s">
        <v>49</v>
      </c>
    </row>
    <row r="2" spans="4:101" x14ac:dyDescent="0.2">
      <c r="D2" t="s">
        <v>51</v>
      </c>
      <c r="E2">
        <v>222.13</v>
      </c>
      <c r="F2">
        <v>222.297353552955</v>
      </c>
      <c r="G2">
        <v>219.881085812994</v>
      </c>
      <c r="H2">
        <v>225.91503965583101</v>
      </c>
      <c r="I2">
        <v>235.32340923186018</v>
      </c>
      <c r="J2">
        <v>235.97291832868453</v>
      </c>
      <c r="K2">
        <v>241.62295087971106</v>
      </c>
      <c r="L2">
        <v>245.32602725929192</v>
      </c>
      <c r="M2">
        <v>246.48166277097877</v>
      </c>
      <c r="N2">
        <v>243.49252800963711</v>
      </c>
      <c r="O2">
        <v>255.10400834592701</v>
      </c>
      <c r="P2">
        <v>253.67574135886258</v>
      </c>
      <c r="Q2">
        <v>248.61855875312156</v>
      </c>
      <c r="R2">
        <v>245.8012004563702</v>
      </c>
      <c r="S2">
        <v>231.80938711683166</v>
      </c>
      <c r="T2">
        <v>234.03147969582304</v>
      </c>
      <c r="U2">
        <v>238.58042709127653</v>
      </c>
      <c r="V2">
        <v>241.04348645542623</v>
      </c>
      <c r="W2">
        <v>242.60769997659153</v>
      </c>
      <c r="X2">
        <v>236.94597183668438</v>
      </c>
      <c r="Y2">
        <v>241.9548136890316</v>
      </c>
      <c r="Z2">
        <v>244.8196735517686</v>
      </c>
      <c r="AA2">
        <v>244.62789968555089</v>
      </c>
      <c r="AB2">
        <v>244.48570358411214</v>
      </c>
      <c r="AC2">
        <v>246.32538546952526</v>
      </c>
      <c r="AD2">
        <v>255.31201363847569</v>
      </c>
      <c r="AE2">
        <v>258.77742727162877</v>
      </c>
      <c r="AF2">
        <v>258.33748245359908</v>
      </c>
      <c r="AG2">
        <v>257.45418862850602</v>
      </c>
      <c r="AH2">
        <v>257.57078428759769</v>
      </c>
      <c r="AI2">
        <v>261.44353587971631</v>
      </c>
      <c r="AJ2">
        <v>266.09740803092654</v>
      </c>
      <c r="AK2">
        <v>259.18335374358651</v>
      </c>
      <c r="AL2">
        <v>256.76558874847132</v>
      </c>
      <c r="AM2">
        <v>257.5432808609271</v>
      </c>
      <c r="AN2">
        <v>254.17181308480966</v>
      </c>
      <c r="AO2">
        <v>244.88588338575394</v>
      </c>
      <c r="AP2">
        <v>249.49276319882489</v>
      </c>
      <c r="AQ2">
        <v>252.94550233945387</v>
      </c>
      <c r="AR2">
        <v>259.38155500335421</v>
      </c>
      <c r="AS2">
        <v>265.47433645418351</v>
      </c>
      <c r="AT2">
        <v>271.64442969699314</v>
      </c>
      <c r="AU2">
        <v>275.30806943441564</v>
      </c>
      <c r="AV2">
        <v>285.23760052339736</v>
      </c>
      <c r="AW2">
        <v>279.54719279000153</v>
      </c>
      <c r="AX2">
        <v>275.9483720507738</v>
      </c>
      <c r="AY2">
        <v>277.38709571877564</v>
      </c>
      <c r="AZ2">
        <v>288.497312480858</v>
      </c>
      <c r="BA2">
        <v>289.11555514494353</v>
      </c>
      <c r="BB2">
        <v>296.07576134420037</v>
      </c>
      <c r="BC2">
        <v>284.51612132845526</v>
      </c>
      <c r="BD2">
        <v>292.41866717665852</v>
      </c>
      <c r="BE2">
        <v>282.961363126295</v>
      </c>
      <c r="BF2">
        <v>287.21340977226123</v>
      </c>
      <c r="BG2">
        <v>299.34389221993024</v>
      </c>
      <c r="BH2">
        <v>290.28247252446653</v>
      </c>
      <c r="BI2">
        <v>284.88871097936641</v>
      </c>
      <c r="BJ2">
        <v>281.14780891497992</v>
      </c>
      <c r="BK2">
        <v>297.14922147168846</v>
      </c>
      <c r="BL2">
        <v>299.55691799732585</v>
      </c>
      <c r="BM2">
        <v>293.86067573242423</v>
      </c>
      <c r="BN2">
        <v>279.44376992438561</v>
      </c>
      <c r="BO2">
        <v>278.41724607295924</v>
      </c>
      <c r="BP2">
        <v>269.71758802950148</v>
      </c>
      <c r="BQ2">
        <v>271.3902794711334</v>
      </c>
      <c r="BR2">
        <v>282.56842951385306</v>
      </c>
      <c r="BS2">
        <v>295.89123422360865</v>
      </c>
      <c r="BT2">
        <v>294.89326869329227</v>
      </c>
      <c r="BU2">
        <v>289.01561650365272</v>
      </c>
      <c r="BV2">
        <v>295.01129165785841</v>
      </c>
      <c r="BW2">
        <v>296.01437354617286</v>
      </c>
      <c r="BX2">
        <v>293.5161736873705</v>
      </c>
      <c r="BY2">
        <v>302.17174080864345</v>
      </c>
      <c r="BZ2">
        <v>308.71823223817091</v>
      </c>
      <c r="CA2">
        <v>301.46640266254815</v>
      </c>
      <c r="CB2">
        <v>310.41921764381783</v>
      </c>
      <c r="CC2">
        <v>312.69390329167527</v>
      </c>
      <c r="CD2">
        <v>307.72931847337708</v>
      </c>
      <c r="CE2">
        <v>312.00513381829495</v>
      </c>
      <c r="CF2">
        <v>310.151446697241</v>
      </c>
      <c r="CG2">
        <v>325.81353986404514</v>
      </c>
      <c r="CH2">
        <v>330.04612776491018</v>
      </c>
      <c r="CI2">
        <v>336.11926169263836</v>
      </c>
      <c r="CJ2">
        <v>324.30584715263251</v>
      </c>
      <c r="CK2">
        <v>328.78149025996458</v>
      </c>
      <c r="CL2">
        <v>324.48974225208548</v>
      </c>
      <c r="CM2">
        <v>337.1463420571651</v>
      </c>
      <c r="CN2">
        <v>336.48347815815657</v>
      </c>
      <c r="CO2">
        <v>349.15703284644508</v>
      </c>
      <c r="CP2">
        <v>354.87223769569067</v>
      </c>
      <c r="CQ2">
        <v>351.06297182690258</v>
      </c>
      <c r="CR2">
        <v>351.56545799011474</v>
      </c>
      <c r="CS2">
        <v>360.7649521097153</v>
      </c>
      <c r="CT2">
        <v>352.14932622761802</v>
      </c>
      <c r="CU2">
        <v>365.61813439122199</v>
      </c>
      <c r="CV2">
        <v>145.61813439122199</v>
      </c>
      <c r="CW2">
        <v>140.006220740016</v>
      </c>
    </row>
    <row r="3" spans="4:101" x14ac:dyDescent="0.2">
      <c r="E3">
        <v>222.13</v>
      </c>
      <c r="F3">
        <v>219.55121236055817</v>
      </c>
      <c r="G3">
        <v>219.99448224018127</v>
      </c>
      <c r="H3">
        <v>219.41240249025228</v>
      </c>
      <c r="I3">
        <v>213.74426326920894</v>
      </c>
      <c r="J3">
        <v>206.35885178781712</v>
      </c>
      <c r="K3">
        <v>206.46041050446885</v>
      </c>
      <c r="L3">
        <v>210.97346604656434</v>
      </c>
      <c r="M3">
        <v>218.65928299480495</v>
      </c>
      <c r="N3">
        <v>218.92635476391138</v>
      </c>
      <c r="O3">
        <v>216.78632361525783</v>
      </c>
      <c r="P3">
        <v>220.31654019040297</v>
      </c>
      <c r="Q3">
        <v>221.09982699349871</v>
      </c>
      <c r="R3">
        <v>225.18250340277331</v>
      </c>
      <c r="S3">
        <v>225.16256382789911</v>
      </c>
      <c r="T3">
        <v>220.97310878121698</v>
      </c>
      <c r="U3">
        <v>215.71124870523388</v>
      </c>
      <c r="V3">
        <v>217.52417659804965</v>
      </c>
      <c r="W3">
        <v>220.63418826080851</v>
      </c>
      <c r="X3">
        <v>218.57893398694503</v>
      </c>
      <c r="Y3">
        <v>219.2250070930715</v>
      </c>
      <c r="Z3">
        <v>210.89388344159593</v>
      </c>
      <c r="AA3">
        <v>217.47955731398119</v>
      </c>
      <c r="AB3">
        <v>207.82044224125576</v>
      </c>
      <c r="AC3">
        <v>210.80393506616156</v>
      </c>
      <c r="AD3">
        <v>213.09370946794922</v>
      </c>
      <c r="AE3">
        <v>212.77564525866279</v>
      </c>
      <c r="AF3">
        <v>217.13473628456563</v>
      </c>
      <c r="AG3">
        <v>210.74898916267722</v>
      </c>
      <c r="AH3">
        <v>212.25836861989205</v>
      </c>
      <c r="AI3">
        <v>211.99056131957732</v>
      </c>
      <c r="AJ3">
        <v>209.83914111058093</v>
      </c>
      <c r="AK3">
        <v>208.81247949019883</v>
      </c>
      <c r="AL3">
        <v>200.97043644155059</v>
      </c>
      <c r="AM3">
        <v>199.28090619300846</v>
      </c>
      <c r="AN3">
        <v>193.49991050329265</v>
      </c>
      <c r="AO3">
        <v>192.27961277603131</v>
      </c>
      <c r="AP3">
        <v>189.90741724059782</v>
      </c>
      <c r="AQ3">
        <v>192.81968294048411</v>
      </c>
      <c r="AR3">
        <v>194.83320741466537</v>
      </c>
      <c r="AS3">
        <v>202.66236162056657</v>
      </c>
      <c r="AT3">
        <v>204.74388192718831</v>
      </c>
      <c r="AU3">
        <v>215.72826120712617</v>
      </c>
      <c r="AV3">
        <v>210.82250125072628</v>
      </c>
      <c r="AW3">
        <v>206.022662671224</v>
      </c>
      <c r="AX3">
        <v>204.72225502078808</v>
      </c>
      <c r="AY3">
        <v>207.11049337376519</v>
      </c>
      <c r="AZ3">
        <v>206.84457155102388</v>
      </c>
      <c r="BA3">
        <v>214.05641216618395</v>
      </c>
      <c r="BB3">
        <v>219.18780225038566</v>
      </c>
      <c r="BC3">
        <v>217.07482768055428</v>
      </c>
      <c r="BD3">
        <v>218.02345793053155</v>
      </c>
      <c r="BE3">
        <v>214.06793164251016</v>
      </c>
      <c r="BF3">
        <v>217.42505540407134</v>
      </c>
      <c r="BG3">
        <v>217.48750843963685</v>
      </c>
      <c r="BH3">
        <v>212.78901783333654</v>
      </c>
      <c r="BI3">
        <v>215.02536239266007</v>
      </c>
      <c r="BJ3">
        <v>216.79138007465252</v>
      </c>
      <c r="BK3">
        <v>221.392485924076</v>
      </c>
      <c r="BL3">
        <v>225.33062244230288</v>
      </c>
      <c r="BM3">
        <v>222.65496889020429</v>
      </c>
      <c r="BN3">
        <v>210.90836705369935</v>
      </c>
      <c r="BO3">
        <v>212.4074136131579</v>
      </c>
      <c r="BP3">
        <v>223.54824981766353</v>
      </c>
      <c r="BQ3">
        <v>225.05375379108733</v>
      </c>
      <c r="BR3">
        <v>227.70439409884614</v>
      </c>
      <c r="BS3">
        <v>235.45600706343694</v>
      </c>
      <c r="BT3">
        <v>223.08952499362192</v>
      </c>
      <c r="BU3">
        <v>229.25405902520848</v>
      </c>
      <c r="BV3">
        <v>239.71360866394531</v>
      </c>
      <c r="BW3">
        <v>237.7216019642953</v>
      </c>
      <c r="BX3">
        <v>245.30863882264742</v>
      </c>
      <c r="BY3">
        <v>247.30307550450999</v>
      </c>
      <c r="BZ3">
        <v>247.64087666184159</v>
      </c>
      <c r="CA3">
        <v>244.66243129642601</v>
      </c>
      <c r="CB3">
        <v>239.63898875191921</v>
      </c>
      <c r="CC3">
        <v>234.32062622129718</v>
      </c>
      <c r="CD3">
        <v>235.55476458558866</v>
      </c>
      <c r="CE3">
        <v>243.71758263280179</v>
      </c>
      <c r="CF3">
        <v>246.83739645676098</v>
      </c>
      <c r="CG3">
        <v>241.6109650014256</v>
      </c>
      <c r="CH3">
        <v>239.6518442203195</v>
      </c>
      <c r="CI3">
        <v>244.55655188222079</v>
      </c>
      <c r="CJ3">
        <v>245.59312695039139</v>
      </c>
      <c r="CK3">
        <v>248.74426257747203</v>
      </c>
      <c r="CL3">
        <v>247.47441977142307</v>
      </c>
      <c r="CM3">
        <v>254.40897731419565</v>
      </c>
      <c r="CN3">
        <v>256.18342789111068</v>
      </c>
      <c r="CO3">
        <v>260.28713825289424</v>
      </c>
      <c r="CP3">
        <v>260.87956042170606</v>
      </c>
      <c r="CQ3">
        <v>263.57049728177714</v>
      </c>
      <c r="CR3">
        <v>257.22502131890201</v>
      </c>
      <c r="CS3">
        <v>254.53401868769649</v>
      </c>
      <c r="CT3">
        <v>251.28254147806678</v>
      </c>
      <c r="CU3">
        <v>251.82638510759699</v>
      </c>
      <c r="CV3">
        <v>31.8263851075966</v>
      </c>
      <c r="CW3">
        <v>30.5998419589665</v>
      </c>
    </row>
    <row r="4" spans="4:101" x14ac:dyDescent="0.2">
      <c r="E4">
        <v>222.13</v>
      </c>
      <c r="F4">
        <v>223.47584416126395</v>
      </c>
      <c r="G4">
        <v>224.1749266599783</v>
      </c>
      <c r="H4">
        <v>227.0690558143427</v>
      </c>
      <c r="I4">
        <v>227.63123450434574</v>
      </c>
      <c r="J4">
        <v>224.2681072495956</v>
      </c>
      <c r="K4">
        <v>229.86928915442823</v>
      </c>
      <c r="L4">
        <v>234.96800979564685</v>
      </c>
      <c r="M4">
        <v>243.35053041589785</v>
      </c>
      <c r="N4">
        <v>247.65860090810017</v>
      </c>
      <c r="O4">
        <v>246.7173877098241</v>
      </c>
      <c r="P4">
        <v>236.9214312878716</v>
      </c>
      <c r="Q4">
        <v>224.90460843528462</v>
      </c>
      <c r="R4">
        <v>228.40100887668032</v>
      </c>
      <c r="S4">
        <v>222.79428793749207</v>
      </c>
      <c r="T4">
        <v>220.77269470652547</v>
      </c>
      <c r="U4">
        <v>226.69210329460185</v>
      </c>
      <c r="V4">
        <v>234.33195002567464</v>
      </c>
      <c r="W4">
        <v>238.57436517114212</v>
      </c>
      <c r="X4">
        <v>236.51466874301448</v>
      </c>
      <c r="Y4">
        <v>232.85521568431065</v>
      </c>
      <c r="Z4">
        <v>241.15916855882651</v>
      </c>
      <c r="AA4">
        <v>235.10539258243875</v>
      </c>
      <c r="AB4">
        <v>244.02969636882446</v>
      </c>
      <c r="AC4">
        <v>246.31193161835003</v>
      </c>
      <c r="AD4">
        <v>241.2324446520536</v>
      </c>
      <c r="AE4">
        <v>242.00346457034937</v>
      </c>
      <c r="AF4">
        <v>246.19430154656422</v>
      </c>
      <c r="AG4">
        <v>239.30562111923729</v>
      </c>
      <c r="AH4">
        <v>233.96449214035223</v>
      </c>
      <c r="AI4">
        <v>235.06875392158065</v>
      </c>
      <c r="AJ4">
        <v>229.75598136241081</v>
      </c>
      <c r="AK4">
        <v>233.92207290790498</v>
      </c>
      <c r="AL4">
        <v>230.72003460924464</v>
      </c>
      <c r="AM4">
        <v>226.51274356066671</v>
      </c>
      <c r="AN4">
        <v>232.13546929158915</v>
      </c>
      <c r="AO4">
        <v>235.6569611580469</v>
      </c>
      <c r="AP4">
        <v>238.19405934360984</v>
      </c>
      <c r="AQ4">
        <v>245.48318970822965</v>
      </c>
      <c r="AR4">
        <v>245.07399788082031</v>
      </c>
      <c r="AS4">
        <v>240.77966202196288</v>
      </c>
      <c r="AT4">
        <v>239.20616059542331</v>
      </c>
      <c r="AU4">
        <v>245.52907998117072</v>
      </c>
      <c r="AV4">
        <v>251.94659621582096</v>
      </c>
      <c r="AW4">
        <v>261.41929019302393</v>
      </c>
      <c r="AX4">
        <v>256.67795901420197</v>
      </c>
      <c r="AY4">
        <v>257.48692037136482</v>
      </c>
      <c r="AZ4">
        <v>258.84653563476382</v>
      </c>
      <c r="BA4">
        <v>252.93695098607608</v>
      </c>
      <c r="BB4">
        <v>253.11188771415109</v>
      </c>
      <c r="BC4">
        <v>247.563730757434</v>
      </c>
      <c r="BD4">
        <v>247.31442607696317</v>
      </c>
      <c r="BE4">
        <v>255.0025925417182</v>
      </c>
      <c r="BF4">
        <v>252.33511239675076</v>
      </c>
      <c r="BG4">
        <v>254.37299301220023</v>
      </c>
      <c r="BH4">
        <v>257.66790733963967</v>
      </c>
      <c r="BI4">
        <v>248.79279843979339</v>
      </c>
      <c r="BJ4">
        <v>249.06958198603692</v>
      </c>
      <c r="BK4">
        <v>241.49379038320419</v>
      </c>
      <c r="BL4">
        <v>243.16526068067739</v>
      </c>
      <c r="BM4">
        <v>236.88956702004202</v>
      </c>
      <c r="BN4">
        <v>223.56348804320896</v>
      </c>
      <c r="BO4">
        <v>226.22383900437822</v>
      </c>
      <c r="BP4">
        <v>222.0212298593689</v>
      </c>
      <c r="BQ4">
        <v>220.04210419561295</v>
      </c>
      <c r="BR4">
        <v>214.99783611946634</v>
      </c>
      <c r="BS4">
        <v>200.6048217545069</v>
      </c>
      <c r="BT4">
        <v>199.35250548667275</v>
      </c>
      <c r="BU4">
        <v>206.72234848387509</v>
      </c>
      <c r="BV4">
        <v>204.07643888010486</v>
      </c>
      <c r="BW4">
        <v>197.28386053646022</v>
      </c>
      <c r="BX4">
        <v>198.85557551127968</v>
      </c>
      <c r="BY4">
        <v>199.49058516766311</v>
      </c>
      <c r="BZ4">
        <v>199.17731850579833</v>
      </c>
      <c r="CA4">
        <v>204.74790209717918</v>
      </c>
      <c r="CB4">
        <v>209.61813630807106</v>
      </c>
      <c r="CC4">
        <v>209.96452628560405</v>
      </c>
      <c r="CD4">
        <v>200.3819678801265</v>
      </c>
      <c r="CE4">
        <v>201.46432201998124</v>
      </c>
      <c r="CF4">
        <v>200.94873519026993</v>
      </c>
      <c r="CG4">
        <v>200.27444725465796</v>
      </c>
      <c r="CH4">
        <v>207.1860772944998</v>
      </c>
      <c r="CI4">
        <v>216.30176530923978</v>
      </c>
      <c r="CJ4">
        <v>218.48562950563596</v>
      </c>
      <c r="CK4">
        <v>214.61914014022045</v>
      </c>
      <c r="CL4">
        <v>215.72389571964075</v>
      </c>
      <c r="CM4">
        <v>212.05524856690079</v>
      </c>
      <c r="CN4">
        <v>218.46044944372233</v>
      </c>
      <c r="CO4">
        <v>220.93911290557537</v>
      </c>
      <c r="CP4">
        <v>222.151115079807</v>
      </c>
      <c r="CQ4">
        <v>217.07270585353291</v>
      </c>
      <c r="CR4">
        <v>221.62469406974685</v>
      </c>
      <c r="CS4">
        <v>226.89950380135323</v>
      </c>
      <c r="CT4">
        <v>214.25716170804321</v>
      </c>
      <c r="CU4">
        <v>217.575119836977</v>
      </c>
      <c r="CV4">
        <v>0</v>
      </c>
      <c r="CW4">
        <v>0</v>
      </c>
    </row>
    <row r="5" spans="4:101" x14ac:dyDescent="0.2">
      <c r="E5">
        <v>222.13</v>
      </c>
      <c r="F5">
        <v>219.86479312626673</v>
      </c>
      <c r="G5">
        <v>217.7443563570302</v>
      </c>
      <c r="H5">
        <v>216.21154856233071</v>
      </c>
      <c r="I5">
        <v>213.0678498380552</v>
      </c>
      <c r="J5">
        <v>212.75661299892116</v>
      </c>
      <c r="K5">
        <v>213.81787292112807</v>
      </c>
      <c r="L5">
        <v>209.3681790105594</v>
      </c>
      <c r="M5">
        <v>209.96426176193336</v>
      </c>
      <c r="N5">
        <v>212.66546064179082</v>
      </c>
      <c r="O5">
        <v>208.21363587955042</v>
      </c>
      <c r="P5">
        <v>198.8543479502132</v>
      </c>
      <c r="Q5">
        <v>199.68924992895421</v>
      </c>
      <c r="R5">
        <v>204.45369205088528</v>
      </c>
      <c r="S5">
        <v>203.8224000347077</v>
      </c>
      <c r="T5">
        <v>204.2838827959155</v>
      </c>
      <c r="U5">
        <v>212.05081923839722</v>
      </c>
      <c r="V5">
        <v>210.40045855905475</v>
      </c>
      <c r="W5">
        <v>214.65567668097495</v>
      </c>
      <c r="X5">
        <v>216.26031744394928</v>
      </c>
      <c r="Y5">
        <v>219.96643224910122</v>
      </c>
      <c r="Z5">
        <v>219.70537099256379</v>
      </c>
      <c r="AA5">
        <v>224.95145960909144</v>
      </c>
      <c r="AB5">
        <v>223.33121780372346</v>
      </c>
      <c r="AC5">
        <v>224.97007360267426</v>
      </c>
      <c r="AD5">
        <v>226.94816424982224</v>
      </c>
      <c r="AE5">
        <v>218.33332416982702</v>
      </c>
      <c r="AF5">
        <v>226.2207803157788</v>
      </c>
      <c r="AG5">
        <v>227.09484560220733</v>
      </c>
      <c r="AH5">
        <v>226.60378907304869</v>
      </c>
      <c r="AI5">
        <v>226.64711364267831</v>
      </c>
      <c r="AJ5">
        <v>218.66358468377729</v>
      </c>
      <c r="AK5">
        <v>221.76378496204259</v>
      </c>
      <c r="AL5">
        <v>221.53639357283953</v>
      </c>
      <c r="AM5">
        <v>212.74081186706843</v>
      </c>
      <c r="AN5">
        <v>214.46035304947239</v>
      </c>
      <c r="AO5">
        <v>216.76226621462862</v>
      </c>
      <c r="AP5">
        <v>220.94275134115463</v>
      </c>
      <c r="AQ5">
        <v>218.27650415602903</v>
      </c>
      <c r="AR5">
        <v>221.17833156047462</v>
      </c>
      <c r="AS5">
        <v>227.83816051805235</v>
      </c>
      <c r="AT5">
        <v>227.70424930727762</v>
      </c>
      <c r="AU5">
        <v>221.20434790716263</v>
      </c>
      <c r="AV5">
        <v>215.51707905042224</v>
      </c>
      <c r="AW5">
        <v>217.08063932013931</v>
      </c>
      <c r="AX5">
        <v>218.64707494763675</v>
      </c>
      <c r="AY5">
        <v>220.71458969991525</v>
      </c>
      <c r="AZ5">
        <v>222.48209091381409</v>
      </c>
      <c r="BA5">
        <v>218.28554776653917</v>
      </c>
      <c r="BB5">
        <v>214.82002999511116</v>
      </c>
      <c r="BC5">
        <v>214.19168320881309</v>
      </c>
      <c r="BD5">
        <v>221.25855656156116</v>
      </c>
      <c r="BE5">
        <v>224.1935114696571</v>
      </c>
      <c r="BF5">
        <v>219.05708651875702</v>
      </c>
      <c r="BG5">
        <v>223.2139509789954</v>
      </c>
      <c r="BH5">
        <v>227.00525640067639</v>
      </c>
      <c r="BI5">
        <v>223.52210461802562</v>
      </c>
      <c r="BJ5">
        <v>232.35406113522436</v>
      </c>
      <c r="BK5">
        <v>239.30324658024267</v>
      </c>
      <c r="BL5">
        <v>234.87178642560943</v>
      </c>
      <c r="BM5">
        <v>228.9249606190584</v>
      </c>
      <c r="BN5">
        <v>226.14108245306477</v>
      </c>
      <c r="BO5">
        <v>223.67718502724873</v>
      </c>
      <c r="BP5">
        <v>214.70249033780652</v>
      </c>
      <c r="BQ5">
        <v>210.58809798348318</v>
      </c>
      <c r="BR5">
        <v>202.46635456723288</v>
      </c>
      <c r="BS5">
        <v>204.605796426105</v>
      </c>
      <c r="BT5">
        <v>197.94396932913514</v>
      </c>
      <c r="BU5">
        <v>198.16352226084425</v>
      </c>
      <c r="BV5">
        <v>204.86007187874498</v>
      </c>
      <c r="BW5">
        <v>207.55607537573701</v>
      </c>
      <c r="BX5">
        <v>199.78349712481779</v>
      </c>
      <c r="BY5">
        <v>206.37119425198625</v>
      </c>
      <c r="BZ5">
        <v>203.20384101491257</v>
      </c>
      <c r="CA5">
        <v>201.58367842258147</v>
      </c>
      <c r="CB5">
        <v>200.39590234285242</v>
      </c>
      <c r="CC5">
        <v>207.48171662116502</v>
      </c>
      <c r="CD5">
        <v>223.99489258173972</v>
      </c>
      <c r="CE5">
        <v>233.39035222133032</v>
      </c>
      <c r="CF5">
        <v>226.2132946172467</v>
      </c>
      <c r="CG5">
        <v>224.53169617214817</v>
      </c>
      <c r="CH5">
        <v>225.74650339384496</v>
      </c>
      <c r="CI5">
        <v>220.37135836091602</v>
      </c>
      <c r="CJ5">
        <v>217.88770777480113</v>
      </c>
      <c r="CK5">
        <v>220.61225213179463</v>
      </c>
      <c r="CL5">
        <v>220.39366606149977</v>
      </c>
      <c r="CM5">
        <v>218.74828314458725</v>
      </c>
      <c r="CN5">
        <v>210.8001639699452</v>
      </c>
      <c r="CO5">
        <v>212.45312994731657</v>
      </c>
      <c r="CP5">
        <v>214.50112888654684</v>
      </c>
      <c r="CQ5">
        <v>214.25607191705268</v>
      </c>
      <c r="CR5">
        <v>215.53209712177619</v>
      </c>
      <c r="CS5">
        <v>209.79984612888089</v>
      </c>
      <c r="CT5">
        <v>212.64811320867631</v>
      </c>
      <c r="CU5">
        <v>209.83395010488448</v>
      </c>
      <c r="CV5">
        <v>0</v>
      </c>
      <c r="CW5">
        <v>0</v>
      </c>
    </row>
    <row r="6" spans="4:101" x14ac:dyDescent="0.2">
      <c r="E6">
        <v>222.13</v>
      </c>
      <c r="F6">
        <v>219.06921717872729</v>
      </c>
      <c r="G6">
        <v>217.13203932212383</v>
      </c>
      <c r="H6">
        <v>215.24673527331817</v>
      </c>
      <c r="I6">
        <v>209.1448191067006</v>
      </c>
      <c r="J6">
        <v>205.96846500188121</v>
      </c>
      <c r="K6">
        <v>202.01152451956861</v>
      </c>
      <c r="L6">
        <v>198.42452515070511</v>
      </c>
      <c r="M6">
        <v>196.79776314074775</v>
      </c>
      <c r="N6">
        <v>198.96337010911938</v>
      </c>
      <c r="O6">
        <v>198.34181417536973</v>
      </c>
      <c r="P6">
        <v>194.70831579534197</v>
      </c>
      <c r="Q6">
        <v>195.88604593016706</v>
      </c>
      <c r="R6">
        <v>192.25917634665424</v>
      </c>
      <c r="S6">
        <v>191.73477264131643</v>
      </c>
      <c r="T6">
        <v>190.33062459215739</v>
      </c>
      <c r="U6">
        <v>193.01942860456825</v>
      </c>
      <c r="V6">
        <v>198.18898683871055</v>
      </c>
      <c r="W6">
        <v>202.45312070454284</v>
      </c>
      <c r="X6">
        <v>194.43604308599078</v>
      </c>
      <c r="Y6">
        <v>202.33947824924005</v>
      </c>
      <c r="Z6">
        <v>212.07027757305997</v>
      </c>
      <c r="AA6">
        <v>220.2497211471063</v>
      </c>
      <c r="AB6">
        <v>220.13369584468799</v>
      </c>
      <c r="AC6">
        <v>217.93524086560342</v>
      </c>
      <c r="AD6">
        <v>218.2997004815671</v>
      </c>
      <c r="AE6">
        <v>218.67885637937744</v>
      </c>
      <c r="AF6">
        <v>223.05256365002771</v>
      </c>
      <c r="AG6">
        <v>221.87502842348346</v>
      </c>
      <c r="AH6">
        <v>215.21654693507847</v>
      </c>
      <c r="AI6">
        <v>220.45526936643833</v>
      </c>
      <c r="AJ6">
        <v>214.4764701881318</v>
      </c>
      <c r="AK6">
        <v>216.85318059909073</v>
      </c>
      <c r="AL6">
        <v>213.81233708783046</v>
      </c>
      <c r="AM6">
        <v>228.08741408442185</v>
      </c>
      <c r="AN6">
        <v>230.23282599704447</v>
      </c>
      <c r="AO6">
        <v>223.31641504944551</v>
      </c>
      <c r="AP6">
        <v>220.25616920630821</v>
      </c>
      <c r="AQ6">
        <v>220.16672880807283</v>
      </c>
      <c r="AR6">
        <v>215.77555617249939</v>
      </c>
      <c r="AS6">
        <v>217.15728215777105</v>
      </c>
      <c r="AT6">
        <v>214.6970672243273</v>
      </c>
      <c r="AU6">
        <v>214.59058389691916</v>
      </c>
      <c r="AV6">
        <v>211.94771356689478</v>
      </c>
      <c r="AW6">
        <v>207.55940172051214</v>
      </c>
      <c r="AX6">
        <v>205.96701357551905</v>
      </c>
      <c r="AY6">
        <v>204.89207775660978</v>
      </c>
      <c r="AZ6">
        <v>210.15448042321745</v>
      </c>
      <c r="BA6">
        <v>208.87440123289551</v>
      </c>
      <c r="BB6">
        <v>203.62813986704208</v>
      </c>
      <c r="BC6">
        <v>207.00847652389524</v>
      </c>
      <c r="BD6">
        <v>206.67100178549131</v>
      </c>
      <c r="BE6">
        <v>204.62061921321347</v>
      </c>
      <c r="BF6">
        <v>197.97968213460126</v>
      </c>
      <c r="BG6">
        <v>196.87814170316631</v>
      </c>
      <c r="BH6">
        <v>201.38385020087199</v>
      </c>
      <c r="BI6">
        <v>201.04840309434519</v>
      </c>
      <c r="BJ6">
        <v>200.40948217074316</v>
      </c>
      <c r="BK6">
        <v>200.8037069833633</v>
      </c>
      <c r="BL6">
        <v>207.45890068927653</v>
      </c>
      <c r="BM6">
        <v>208.09816981063923</v>
      </c>
      <c r="BN6">
        <v>204.18352104979817</v>
      </c>
      <c r="BO6">
        <v>201.14444712325607</v>
      </c>
      <c r="BP6">
        <v>201.37256474526268</v>
      </c>
      <c r="BQ6">
        <v>200.84372112420371</v>
      </c>
      <c r="BR6">
        <v>204.09993565057516</v>
      </c>
      <c r="BS6">
        <v>204.06991236109462</v>
      </c>
      <c r="BT6">
        <v>199.31625090231972</v>
      </c>
      <c r="BU6">
        <v>208.97680918933585</v>
      </c>
      <c r="BV6">
        <v>209.47056754622955</v>
      </c>
      <c r="BW6">
        <v>211.0538826677404</v>
      </c>
      <c r="BX6">
        <v>210.97111600688675</v>
      </c>
      <c r="BY6">
        <v>207.39318244669585</v>
      </c>
      <c r="BZ6">
        <v>208.94975252207578</v>
      </c>
      <c r="CA6">
        <v>204.23459187789931</v>
      </c>
      <c r="CB6">
        <v>199.06619830552515</v>
      </c>
      <c r="CC6">
        <v>206.77098482843158</v>
      </c>
      <c r="CD6">
        <v>207.94285375426986</v>
      </c>
      <c r="CE6">
        <v>204.69039673683278</v>
      </c>
      <c r="CF6">
        <v>218.89086989249088</v>
      </c>
      <c r="CG6">
        <v>223.08572624422598</v>
      </c>
      <c r="CH6">
        <v>226.60001620694834</v>
      </c>
      <c r="CI6">
        <v>224.87642961251669</v>
      </c>
      <c r="CJ6">
        <v>228.71017466970932</v>
      </c>
      <c r="CK6">
        <v>236.86606098197362</v>
      </c>
      <c r="CL6">
        <v>244.64987276995797</v>
      </c>
      <c r="CM6">
        <v>250.70460618076413</v>
      </c>
      <c r="CN6">
        <v>257.74885076792259</v>
      </c>
      <c r="CO6">
        <v>249.73935812879921</v>
      </c>
      <c r="CP6">
        <v>250.86808397121658</v>
      </c>
      <c r="CQ6">
        <v>248.17955736269155</v>
      </c>
      <c r="CR6">
        <v>244.59894552965824</v>
      </c>
      <c r="CS6">
        <v>244.18735191747535</v>
      </c>
      <c r="CT6">
        <v>247.92246923235811</v>
      </c>
      <c r="CU6">
        <v>246.0611299248896</v>
      </c>
      <c r="CV6">
        <v>26.061129924889599</v>
      </c>
      <c r="CW6">
        <v>25.056771426528307</v>
      </c>
    </row>
    <row r="7" spans="4:101" x14ac:dyDescent="0.2">
      <c r="E7">
        <v>222.13</v>
      </c>
      <c r="F7">
        <v>221.38332295762365</v>
      </c>
      <c r="G7">
        <v>215.65531296499375</v>
      </c>
      <c r="H7">
        <v>222.9254505544524</v>
      </c>
      <c r="I7">
        <v>214.3910014132511</v>
      </c>
      <c r="J7">
        <v>216.94123465666482</v>
      </c>
      <c r="K7">
        <v>212.53347275262112</v>
      </c>
      <c r="L7">
        <v>222.80378932308463</v>
      </c>
      <c r="M7">
        <v>218.70714423041611</v>
      </c>
      <c r="N7">
        <v>212.07885739526211</v>
      </c>
      <c r="O7">
        <v>217.01529339268981</v>
      </c>
      <c r="P7">
        <v>222.81534278200371</v>
      </c>
      <c r="Q7">
        <v>225.59692687900241</v>
      </c>
      <c r="R7">
        <v>229.0072525507625</v>
      </c>
      <c r="S7">
        <v>235.39682582624567</v>
      </c>
      <c r="T7">
        <v>235.43756479437775</v>
      </c>
      <c r="U7">
        <v>234.48836152885264</v>
      </c>
      <c r="V7">
        <v>245.98956871211715</v>
      </c>
      <c r="W7">
        <v>241.07022185817675</v>
      </c>
      <c r="X7">
        <v>251.57602994930957</v>
      </c>
      <c r="Y7">
        <v>259.15242668568919</v>
      </c>
      <c r="Z7">
        <v>253.7417619067871</v>
      </c>
      <c r="AA7">
        <v>241.99793639871999</v>
      </c>
      <c r="AB7">
        <v>245.33475439792937</v>
      </c>
      <c r="AC7">
        <v>247.30753680741316</v>
      </c>
      <c r="AD7">
        <v>242.55917622959845</v>
      </c>
      <c r="AE7">
        <v>238.36781338511307</v>
      </c>
      <c r="AF7">
        <v>240.2045321921118</v>
      </c>
      <c r="AG7">
        <v>245.70372465195507</v>
      </c>
      <c r="AH7">
        <v>234.51291706130223</v>
      </c>
      <c r="AI7">
        <v>229.89832540185733</v>
      </c>
      <c r="AJ7">
        <v>230.05034106982615</v>
      </c>
      <c r="AK7">
        <v>236.24043441704418</v>
      </c>
      <c r="AL7">
        <v>234.5475536094925</v>
      </c>
      <c r="AM7">
        <v>232.89942823229819</v>
      </c>
      <c r="AN7">
        <v>227.26866868477228</v>
      </c>
      <c r="AO7">
        <v>229.58065943159056</v>
      </c>
      <c r="AP7">
        <v>230.95113378997596</v>
      </c>
      <c r="AQ7">
        <v>231.52551479725119</v>
      </c>
      <c r="AR7">
        <v>221.07930962370497</v>
      </c>
      <c r="AS7">
        <v>216.47657146917797</v>
      </c>
      <c r="AT7">
        <v>216.84021040721422</v>
      </c>
      <c r="AU7">
        <v>215.62809154136255</v>
      </c>
      <c r="AV7">
        <v>216.1568962443169</v>
      </c>
      <c r="AW7">
        <v>214.08392125594631</v>
      </c>
      <c r="AX7">
        <v>214.84251752493299</v>
      </c>
      <c r="AY7">
        <v>216.16949534517573</v>
      </c>
      <c r="AZ7">
        <v>216.1302653539949</v>
      </c>
      <c r="BA7">
        <v>220.99217242109998</v>
      </c>
      <c r="BB7">
        <v>211.44478040375057</v>
      </c>
      <c r="BC7">
        <v>211.31913197086865</v>
      </c>
      <c r="BD7">
        <v>207.50157823934279</v>
      </c>
      <c r="BE7">
        <v>202.7083052877571</v>
      </c>
      <c r="BF7">
        <v>204.45988682690282</v>
      </c>
      <c r="BG7">
        <v>198.22244156761116</v>
      </c>
      <c r="BH7">
        <v>206.37096189865503</v>
      </c>
      <c r="BI7">
        <v>203.96797913852501</v>
      </c>
      <c r="BJ7">
        <v>203.40692548134655</v>
      </c>
      <c r="BK7">
        <v>196.52119324236577</v>
      </c>
      <c r="BL7">
        <v>195.6273061691395</v>
      </c>
      <c r="BM7">
        <v>193.90983104704333</v>
      </c>
      <c r="BN7">
        <v>202.33310155246787</v>
      </c>
      <c r="BO7">
        <v>207.33164971355927</v>
      </c>
      <c r="BP7">
        <v>218.53772939044504</v>
      </c>
      <c r="BQ7">
        <v>211.25029695932778</v>
      </c>
      <c r="BR7">
        <v>218.43224802997494</v>
      </c>
      <c r="BS7">
        <v>223.87841510745389</v>
      </c>
      <c r="BT7">
        <v>226.63902758069889</v>
      </c>
      <c r="BU7">
        <v>234.58351626672956</v>
      </c>
      <c r="BV7">
        <v>228.44379698871467</v>
      </c>
      <c r="BW7">
        <v>235.55224789814432</v>
      </c>
      <c r="BX7">
        <v>239.85137737415329</v>
      </c>
      <c r="BY7">
        <v>244.97745718182435</v>
      </c>
      <c r="BZ7">
        <v>240.37622323505613</v>
      </c>
      <c r="CA7">
        <v>235.12382201723403</v>
      </c>
      <c r="CB7">
        <v>233.96326566808091</v>
      </c>
      <c r="CC7">
        <v>236.37581721871439</v>
      </c>
      <c r="CD7">
        <v>231.13308349255303</v>
      </c>
      <c r="CE7">
        <v>232.50621437736169</v>
      </c>
      <c r="CF7">
        <v>238.18607125184209</v>
      </c>
      <c r="CG7">
        <v>244.56279748525139</v>
      </c>
      <c r="CH7">
        <v>231.58360711804201</v>
      </c>
      <c r="CI7">
        <v>232.83928493185894</v>
      </c>
      <c r="CJ7">
        <v>230.02617859803243</v>
      </c>
      <c r="CK7">
        <v>234.63938787209315</v>
      </c>
      <c r="CL7">
        <v>248.10270407648989</v>
      </c>
      <c r="CM7">
        <v>239.88595314407345</v>
      </c>
      <c r="CN7">
        <v>246.12292066016363</v>
      </c>
      <c r="CO7">
        <v>248.39865525147658</v>
      </c>
      <c r="CP7">
        <v>243.6614026869581</v>
      </c>
      <c r="CQ7">
        <v>244.15881543249358</v>
      </c>
      <c r="CR7">
        <v>235.99978130971098</v>
      </c>
      <c r="CS7">
        <v>230.02983173726017</v>
      </c>
      <c r="CT7">
        <v>227.10925287967646</v>
      </c>
      <c r="CU7">
        <v>223.78005144227967</v>
      </c>
      <c r="CV7">
        <v>3.7800514422796709</v>
      </c>
      <c r="CW7">
        <v>3.6343736914976303</v>
      </c>
    </row>
    <row r="8" spans="4:101" x14ac:dyDescent="0.2">
      <c r="E8">
        <v>222.13</v>
      </c>
      <c r="F8">
        <v>230.32380120737284</v>
      </c>
      <c r="G8">
        <v>239.99618666893636</v>
      </c>
      <c r="H8">
        <v>245.5619837753903</v>
      </c>
      <c r="I8">
        <v>235.75358122086982</v>
      </c>
      <c r="J8">
        <v>229.67312076303216</v>
      </c>
      <c r="K8">
        <v>226.95405261776165</v>
      </c>
      <c r="L8">
        <v>225.30907607561304</v>
      </c>
      <c r="M8">
        <v>230.79764055433606</v>
      </c>
      <c r="N8">
        <v>236.6517343645144</v>
      </c>
      <c r="O8">
        <v>236.89107448913518</v>
      </c>
      <c r="P8">
        <v>238.17000886603506</v>
      </c>
      <c r="Q8">
        <v>240.02201381225098</v>
      </c>
      <c r="R8">
        <v>241.15654443926434</v>
      </c>
      <c r="S8">
        <v>245.71921569916242</v>
      </c>
      <c r="T8">
        <v>243.03085367839191</v>
      </c>
      <c r="U8">
        <v>238.60810743772669</v>
      </c>
      <c r="V8">
        <v>236.60527909439742</v>
      </c>
      <c r="W8">
        <v>228.9954441957</v>
      </c>
      <c r="X8">
        <v>225.78578478778294</v>
      </c>
      <c r="Y8">
        <v>228.13295842543351</v>
      </c>
      <c r="Z8">
        <v>241.82367004350002</v>
      </c>
      <c r="AA8">
        <v>241.48686568231096</v>
      </c>
      <c r="AB8">
        <v>237.78171829679846</v>
      </c>
      <c r="AC8">
        <v>248.57891783460269</v>
      </c>
      <c r="AD8">
        <v>248.94341046210363</v>
      </c>
      <c r="AE8">
        <v>250.44627549894906</v>
      </c>
      <c r="AF8">
        <v>250.2112873873173</v>
      </c>
      <c r="AG8">
        <v>242.22148081184881</v>
      </c>
      <c r="AH8">
        <v>242.82333263935251</v>
      </c>
      <c r="AI8">
        <v>250.10773783746367</v>
      </c>
      <c r="AJ8">
        <v>244.88962333433065</v>
      </c>
      <c r="AK8">
        <v>245.89866612969601</v>
      </c>
      <c r="AL8">
        <v>231.62159759792792</v>
      </c>
      <c r="AM8">
        <v>225.48695413760527</v>
      </c>
      <c r="AN8">
        <v>225.40425760375939</v>
      </c>
      <c r="AO8">
        <v>232.67235455815648</v>
      </c>
      <c r="AP8">
        <v>233.04721600284651</v>
      </c>
      <c r="AQ8">
        <v>231.50521876359446</v>
      </c>
      <c r="AR8">
        <v>232.08675263951471</v>
      </c>
      <c r="AS8">
        <v>229.41957796328711</v>
      </c>
      <c r="AT8">
        <v>222.74354899870835</v>
      </c>
      <c r="AU8">
        <v>221.01965686657454</v>
      </c>
      <c r="AV8">
        <v>219.82388524764301</v>
      </c>
      <c r="AW8">
        <v>225.60125547497645</v>
      </c>
      <c r="AX8">
        <v>226.70647777276176</v>
      </c>
      <c r="AY8">
        <v>219.86838653435404</v>
      </c>
      <c r="AZ8">
        <v>214.03321995203353</v>
      </c>
      <c r="BA8">
        <v>216.07513185854862</v>
      </c>
      <c r="BB8">
        <v>221.56705698548535</v>
      </c>
      <c r="BC8">
        <v>217.3525559540621</v>
      </c>
      <c r="BD8">
        <v>215.63563585332889</v>
      </c>
      <c r="BE8">
        <v>218.65041299725701</v>
      </c>
      <c r="BF8">
        <v>219.47875186335909</v>
      </c>
      <c r="BG8">
        <v>201.97579387029839</v>
      </c>
      <c r="BH8">
        <v>199.55554531474746</v>
      </c>
      <c r="BI8">
        <v>196.86431784925324</v>
      </c>
      <c r="BJ8">
        <v>201.6771067315899</v>
      </c>
      <c r="BK8">
        <v>203.06274646072305</v>
      </c>
      <c r="BL8">
        <v>201.24959374307863</v>
      </c>
      <c r="BM8">
        <v>204.6637225016888</v>
      </c>
      <c r="BN8">
        <v>191.55867466278306</v>
      </c>
      <c r="BO8">
        <v>201.97570439058649</v>
      </c>
      <c r="BP8">
        <v>206.72472572047664</v>
      </c>
      <c r="BQ8">
        <v>207.12556746964063</v>
      </c>
      <c r="BR8">
        <v>212.07912909813899</v>
      </c>
      <c r="BS8">
        <v>213.97762091619572</v>
      </c>
      <c r="BT8">
        <v>208.6052504974102</v>
      </c>
      <c r="BU8">
        <v>206.86878215620797</v>
      </c>
      <c r="BV8">
        <v>210.12035268356391</v>
      </c>
      <c r="BW8">
        <v>213.92599972879319</v>
      </c>
      <c r="BX8">
        <v>212.6372461257763</v>
      </c>
      <c r="BY8">
        <v>207.89614506330858</v>
      </c>
      <c r="BZ8">
        <v>204.78530439969379</v>
      </c>
      <c r="CA8">
        <v>212.21904273197072</v>
      </c>
      <c r="CB8">
        <v>212.84061274562706</v>
      </c>
      <c r="CC8">
        <v>206.16414261656672</v>
      </c>
      <c r="CD8">
        <v>204.15413941437785</v>
      </c>
      <c r="CE8">
        <v>205.97385386480684</v>
      </c>
      <c r="CF8">
        <v>203.56847270729975</v>
      </c>
      <c r="CG8">
        <v>197.17981836584173</v>
      </c>
      <c r="CH8">
        <v>208.50380947814097</v>
      </c>
      <c r="CI8">
        <v>203.81837114924613</v>
      </c>
      <c r="CJ8">
        <v>203.49311336728709</v>
      </c>
      <c r="CK8">
        <v>210.79773841581937</v>
      </c>
      <c r="CL8">
        <v>215.45406297395354</v>
      </c>
      <c r="CM8">
        <v>218.92610036551952</v>
      </c>
      <c r="CN8">
        <v>224.17880038812254</v>
      </c>
      <c r="CO8">
        <v>218.84561867307423</v>
      </c>
      <c r="CP8">
        <v>224.32134187992105</v>
      </c>
      <c r="CQ8">
        <v>224.569070796842</v>
      </c>
      <c r="CR8">
        <v>225.28871798880419</v>
      </c>
      <c r="CS8">
        <v>222.72745703721375</v>
      </c>
      <c r="CT8">
        <v>225.85428279239025</v>
      </c>
      <c r="CU8">
        <v>232.44577381906706</v>
      </c>
      <c r="CV8">
        <v>12.445773819067057</v>
      </c>
      <c r="CW8">
        <v>11.966131580227506</v>
      </c>
    </row>
    <row r="9" spans="4:101" x14ac:dyDescent="0.2">
      <c r="E9">
        <v>222.13</v>
      </c>
      <c r="F9">
        <v>228.73096850351041</v>
      </c>
      <c r="G9">
        <v>225.87150087680425</v>
      </c>
      <c r="H9">
        <v>219.79140569123766</v>
      </c>
      <c r="I9">
        <v>215.67135057406139</v>
      </c>
      <c r="J9">
        <v>221.38634301750054</v>
      </c>
      <c r="K9">
        <v>225.23538700008203</v>
      </c>
      <c r="L9">
        <v>230.52689238021878</v>
      </c>
      <c r="M9">
        <v>223.17926968226666</v>
      </c>
      <c r="N9">
        <v>217.1330840332009</v>
      </c>
      <c r="O9">
        <v>216.31232619995183</v>
      </c>
      <c r="P9">
        <v>215.29420028351524</v>
      </c>
      <c r="Q9">
        <v>221.50413936823779</v>
      </c>
      <c r="R9">
        <v>221.85605792573091</v>
      </c>
      <c r="S9">
        <v>219.08167020034804</v>
      </c>
      <c r="T9">
        <v>214.32022356134851</v>
      </c>
      <c r="U9">
        <v>207.70159210877361</v>
      </c>
      <c r="V9">
        <v>200.06090909667347</v>
      </c>
      <c r="W9">
        <v>206.69847702424752</v>
      </c>
      <c r="X9">
        <v>208.38207136139974</v>
      </c>
      <c r="Y9">
        <v>210.67327371205278</v>
      </c>
      <c r="Z9">
        <v>214.97992329875854</v>
      </c>
      <c r="AA9">
        <v>218.702679366555</v>
      </c>
      <c r="AB9">
        <v>218.08188844668601</v>
      </c>
      <c r="AC9">
        <v>217.90452715204236</v>
      </c>
      <c r="AD9">
        <v>214.44065432272927</v>
      </c>
      <c r="AE9">
        <v>218.40315843669734</v>
      </c>
      <c r="AF9">
        <v>220.53618968411493</v>
      </c>
      <c r="AG9">
        <v>222.13352371675944</v>
      </c>
      <c r="AH9">
        <v>231.2463202536141</v>
      </c>
      <c r="AI9">
        <v>231.97912682911635</v>
      </c>
      <c r="AJ9">
        <v>224.5100373306058</v>
      </c>
      <c r="AK9">
        <v>235.5096031672162</v>
      </c>
      <c r="AL9">
        <v>241.316834914092</v>
      </c>
      <c r="AM9">
        <v>233.55074865341641</v>
      </c>
      <c r="AN9">
        <v>235.66156121595168</v>
      </c>
      <c r="AO9">
        <v>238.88534691262595</v>
      </c>
      <c r="AP9">
        <v>253.09236750869138</v>
      </c>
      <c r="AQ9">
        <v>254.85937463816558</v>
      </c>
      <c r="AR9">
        <v>249.29518169484194</v>
      </c>
      <c r="AS9">
        <v>246.40997095205341</v>
      </c>
      <c r="AT9">
        <v>252.7840808988071</v>
      </c>
      <c r="AU9">
        <v>258.32468230975428</v>
      </c>
      <c r="AV9">
        <v>277.93203196979948</v>
      </c>
      <c r="AW9">
        <v>270.71193214301405</v>
      </c>
      <c r="AX9">
        <v>270.65455476063494</v>
      </c>
      <c r="AY9">
        <v>258.49016981360683</v>
      </c>
      <c r="AZ9">
        <v>262.08523259222812</v>
      </c>
      <c r="BA9">
        <v>252.5687375813396</v>
      </c>
      <c r="BB9">
        <v>256.65684700824761</v>
      </c>
      <c r="BC9">
        <v>256.53306183293671</v>
      </c>
      <c r="BD9">
        <v>269.53286117760655</v>
      </c>
      <c r="BE9">
        <v>256.90416398149694</v>
      </c>
      <c r="BF9">
        <v>270.72284014858923</v>
      </c>
      <c r="BG9">
        <v>274.11192840041934</v>
      </c>
      <c r="BH9">
        <v>279.10529904065896</v>
      </c>
      <c r="BI9">
        <v>275.22866238457527</v>
      </c>
      <c r="BJ9">
        <v>273.92673666475145</v>
      </c>
      <c r="BK9">
        <v>279.02015199432833</v>
      </c>
      <c r="BL9">
        <v>293.64944116668801</v>
      </c>
      <c r="BM9">
        <v>282.35539270240724</v>
      </c>
      <c r="BN9">
        <v>283.07217883696063</v>
      </c>
      <c r="BO9">
        <v>280.64127645463992</v>
      </c>
      <c r="BP9">
        <v>292.72255527874233</v>
      </c>
      <c r="BQ9">
        <v>288.15221275753197</v>
      </c>
      <c r="BR9">
        <v>282.99096210829794</v>
      </c>
      <c r="BS9">
        <v>279.74352232686488</v>
      </c>
      <c r="BT9">
        <v>265.87624668590195</v>
      </c>
      <c r="BU9">
        <v>273.71934317029536</v>
      </c>
      <c r="BV9">
        <v>267.16349175946846</v>
      </c>
      <c r="BW9">
        <v>259.9820225216057</v>
      </c>
      <c r="BX9">
        <v>256.5565176009452</v>
      </c>
      <c r="BY9">
        <v>247.09465426974032</v>
      </c>
      <c r="BZ9">
        <v>246.11901986606668</v>
      </c>
      <c r="CA9">
        <v>249.65715912179309</v>
      </c>
      <c r="CB9">
        <v>253.54504790352323</v>
      </c>
      <c r="CC9">
        <v>254.72678508520016</v>
      </c>
      <c r="CD9">
        <v>256.55455119627027</v>
      </c>
      <c r="CE9">
        <v>261.64685281574424</v>
      </c>
      <c r="CF9">
        <v>252.7910011013164</v>
      </c>
      <c r="CG9">
        <v>253.03015079529311</v>
      </c>
      <c r="CH9">
        <v>259.49037054003378</v>
      </c>
      <c r="CI9">
        <v>260.23068760175062</v>
      </c>
      <c r="CJ9">
        <v>259.24057025096107</v>
      </c>
      <c r="CK9">
        <v>261.85949574815118</v>
      </c>
      <c r="CL9">
        <v>268.16032966366419</v>
      </c>
      <c r="CM9">
        <v>268.09323846027729</v>
      </c>
      <c r="CN9">
        <v>269.80077335960272</v>
      </c>
      <c r="CO9">
        <v>269.57787496562099</v>
      </c>
      <c r="CP9">
        <v>266.9481793433219</v>
      </c>
      <c r="CQ9">
        <v>263.01129695466562</v>
      </c>
      <c r="CR9">
        <v>275.57672697641743</v>
      </c>
      <c r="CS9">
        <v>281.38455581150993</v>
      </c>
      <c r="CT9">
        <v>284.11744320415369</v>
      </c>
      <c r="CU9">
        <v>296.85038418570883</v>
      </c>
      <c r="CV9">
        <v>76.850384185708833</v>
      </c>
      <c r="CW9">
        <v>73.888680810540464</v>
      </c>
    </row>
    <row r="10" spans="4:101" x14ac:dyDescent="0.2">
      <c r="E10">
        <v>222.13</v>
      </c>
      <c r="F10">
        <v>212.75883978478649</v>
      </c>
      <c r="G10">
        <v>206.40258765266623</v>
      </c>
      <c r="H10">
        <v>208.31785420069227</v>
      </c>
      <c r="I10">
        <v>208.81953384163927</v>
      </c>
      <c r="J10">
        <v>216.46181787913952</v>
      </c>
      <c r="K10">
        <v>217.4110724460003</v>
      </c>
      <c r="L10">
        <v>217.71190648407998</v>
      </c>
      <c r="M10">
        <v>215.79491901038637</v>
      </c>
      <c r="N10">
        <v>216.41666510505664</v>
      </c>
      <c r="O10">
        <v>213.37976998690306</v>
      </c>
      <c r="P10">
        <v>206.91948796150638</v>
      </c>
      <c r="Q10">
        <v>211.14454637814404</v>
      </c>
      <c r="R10">
        <v>205.54991476722927</v>
      </c>
      <c r="S10">
        <v>199.64623375216433</v>
      </c>
      <c r="T10">
        <v>197.42268074797551</v>
      </c>
      <c r="U10">
        <v>194.85505186094116</v>
      </c>
      <c r="V10">
        <v>192.22545767906669</v>
      </c>
      <c r="W10">
        <v>193.25263464302265</v>
      </c>
      <c r="X10">
        <v>192.09953279595541</v>
      </c>
      <c r="Y10">
        <v>197.55667156430255</v>
      </c>
      <c r="Z10">
        <v>186.81164172608624</v>
      </c>
      <c r="AA10">
        <v>189.29638246321113</v>
      </c>
      <c r="AB10">
        <v>194.99164628658744</v>
      </c>
      <c r="AC10">
        <v>185.15313042332579</v>
      </c>
      <c r="AD10">
        <v>183.50896093826259</v>
      </c>
      <c r="AE10">
        <v>182.71020613734262</v>
      </c>
      <c r="AF10">
        <v>176.12121146068398</v>
      </c>
      <c r="AG10">
        <v>179.92762201315938</v>
      </c>
      <c r="AH10">
        <v>176.33857230690674</v>
      </c>
      <c r="AI10">
        <v>175.57805683895242</v>
      </c>
      <c r="AJ10">
        <v>175.420846097729</v>
      </c>
      <c r="AK10">
        <v>167.06492900686246</v>
      </c>
      <c r="AL10">
        <v>167.72451281917191</v>
      </c>
      <c r="AM10">
        <v>169.75639376457144</v>
      </c>
      <c r="AN10">
        <v>167.34388460477163</v>
      </c>
      <c r="AO10">
        <v>169.35963724537822</v>
      </c>
      <c r="AP10">
        <v>160.88611690496694</v>
      </c>
      <c r="AQ10">
        <v>163.74340981470141</v>
      </c>
      <c r="AR10">
        <v>167.56331856579925</v>
      </c>
      <c r="AS10">
        <v>168.35622122438096</v>
      </c>
      <c r="AT10">
        <v>172.30031166156451</v>
      </c>
      <c r="AU10">
        <v>173.79545072048899</v>
      </c>
      <c r="AV10">
        <v>179.17813565683574</v>
      </c>
      <c r="AW10">
        <v>177.68261721726131</v>
      </c>
      <c r="AX10">
        <v>171.31197514105017</v>
      </c>
      <c r="AY10">
        <v>170.30515628982585</v>
      </c>
      <c r="AZ10">
        <v>166.01114420225665</v>
      </c>
      <c r="BA10">
        <v>167.71121637100615</v>
      </c>
      <c r="BB10">
        <v>166.07185595216052</v>
      </c>
      <c r="BC10">
        <v>167.09114495948759</v>
      </c>
      <c r="BD10">
        <v>164.6903544857874</v>
      </c>
      <c r="BE10">
        <v>162.57845900687872</v>
      </c>
      <c r="BF10">
        <v>163.89397244296103</v>
      </c>
      <c r="BG10">
        <v>160.94066647736142</v>
      </c>
      <c r="BH10">
        <v>159.46268364402829</v>
      </c>
      <c r="BI10">
        <v>161.63699028025505</v>
      </c>
      <c r="BJ10">
        <v>158.21655894677244</v>
      </c>
      <c r="BK10">
        <v>157.0009526345311</v>
      </c>
      <c r="BL10">
        <v>155.32468967196579</v>
      </c>
      <c r="BM10">
        <v>154.76880115443902</v>
      </c>
      <c r="BN10">
        <v>163.9709631185157</v>
      </c>
      <c r="BO10">
        <v>159.57569033527392</v>
      </c>
      <c r="BP10">
        <v>162.32331581234354</v>
      </c>
      <c r="BQ10">
        <v>158.77513422177844</v>
      </c>
      <c r="BR10">
        <v>159.29575809429812</v>
      </c>
      <c r="BS10">
        <v>157.22161709462125</v>
      </c>
      <c r="BT10">
        <v>155.15672429528556</v>
      </c>
      <c r="BU10">
        <v>159.42664402132593</v>
      </c>
      <c r="BV10">
        <v>164.02740973213037</v>
      </c>
      <c r="BW10">
        <v>160.48957973308063</v>
      </c>
      <c r="BX10">
        <v>156.78540441676247</v>
      </c>
      <c r="BY10">
        <v>153.36886248418409</v>
      </c>
      <c r="BZ10">
        <v>159.17623453771489</v>
      </c>
      <c r="CA10">
        <v>163.72796434746877</v>
      </c>
      <c r="CB10">
        <v>166.24447824715477</v>
      </c>
      <c r="CC10">
        <v>164.42586592038097</v>
      </c>
      <c r="CD10">
        <v>162.30986884473575</v>
      </c>
      <c r="CE10">
        <v>160.85320192504358</v>
      </c>
      <c r="CF10">
        <v>165.5237518611425</v>
      </c>
      <c r="CG10">
        <v>169.81396475446857</v>
      </c>
      <c r="CH10">
        <v>169.95291748981191</v>
      </c>
      <c r="CI10">
        <v>176.06942870445044</v>
      </c>
      <c r="CJ10">
        <v>173.32488010938863</v>
      </c>
      <c r="CK10">
        <v>176.15232195472618</v>
      </c>
      <c r="CL10">
        <v>172.07152203375827</v>
      </c>
      <c r="CM10">
        <v>174.46148224096802</v>
      </c>
      <c r="CN10">
        <v>173.87430743803478</v>
      </c>
      <c r="CO10">
        <v>173.50069780479129</v>
      </c>
      <c r="CP10">
        <v>174.4749236625324</v>
      </c>
      <c r="CQ10">
        <v>170.83604064873055</v>
      </c>
      <c r="CR10">
        <v>163.27000762996607</v>
      </c>
      <c r="CS10">
        <v>162.95811868903553</v>
      </c>
      <c r="CT10">
        <v>165.12343304390976</v>
      </c>
      <c r="CU10">
        <v>171.33966428459874</v>
      </c>
      <c r="CV10">
        <v>0</v>
      </c>
      <c r="CW10">
        <v>0</v>
      </c>
    </row>
    <row r="11" spans="4:101" x14ac:dyDescent="0.2">
      <c r="E11">
        <v>222.13</v>
      </c>
      <c r="F11">
        <v>225.43806033194963</v>
      </c>
      <c r="G11">
        <v>225.25961703270741</v>
      </c>
      <c r="H11">
        <v>236.00053319256227</v>
      </c>
      <c r="I11">
        <v>235.43215156180131</v>
      </c>
      <c r="J11">
        <v>225.52038941432974</v>
      </c>
      <c r="K11">
        <v>228.64144315766958</v>
      </c>
      <c r="L11">
        <v>234.04234497920814</v>
      </c>
      <c r="M11">
        <v>232.60330240210564</v>
      </c>
      <c r="N11">
        <v>228.7186062972682</v>
      </c>
      <c r="O11">
        <v>228.20513863492721</v>
      </c>
      <c r="P11">
        <v>226.07748184016671</v>
      </c>
      <c r="Q11">
        <v>238.62313291267299</v>
      </c>
      <c r="R11">
        <v>234.42486702416656</v>
      </c>
      <c r="S11">
        <v>234.38449802130705</v>
      </c>
      <c r="T11">
        <v>231.45265292933732</v>
      </c>
      <c r="U11">
        <v>230.85767678776716</v>
      </c>
      <c r="V11">
        <v>235.09285088746046</v>
      </c>
      <c r="W11">
        <v>239.08685527843892</v>
      </c>
      <c r="X11">
        <v>240.62927791923016</v>
      </c>
      <c r="Y11">
        <v>243.02667180614907</v>
      </c>
      <c r="Z11">
        <v>241.50235881114671</v>
      </c>
      <c r="AA11">
        <v>235.09378288973318</v>
      </c>
      <c r="AB11">
        <v>242.16948829173091</v>
      </c>
      <c r="AC11">
        <v>238.92651335279157</v>
      </c>
      <c r="AD11">
        <v>233.40037134735252</v>
      </c>
      <c r="AE11">
        <v>236.99351059631024</v>
      </c>
      <c r="AF11">
        <v>244.35473577660986</v>
      </c>
      <c r="AG11">
        <v>237.22147979970674</v>
      </c>
      <c r="AH11">
        <v>241.20027683120961</v>
      </c>
      <c r="AI11">
        <v>232.70203192299931</v>
      </c>
      <c r="AJ11">
        <v>226.83869824428089</v>
      </c>
      <c r="AK11">
        <v>232.53034383366665</v>
      </c>
      <c r="AL11">
        <v>234.02576056049759</v>
      </c>
      <c r="AM11">
        <v>232.96967528529746</v>
      </c>
      <c r="AN11">
        <v>236.29766191945001</v>
      </c>
      <c r="AO11">
        <v>240.28995630070969</v>
      </c>
      <c r="AP11">
        <v>243.07632361884967</v>
      </c>
      <c r="AQ11">
        <v>248.43894975159446</v>
      </c>
      <c r="AR11">
        <v>252.12872621072006</v>
      </c>
      <c r="AS11">
        <v>248.47864690016473</v>
      </c>
      <c r="AT11">
        <v>245.02505530320144</v>
      </c>
      <c r="AU11">
        <v>241.31380081438533</v>
      </c>
      <c r="AV11">
        <v>249.7559187024797</v>
      </c>
      <c r="AW11">
        <v>250.84435189316463</v>
      </c>
      <c r="AX11">
        <v>247.11174784540827</v>
      </c>
      <c r="AY11">
        <v>256.11318712497177</v>
      </c>
      <c r="AZ11">
        <v>250.91466928888894</v>
      </c>
      <c r="BA11">
        <v>250.09154567824314</v>
      </c>
      <c r="BB11">
        <v>252.04808115753625</v>
      </c>
      <c r="BC11">
        <v>254.43729939529308</v>
      </c>
      <c r="BD11">
        <v>256.04610840441904</v>
      </c>
      <c r="BE11">
        <v>254.5280494294704</v>
      </c>
      <c r="BF11">
        <v>256.44950837264133</v>
      </c>
      <c r="BG11">
        <v>255.8038815050318</v>
      </c>
      <c r="BH11">
        <v>257.12353884034866</v>
      </c>
      <c r="BI11">
        <v>251.36116551988761</v>
      </c>
      <c r="BJ11">
        <v>251.07227825250052</v>
      </c>
      <c r="BK11">
        <v>259.72250940307651</v>
      </c>
      <c r="BL11">
        <v>258.73223701536278</v>
      </c>
      <c r="BM11">
        <v>260.43857323472952</v>
      </c>
      <c r="BN11">
        <v>263.43409859874566</v>
      </c>
      <c r="BO11">
        <v>258.13488996291522</v>
      </c>
      <c r="BP11">
        <v>261.13251269370005</v>
      </c>
      <c r="BQ11">
        <v>267.83655903070513</v>
      </c>
      <c r="BR11">
        <v>266.4279613387065</v>
      </c>
      <c r="BS11">
        <v>271.72173253248553</v>
      </c>
      <c r="BT11">
        <v>271.31538401608356</v>
      </c>
      <c r="BU11">
        <v>268.82822628025633</v>
      </c>
      <c r="BV11">
        <v>265.73624397633199</v>
      </c>
      <c r="BW11">
        <v>279.36518672403315</v>
      </c>
      <c r="BX11">
        <v>278.47348499038168</v>
      </c>
      <c r="BY11">
        <v>281.84202753483663</v>
      </c>
      <c r="BZ11">
        <v>293.55408438249691</v>
      </c>
      <c r="CA11">
        <v>285.99888728823726</v>
      </c>
      <c r="CB11">
        <v>290.39016570936997</v>
      </c>
      <c r="CC11">
        <v>282.92783800598824</v>
      </c>
      <c r="CD11">
        <v>279.91341310971853</v>
      </c>
      <c r="CE11">
        <v>276.12812267111099</v>
      </c>
      <c r="CF11">
        <v>281.46436691306002</v>
      </c>
      <c r="CG11">
        <v>292.06741497978857</v>
      </c>
      <c r="CH11">
        <v>286.11836264983674</v>
      </c>
      <c r="CI11">
        <v>288.10514250731916</v>
      </c>
      <c r="CJ11">
        <v>304.84503201385445</v>
      </c>
      <c r="CK11">
        <v>300.57352523229696</v>
      </c>
      <c r="CL11">
        <v>302.81308595263005</v>
      </c>
      <c r="CM11">
        <v>303.6260564343105</v>
      </c>
      <c r="CN11">
        <v>303.09056005775551</v>
      </c>
      <c r="CO11">
        <v>304.96099164180214</v>
      </c>
      <c r="CP11">
        <v>294.02488358538875</v>
      </c>
      <c r="CQ11">
        <v>284.80239536573731</v>
      </c>
      <c r="CR11">
        <v>285.43767754308374</v>
      </c>
      <c r="CS11">
        <v>280.27007990812183</v>
      </c>
      <c r="CT11">
        <v>271.19100595778121</v>
      </c>
      <c r="CU11">
        <v>271.17581399292766</v>
      </c>
      <c r="CV11">
        <v>51.175813992927658</v>
      </c>
      <c r="CW11">
        <v>49.203571659518111</v>
      </c>
    </row>
    <row r="12" spans="4:101" x14ac:dyDescent="0.2">
      <c r="E12">
        <v>222.13</v>
      </c>
      <c r="F12">
        <v>210.73224040461119</v>
      </c>
      <c r="G12">
        <v>210.97833017054154</v>
      </c>
      <c r="H12">
        <v>220.19117049042629</v>
      </c>
      <c r="I12">
        <v>214.74394449665041</v>
      </c>
      <c r="J12">
        <v>204.37777445549477</v>
      </c>
      <c r="K12">
        <v>203.5991273294691</v>
      </c>
      <c r="L12">
        <v>208.63761778716074</v>
      </c>
      <c r="M12">
        <v>201.62703063346606</v>
      </c>
      <c r="N12">
        <v>202.58179147903638</v>
      </c>
      <c r="O12">
        <v>200.64454736091056</v>
      </c>
      <c r="P12">
        <v>206.11511478620716</v>
      </c>
      <c r="Q12">
        <v>202.60849501213423</v>
      </c>
      <c r="R12">
        <v>204.75879559503738</v>
      </c>
      <c r="S12">
        <v>201.98958126498925</v>
      </c>
      <c r="T12">
        <v>197.10371713434026</v>
      </c>
      <c r="U12">
        <v>205.38123215412529</v>
      </c>
      <c r="V12">
        <v>204.27082491202123</v>
      </c>
      <c r="W12">
        <v>201.04007599129912</v>
      </c>
      <c r="X12">
        <v>200.09847982764435</v>
      </c>
      <c r="Y12">
        <v>197.46100983167975</v>
      </c>
      <c r="Z12">
        <v>201.45090029927013</v>
      </c>
      <c r="AA12">
        <v>199.25323894966718</v>
      </c>
      <c r="AB12">
        <v>193.58688678176605</v>
      </c>
      <c r="AC12">
        <v>191.50594221878268</v>
      </c>
      <c r="AD12">
        <v>196.3060123927732</v>
      </c>
      <c r="AE12">
        <v>196.79856807787712</v>
      </c>
      <c r="AF12">
        <v>190.26579334988037</v>
      </c>
      <c r="AG12">
        <v>188.66169519100256</v>
      </c>
      <c r="AH12">
        <v>188.02481574327928</v>
      </c>
      <c r="AI12">
        <v>190.65211879612102</v>
      </c>
      <c r="AJ12">
        <v>187.37253003401779</v>
      </c>
      <c r="AK12">
        <v>185.94524449039054</v>
      </c>
      <c r="AL12">
        <v>198.13664429861967</v>
      </c>
      <c r="AM12">
        <v>195.17120844209614</v>
      </c>
      <c r="AN12">
        <v>189.12406248475602</v>
      </c>
      <c r="AO12">
        <v>180.55207416126041</v>
      </c>
      <c r="AP12">
        <v>184.7307088285319</v>
      </c>
      <c r="AQ12">
        <v>184.46461192498282</v>
      </c>
      <c r="AR12">
        <v>185.73729432206258</v>
      </c>
      <c r="AS12">
        <v>197.26990066507466</v>
      </c>
      <c r="AT12">
        <v>196.36850790189368</v>
      </c>
      <c r="AU12">
        <v>192.7294271638408</v>
      </c>
      <c r="AV12">
        <v>196.10425844449603</v>
      </c>
      <c r="AW12">
        <v>187.24228398728383</v>
      </c>
      <c r="AX12">
        <v>191.4083543151788</v>
      </c>
      <c r="AY12">
        <v>187.21790353427258</v>
      </c>
      <c r="AZ12">
        <v>181.34514935721737</v>
      </c>
      <c r="BA12">
        <v>185.95755646376304</v>
      </c>
      <c r="BB12">
        <v>184.12045212892815</v>
      </c>
      <c r="BC12">
        <v>184.88571745939666</v>
      </c>
      <c r="BD12">
        <v>182.46539779658758</v>
      </c>
      <c r="BE12">
        <v>178.92797625645036</v>
      </c>
      <c r="BF12">
        <v>183.00393709427235</v>
      </c>
      <c r="BG12">
        <v>181.55406596472457</v>
      </c>
      <c r="BH12">
        <v>189.3265334147149</v>
      </c>
      <c r="BI12">
        <v>190.47127363565082</v>
      </c>
      <c r="BJ12">
        <v>192.99404168854679</v>
      </c>
      <c r="BK12">
        <v>200.8450339318174</v>
      </c>
      <c r="BL12">
        <v>200.54952616019634</v>
      </c>
      <c r="BM12">
        <v>201.78592414580331</v>
      </c>
      <c r="BN12">
        <v>192.38572187218307</v>
      </c>
      <c r="BO12">
        <v>183.06813150037047</v>
      </c>
      <c r="BP12">
        <v>185.93155928808665</v>
      </c>
      <c r="BQ12">
        <v>188.83923357488851</v>
      </c>
      <c r="BR12">
        <v>198.05353217042301</v>
      </c>
      <c r="BS12">
        <v>194.97967317989864</v>
      </c>
      <c r="BT12">
        <v>191.32879850529272</v>
      </c>
      <c r="BU12">
        <v>200.29269863294763</v>
      </c>
      <c r="BV12">
        <v>201.47373212128014</v>
      </c>
      <c r="BW12">
        <v>192.88829008565358</v>
      </c>
      <c r="BX12">
        <v>195.98289334934071</v>
      </c>
      <c r="BY12">
        <v>193.99513431590253</v>
      </c>
      <c r="BZ12">
        <v>194.91151072134869</v>
      </c>
      <c r="CA12">
        <v>190.0740714750315</v>
      </c>
      <c r="CB12">
        <v>197.56675155435261</v>
      </c>
      <c r="CC12">
        <v>199.7028814685203</v>
      </c>
      <c r="CD12">
        <v>198.12457065852973</v>
      </c>
      <c r="CE12">
        <v>202.7220249357124</v>
      </c>
      <c r="CF12">
        <v>205.73955522877216</v>
      </c>
      <c r="CG12">
        <v>207.63129744244657</v>
      </c>
      <c r="CH12">
        <v>212.7734326839994</v>
      </c>
      <c r="CI12">
        <v>208.14289696911086</v>
      </c>
      <c r="CJ12">
        <v>211.2056882991331</v>
      </c>
      <c r="CK12">
        <v>201.34162445548202</v>
      </c>
      <c r="CL12">
        <v>198.54860940085274</v>
      </c>
      <c r="CM12">
        <v>191.67808259279508</v>
      </c>
      <c r="CN12">
        <v>192.32231137503848</v>
      </c>
      <c r="CO12">
        <v>197.45659896739284</v>
      </c>
      <c r="CP12">
        <v>194.43680903284206</v>
      </c>
      <c r="CQ12">
        <v>191.56887699732775</v>
      </c>
      <c r="CR12">
        <v>196.14333914034009</v>
      </c>
      <c r="CS12">
        <v>196.77947649859954</v>
      </c>
      <c r="CT12">
        <v>199.07307022330949</v>
      </c>
      <c r="CU12">
        <v>194.50778934037962</v>
      </c>
      <c r="CV12">
        <v>0</v>
      </c>
      <c r="CW12">
        <v>0</v>
      </c>
    </row>
    <row r="13" spans="4:101" x14ac:dyDescent="0.2">
      <c r="E13">
        <v>222.13</v>
      </c>
      <c r="F13">
        <v>226.59306810183284</v>
      </c>
      <c r="G13">
        <v>214.86202493847412</v>
      </c>
      <c r="H13">
        <v>218.30150739887952</v>
      </c>
      <c r="I13">
        <v>209.94114110965884</v>
      </c>
      <c r="J13">
        <v>214.55993181453556</v>
      </c>
      <c r="K13">
        <v>212.77804925457369</v>
      </c>
      <c r="L13">
        <v>210.31743345367155</v>
      </c>
      <c r="M13">
        <v>219.00677584704874</v>
      </c>
      <c r="N13">
        <v>225.8774833285965</v>
      </c>
      <c r="O13">
        <v>229.49168967252226</v>
      </c>
      <c r="P13">
        <v>233.03333028836249</v>
      </c>
      <c r="Q13">
        <v>237.27350665021399</v>
      </c>
      <c r="R13">
        <v>235.85282347166375</v>
      </c>
      <c r="S13">
        <v>232.53462627016785</v>
      </c>
      <c r="T13">
        <v>226.35181268997508</v>
      </c>
      <c r="U13">
        <v>215.28442212235066</v>
      </c>
      <c r="V13">
        <v>210.45605422184389</v>
      </c>
      <c r="W13">
        <v>219.20604547678479</v>
      </c>
      <c r="X13">
        <v>219.87363216883102</v>
      </c>
      <c r="Y13">
        <v>220.43964083094272</v>
      </c>
      <c r="Z13">
        <v>226.04968080719325</v>
      </c>
      <c r="AA13">
        <v>228.89599406153829</v>
      </c>
      <c r="AB13">
        <v>230.92060469603686</v>
      </c>
      <c r="AC13">
        <v>222.86408710354459</v>
      </c>
      <c r="AD13">
        <v>219.54558581314259</v>
      </c>
      <c r="AE13">
        <v>221.50318833940523</v>
      </c>
      <c r="AF13">
        <v>220.73004190844327</v>
      </c>
      <c r="AG13">
        <v>230.11275497768284</v>
      </c>
      <c r="AH13">
        <v>226.9539133099091</v>
      </c>
      <c r="AI13">
        <v>231.33419387084228</v>
      </c>
      <c r="AJ13">
        <v>228.24806578745643</v>
      </c>
      <c r="AK13">
        <v>234.02796819743494</v>
      </c>
      <c r="AL13">
        <v>229.95708841772063</v>
      </c>
      <c r="AM13">
        <v>229.07372083120589</v>
      </c>
      <c r="AN13">
        <v>239.16620348171816</v>
      </c>
      <c r="AO13">
        <v>232.95656105216042</v>
      </c>
      <c r="AP13">
        <v>239.58243902666825</v>
      </c>
      <c r="AQ13">
        <v>244.57656469206879</v>
      </c>
      <c r="AR13">
        <v>248.82796977391411</v>
      </c>
      <c r="AS13">
        <v>251.83647949500613</v>
      </c>
      <c r="AT13">
        <v>236.42134253065646</v>
      </c>
      <c r="AU13">
        <v>238.50774619735427</v>
      </c>
      <c r="AV13">
        <v>241.93354115621335</v>
      </c>
      <c r="AW13">
        <v>238.5831681470244</v>
      </c>
      <c r="AX13">
        <v>239.29967611328399</v>
      </c>
      <c r="AY13">
        <v>241.61230382703559</v>
      </c>
      <c r="AZ13">
        <v>237.8413048438936</v>
      </c>
      <c r="BA13">
        <v>248.80513478294938</v>
      </c>
      <c r="BB13">
        <v>240.0826704212607</v>
      </c>
      <c r="BC13">
        <v>243.87091221596543</v>
      </c>
      <c r="BD13">
        <v>256.19416690593374</v>
      </c>
      <c r="BE13">
        <v>250.51638829177128</v>
      </c>
      <c r="BF13">
        <v>258.80964986705749</v>
      </c>
      <c r="BG13">
        <v>260.94000717013643</v>
      </c>
      <c r="BH13">
        <v>248.32330451422055</v>
      </c>
      <c r="BI13">
        <v>251.03981626104255</v>
      </c>
      <c r="BJ13">
        <v>255.09531475322896</v>
      </c>
      <c r="BK13">
        <v>262.24692893113689</v>
      </c>
      <c r="BL13">
        <v>268.26146780202629</v>
      </c>
      <c r="BM13">
        <v>265.47622341778271</v>
      </c>
      <c r="BN13">
        <v>255.14479230389796</v>
      </c>
      <c r="BO13">
        <v>249.30687045492149</v>
      </c>
      <c r="BP13">
        <v>241.55737848709751</v>
      </c>
      <c r="BQ13">
        <v>238.45228746565908</v>
      </c>
      <c r="BR13">
        <v>236.34913575217453</v>
      </c>
      <c r="BS13">
        <v>227.8318622264444</v>
      </c>
      <c r="BT13">
        <v>224.10366459613829</v>
      </c>
      <c r="BU13">
        <v>229.00994707946043</v>
      </c>
      <c r="BV13">
        <v>227.81187995959587</v>
      </c>
      <c r="BW13">
        <v>227.18126691557794</v>
      </c>
      <c r="BX13">
        <v>229.14696460324262</v>
      </c>
      <c r="BY13">
        <v>228.78681153610162</v>
      </c>
      <c r="BZ13">
        <v>232.30570863554973</v>
      </c>
      <c r="CA13">
        <v>232.82370592524109</v>
      </c>
      <c r="CB13">
        <v>239.34586794340342</v>
      </c>
      <c r="CC13">
        <v>237.55028854166011</v>
      </c>
      <c r="CD13">
        <v>247.15771524031535</v>
      </c>
      <c r="CE13">
        <v>255.85873473114066</v>
      </c>
      <c r="CF13">
        <v>253.22534803829276</v>
      </c>
      <c r="CG13">
        <v>251.68455140528332</v>
      </c>
      <c r="CH13">
        <v>250.07498920146409</v>
      </c>
      <c r="CI13">
        <v>245.22557170592864</v>
      </c>
      <c r="CJ13">
        <v>252.97917307263398</v>
      </c>
      <c r="CK13">
        <v>249.38845363540699</v>
      </c>
      <c r="CL13">
        <v>246.07922299678182</v>
      </c>
      <c r="CM13">
        <v>250.82218809123736</v>
      </c>
      <c r="CN13">
        <v>256.31436264447808</v>
      </c>
      <c r="CO13">
        <v>251.85276347249595</v>
      </c>
      <c r="CP13">
        <v>248.98179854126477</v>
      </c>
      <c r="CQ13">
        <v>251.97945588625603</v>
      </c>
      <c r="CR13">
        <v>250.92054668508106</v>
      </c>
      <c r="CS13">
        <v>250.62362463333127</v>
      </c>
      <c r="CT13">
        <v>246.09472184568216</v>
      </c>
      <c r="CU13">
        <v>244.93354949101706</v>
      </c>
      <c r="CV13">
        <v>24.933549491017061</v>
      </c>
      <c r="CW13">
        <v>23.972646322283062</v>
      </c>
    </row>
    <row r="14" spans="4:101" x14ac:dyDescent="0.2">
      <c r="E14">
        <v>222.13</v>
      </c>
      <c r="F14">
        <v>227.86086167349006</v>
      </c>
      <c r="G14">
        <v>217.7962282359608</v>
      </c>
      <c r="H14">
        <v>217.44229379615643</v>
      </c>
      <c r="I14">
        <v>225.95692148696642</v>
      </c>
      <c r="J14">
        <v>230.67095371754016</v>
      </c>
      <c r="K14">
        <v>222.36908740431676</v>
      </c>
      <c r="L14">
        <v>225.78826444331955</v>
      </c>
      <c r="M14">
        <v>230.57571248596918</v>
      </c>
      <c r="N14">
        <v>221.9725618776352</v>
      </c>
      <c r="O14">
        <v>219.27049318841807</v>
      </c>
      <c r="P14">
        <v>216.78861001663711</v>
      </c>
      <c r="Q14">
        <v>215.42907106262243</v>
      </c>
      <c r="R14">
        <v>214.40555351673626</v>
      </c>
      <c r="S14">
        <v>224.8683306514846</v>
      </c>
      <c r="T14">
        <v>215.3429331718643</v>
      </c>
      <c r="U14">
        <v>207.01089771280306</v>
      </c>
      <c r="V14">
        <v>198.78880439549155</v>
      </c>
      <c r="W14">
        <v>192.76574539990503</v>
      </c>
      <c r="X14">
        <v>191.53181996179072</v>
      </c>
      <c r="Y14">
        <v>181.6595581747066</v>
      </c>
      <c r="Z14">
        <v>191.97182216764821</v>
      </c>
      <c r="AA14">
        <v>190.59802598150586</v>
      </c>
      <c r="AB14">
        <v>196.58377414449663</v>
      </c>
      <c r="AC14">
        <v>200.26556610335672</v>
      </c>
      <c r="AD14">
        <v>198.48337201537751</v>
      </c>
      <c r="AE14">
        <v>190.56004445003609</v>
      </c>
      <c r="AF14">
        <v>191.1711925254173</v>
      </c>
      <c r="AG14">
        <v>190.87230234493828</v>
      </c>
      <c r="AH14">
        <v>190.38539397472445</v>
      </c>
      <c r="AI14">
        <v>188.09755557678241</v>
      </c>
      <c r="AJ14">
        <v>190.17283573546513</v>
      </c>
      <c r="AK14">
        <v>193.16271548726783</v>
      </c>
      <c r="AL14">
        <v>190.32651487494675</v>
      </c>
      <c r="AM14">
        <v>190.3076629880878</v>
      </c>
      <c r="AN14">
        <v>187.5066634074183</v>
      </c>
      <c r="AO14">
        <v>188.42161928656304</v>
      </c>
      <c r="AP14">
        <v>196.6766567711345</v>
      </c>
      <c r="AQ14">
        <v>202.10471751819719</v>
      </c>
      <c r="AR14">
        <v>201.32207194338994</v>
      </c>
      <c r="AS14">
        <v>196.30109422536484</v>
      </c>
      <c r="AT14">
        <v>193.24525862272222</v>
      </c>
      <c r="AU14">
        <v>188.70670587940535</v>
      </c>
      <c r="AV14">
        <v>188.3369705415208</v>
      </c>
      <c r="AW14">
        <v>185.05910927098196</v>
      </c>
      <c r="AX14">
        <v>182.97377170305751</v>
      </c>
      <c r="AY14">
        <v>185.47893426262999</v>
      </c>
      <c r="AZ14">
        <v>182.06676334818491</v>
      </c>
      <c r="BA14">
        <v>178.98114503340992</v>
      </c>
      <c r="BB14">
        <v>186.32933012768908</v>
      </c>
      <c r="BC14">
        <v>191.58959237970805</v>
      </c>
      <c r="BD14">
        <v>192.14564133631447</v>
      </c>
      <c r="BE14">
        <v>201.77120303246397</v>
      </c>
      <c r="BF14">
        <v>197.46969979256625</v>
      </c>
      <c r="BG14">
        <v>198.62660424147975</v>
      </c>
      <c r="BH14">
        <v>194.18013516057073</v>
      </c>
      <c r="BI14">
        <v>191.63709080616437</v>
      </c>
      <c r="BJ14">
        <v>192.83960879671022</v>
      </c>
      <c r="BK14">
        <v>191.26688315163926</v>
      </c>
      <c r="BL14">
        <v>191.13255966109512</v>
      </c>
      <c r="BM14">
        <v>184.74868673893263</v>
      </c>
      <c r="BN14">
        <v>180.50312360334337</v>
      </c>
      <c r="BO14">
        <v>187.93932645971009</v>
      </c>
      <c r="BP14">
        <v>188.45549175316307</v>
      </c>
      <c r="BQ14">
        <v>189.95592939063914</v>
      </c>
      <c r="BR14">
        <v>194.03374752231801</v>
      </c>
      <c r="BS14">
        <v>192.93241810939108</v>
      </c>
      <c r="BT14">
        <v>196.89105516005964</v>
      </c>
      <c r="BU14">
        <v>188.28858413692888</v>
      </c>
      <c r="BV14">
        <v>189.488575739749</v>
      </c>
      <c r="BW14">
        <v>185.73783782898403</v>
      </c>
      <c r="BX14">
        <v>192.39861250654383</v>
      </c>
      <c r="BY14">
        <v>198.89304322673979</v>
      </c>
      <c r="BZ14">
        <v>200.81177621641677</v>
      </c>
      <c r="CA14">
        <v>197.54712039474754</v>
      </c>
      <c r="CB14">
        <v>192.07882986453069</v>
      </c>
      <c r="CC14">
        <v>192.47397060438053</v>
      </c>
      <c r="CD14">
        <v>198.055020848314</v>
      </c>
      <c r="CE14">
        <v>192.54393621248909</v>
      </c>
      <c r="CF14">
        <v>191.25530655067573</v>
      </c>
      <c r="CG14">
        <v>189.71802314565855</v>
      </c>
      <c r="CH14">
        <v>191.31874005801939</v>
      </c>
      <c r="CI14">
        <v>197.60606421394155</v>
      </c>
      <c r="CJ14">
        <v>194.83624485905523</v>
      </c>
      <c r="CK14">
        <v>194.57043928310924</v>
      </c>
      <c r="CL14">
        <v>198.47100003646906</v>
      </c>
      <c r="CM14">
        <v>193.13184604220197</v>
      </c>
      <c r="CN14">
        <v>193.70240634343071</v>
      </c>
      <c r="CO14">
        <v>188.55079334987028</v>
      </c>
      <c r="CP14">
        <v>189.22074013768892</v>
      </c>
      <c r="CQ14">
        <v>195.05864097387047</v>
      </c>
      <c r="CR14">
        <v>202.88901262938836</v>
      </c>
      <c r="CS14">
        <v>209.07168893903651</v>
      </c>
      <c r="CT14">
        <v>203.11381450594052</v>
      </c>
      <c r="CU14">
        <v>202.64584751588399</v>
      </c>
      <c r="CV14">
        <v>0</v>
      </c>
      <c r="CW14">
        <v>0</v>
      </c>
    </row>
    <row r="15" spans="4:101" x14ac:dyDescent="0.2">
      <c r="E15">
        <v>222.13</v>
      </c>
      <c r="F15">
        <v>231.2716580491217</v>
      </c>
      <c r="G15">
        <v>226.15863165576195</v>
      </c>
      <c r="H15">
        <v>225.77738839833421</v>
      </c>
      <c r="I15">
        <v>230.72627011807782</v>
      </c>
      <c r="J15">
        <v>229.85076660591</v>
      </c>
      <c r="K15">
        <v>234.62898068425235</v>
      </c>
      <c r="L15">
        <v>226.69096250954343</v>
      </c>
      <c r="M15">
        <v>226.25828182221346</v>
      </c>
      <c r="N15">
        <v>218.1761586174178</v>
      </c>
      <c r="O15">
        <v>218.76032435806567</v>
      </c>
      <c r="P15">
        <v>213.0397482093847</v>
      </c>
      <c r="Q15">
        <v>215.90642587521586</v>
      </c>
      <c r="R15">
        <v>219.81125199708342</v>
      </c>
      <c r="S15">
        <v>221.98035172677336</v>
      </c>
      <c r="T15">
        <v>217.01040144500615</v>
      </c>
      <c r="U15">
        <v>221.15376606947615</v>
      </c>
      <c r="V15">
        <v>228.0767715546362</v>
      </c>
      <c r="W15">
        <v>229.60974463478843</v>
      </c>
      <c r="X15">
        <v>223.83379884176668</v>
      </c>
      <c r="Y15">
        <v>218.67984201163188</v>
      </c>
      <c r="Z15">
        <v>208.84397877088034</v>
      </c>
      <c r="AA15">
        <v>208.4305486757502</v>
      </c>
      <c r="AB15">
        <v>208.54130368957343</v>
      </c>
      <c r="AC15">
        <v>211.77084866553724</v>
      </c>
      <c r="AD15">
        <v>206.5364294068917</v>
      </c>
      <c r="AE15">
        <v>211.95508359483614</v>
      </c>
      <c r="AF15">
        <v>219.32026309045796</v>
      </c>
      <c r="AG15">
        <v>204.8261436394759</v>
      </c>
      <c r="AH15">
        <v>207.19555391596322</v>
      </c>
      <c r="AI15">
        <v>206.06841399746082</v>
      </c>
      <c r="AJ15">
        <v>207.59109983300559</v>
      </c>
      <c r="AK15">
        <v>201.90224021884231</v>
      </c>
      <c r="AL15">
        <v>202.55127961256639</v>
      </c>
      <c r="AM15">
        <v>206.48669387620902</v>
      </c>
      <c r="AN15">
        <v>210.17372275852847</v>
      </c>
      <c r="AO15">
        <v>211.22686397193928</v>
      </c>
      <c r="AP15">
        <v>211.34930920780707</v>
      </c>
      <c r="AQ15">
        <v>210.12939348823497</v>
      </c>
      <c r="AR15">
        <v>211.01792668062544</v>
      </c>
      <c r="AS15">
        <v>221.4752698902945</v>
      </c>
      <c r="AT15">
        <v>227.58674803153559</v>
      </c>
      <c r="AU15">
        <v>217.86656316905234</v>
      </c>
      <c r="AV15">
        <v>224.44248031231945</v>
      </c>
      <c r="AW15">
        <v>223.11511340167669</v>
      </c>
      <c r="AX15">
        <v>215.86094070820789</v>
      </c>
      <c r="AY15">
        <v>226.62112735828521</v>
      </c>
      <c r="AZ15">
        <v>217.01464404675502</v>
      </c>
      <c r="BA15">
        <v>204.96054650381083</v>
      </c>
      <c r="BB15">
        <v>203.75994710433881</v>
      </c>
      <c r="BC15">
        <v>201.94854913415938</v>
      </c>
      <c r="BD15">
        <v>205.09962060998248</v>
      </c>
      <c r="BE15">
        <v>206.12647181709099</v>
      </c>
      <c r="BF15">
        <v>202.86600913775879</v>
      </c>
      <c r="BG15">
        <v>210.7657369575002</v>
      </c>
      <c r="BH15">
        <v>209.11851234761195</v>
      </c>
      <c r="BI15">
        <v>208.5711810837206</v>
      </c>
      <c r="BJ15">
        <v>200.14329422372833</v>
      </c>
      <c r="BK15">
        <v>195.34711377344067</v>
      </c>
      <c r="BL15">
        <v>185.78141707857188</v>
      </c>
      <c r="BM15">
        <v>188.03543105528433</v>
      </c>
      <c r="BN15">
        <v>184.17321005410574</v>
      </c>
      <c r="BO15">
        <v>181.0902628703509</v>
      </c>
      <c r="BP15">
        <v>180.07178340455724</v>
      </c>
      <c r="BQ15">
        <v>180.18594560210821</v>
      </c>
      <c r="BR15">
        <v>185.74483649961641</v>
      </c>
      <c r="BS15">
        <v>191.36931499824914</v>
      </c>
      <c r="BT15">
        <v>186.65763603745515</v>
      </c>
      <c r="BU15">
        <v>194.57607644411962</v>
      </c>
      <c r="BV15">
        <v>193.18243803952944</v>
      </c>
      <c r="BW15">
        <v>193.40876328151205</v>
      </c>
      <c r="BX15">
        <v>190.47308580753929</v>
      </c>
      <c r="BY15">
        <v>188.5141886007743</v>
      </c>
      <c r="BZ15">
        <v>195.5691573650607</v>
      </c>
      <c r="CA15">
        <v>193.15910382383876</v>
      </c>
      <c r="CB15">
        <v>197.72758375145972</v>
      </c>
      <c r="CC15">
        <v>196.53953089141598</v>
      </c>
      <c r="CD15">
        <v>193.92426955223942</v>
      </c>
      <c r="CE15">
        <v>198.75113576185919</v>
      </c>
      <c r="CF15">
        <v>193.72974070542134</v>
      </c>
      <c r="CG15">
        <v>187.08253819162169</v>
      </c>
      <c r="CH15">
        <v>183.62842060510513</v>
      </c>
      <c r="CI15">
        <v>176.25104151149009</v>
      </c>
      <c r="CJ15">
        <v>178.37870488102192</v>
      </c>
      <c r="CK15">
        <v>180.715414363181</v>
      </c>
      <c r="CL15">
        <v>178.45308828368488</v>
      </c>
      <c r="CM15">
        <v>172.88355670431406</v>
      </c>
      <c r="CN15">
        <v>170.8262387703374</v>
      </c>
      <c r="CO15">
        <v>164.62844075074401</v>
      </c>
      <c r="CP15">
        <v>165.57040980146107</v>
      </c>
      <c r="CQ15">
        <v>162.43142201852646</v>
      </c>
      <c r="CR15">
        <v>164.07173396605367</v>
      </c>
      <c r="CS15">
        <v>161.26687851600946</v>
      </c>
      <c r="CT15">
        <v>167.28235448704908</v>
      </c>
      <c r="CU15">
        <v>163.15895707859218</v>
      </c>
      <c r="CV15">
        <v>0</v>
      </c>
      <c r="CW15">
        <v>0</v>
      </c>
    </row>
    <row r="16" spans="4:101" x14ac:dyDescent="0.2">
      <c r="E16">
        <v>222.13</v>
      </c>
      <c r="F16">
        <v>227.68721291848914</v>
      </c>
      <c r="G16">
        <v>222.21504446092067</v>
      </c>
      <c r="H16">
        <v>227.60722039766998</v>
      </c>
      <c r="I16">
        <v>220.09790601313551</v>
      </c>
      <c r="J16">
        <v>220.97340967809504</v>
      </c>
      <c r="K16">
        <v>220.42894090764466</v>
      </c>
      <c r="L16">
        <v>216.77675174918537</v>
      </c>
      <c r="M16">
        <v>228.26505490808916</v>
      </c>
      <c r="N16">
        <v>226.07553250157648</v>
      </c>
      <c r="O16">
        <v>231.69187409682493</v>
      </c>
      <c r="P16">
        <v>245.15414199367339</v>
      </c>
      <c r="Q16">
        <v>246.4614615540707</v>
      </c>
      <c r="R16">
        <v>244.12246028445446</v>
      </c>
      <c r="S16">
        <v>249.37670620247638</v>
      </c>
      <c r="T16">
        <v>249.78099580348783</v>
      </c>
      <c r="U16">
        <v>255.23247756350483</v>
      </c>
      <c r="V16">
        <v>257.66964231021535</v>
      </c>
      <c r="W16">
        <v>260.43907115209606</v>
      </c>
      <c r="X16">
        <v>257.62960532738589</v>
      </c>
      <c r="Y16">
        <v>256.12922734110049</v>
      </c>
      <c r="Z16">
        <v>255.05319244670466</v>
      </c>
      <c r="AA16">
        <v>264.80953586259966</v>
      </c>
      <c r="AB16">
        <v>261.30375409863666</v>
      </c>
      <c r="AC16">
        <v>250.12886911668573</v>
      </c>
      <c r="AD16">
        <v>248.36930044661801</v>
      </c>
      <c r="AE16">
        <v>248.40407303351782</v>
      </c>
      <c r="AF16">
        <v>248.14188470605552</v>
      </c>
      <c r="AG16">
        <v>243.06493255007123</v>
      </c>
      <c r="AH16">
        <v>239.5874071097883</v>
      </c>
      <c r="AI16">
        <v>246.66110516056415</v>
      </c>
      <c r="AJ16">
        <v>247.1160112757116</v>
      </c>
      <c r="AK16">
        <v>252.75571661870555</v>
      </c>
      <c r="AL16">
        <v>241.38763985020165</v>
      </c>
      <c r="AM16">
        <v>237.38913158059887</v>
      </c>
      <c r="AN16">
        <v>233.22408067689548</v>
      </c>
      <c r="AO16">
        <v>233.15828505191536</v>
      </c>
      <c r="AP16">
        <v>233.95802223158412</v>
      </c>
      <c r="AQ16">
        <v>227.01446820900324</v>
      </c>
      <c r="AR16">
        <v>223.18809420205426</v>
      </c>
      <c r="AS16">
        <v>220.56641592926741</v>
      </c>
      <c r="AT16">
        <v>217.18663307136237</v>
      </c>
      <c r="AU16">
        <v>212.63887654701568</v>
      </c>
      <c r="AV16">
        <v>217.88426351184623</v>
      </c>
      <c r="AW16">
        <v>217.3689797140419</v>
      </c>
      <c r="AX16">
        <v>215.26654598544204</v>
      </c>
      <c r="AY16">
        <v>208.92936946891848</v>
      </c>
      <c r="AZ16">
        <v>200.99661180038231</v>
      </c>
      <c r="BA16">
        <v>198.79615661573283</v>
      </c>
      <c r="BB16">
        <v>201.92570918853747</v>
      </c>
      <c r="BC16">
        <v>196.97735275263869</v>
      </c>
      <c r="BD16">
        <v>203.55563599420023</v>
      </c>
      <c r="BE16">
        <v>210.22966684755147</v>
      </c>
      <c r="BF16">
        <v>204.50372961057482</v>
      </c>
      <c r="BG16">
        <v>202.46135201227352</v>
      </c>
      <c r="BH16">
        <v>197.74996745238951</v>
      </c>
      <c r="BI16">
        <v>197.6390140014056</v>
      </c>
      <c r="BJ16">
        <v>202.10580807011496</v>
      </c>
      <c r="BK16">
        <v>198.53257463271589</v>
      </c>
      <c r="BL16">
        <v>198.86479742325241</v>
      </c>
      <c r="BM16">
        <v>209.48606526784741</v>
      </c>
      <c r="BN16">
        <v>215.98099282565144</v>
      </c>
      <c r="BO16">
        <v>214.02497087409233</v>
      </c>
      <c r="BP16">
        <v>214.82839618679952</v>
      </c>
      <c r="BQ16">
        <v>214.25745074250841</v>
      </c>
      <c r="BR16">
        <v>197.83961437246472</v>
      </c>
      <c r="BS16">
        <v>202.01555743188737</v>
      </c>
      <c r="BT16">
        <v>201.61489093719445</v>
      </c>
      <c r="BU16">
        <v>200.17954228372227</v>
      </c>
      <c r="BV16">
        <v>201.1202764114212</v>
      </c>
      <c r="BW16">
        <v>188.80333739051355</v>
      </c>
      <c r="BX16">
        <v>183.85531589515233</v>
      </c>
      <c r="BY16">
        <v>177.00386996288967</v>
      </c>
      <c r="BZ16">
        <v>167.76864070103338</v>
      </c>
      <c r="CA16">
        <v>168.38447080564478</v>
      </c>
      <c r="CB16">
        <v>166.98863770227112</v>
      </c>
      <c r="CC16">
        <v>162.51806584560151</v>
      </c>
      <c r="CD16">
        <v>159.95479554258645</v>
      </c>
      <c r="CE16">
        <v>159.72369999243094</v>
      </c>
      <c r="CF16">
        <v>157.71007120695867</v>
      </c>
      <c r="CG16">
        <v>153.27266764781956</v>
      </c>
      <c r="CH16">
        <v>154.50983070645944</v>
      </c>
      <c r="CI16">
        <v>160.05806619601671</v>
      </c>
      <c r="CJ16">
        <v>159.60805458291262</v>
      </c>
      <c r="CK16">
        <v>156.50571463520257</v>
      </c>
      <c r="CL16">
        <v>159.07667783773633</v>
      </c>
      <c r="CM16">
        <v>161.89106898335555</v>
      </c>
      <c r="CN16">
        <v>168.65189721041187</v>
      </c>
      <c r="CO16">
        <v>163.46539352646766</v>
      </c>
      <c r="CP16">
        <v>164.6912428526538</v>
      </c>
      <c r="CQ16">
        <v>168.79629107424088</v>
      </c>
      <c r="CR16">
        <v>167.85381258691243</v>
      </c>
      <c r="CS16">
        <v>163.58614376395505</v>
      </c>
      <c r="CT16">
        <v>165.22437895776815</v>
      </c>
      <c r="CU16">
        <v>168.38571759205209</v>
      </c>
      <c r="CV16">
        <v>0</v>
      </c>
      <c r="CW16">
        <v>0</v>
      </c>
    </row>
    <row r="17" spans="5:101" x14ac:dyDescent="0.2">
      <c r="E17">
        <v>222.13</v>
      </c>
      <c r="F17">
        <v>219.11864147957556</v>
      </c>
      <c r="G17">
        <v>226.96704608448951</v>
      </c>
      <c r="H17">
        <v>225.17852741687682</v>
      </c>
      <c r="I17">
        <v>219.53145318973236</v>
      </c>
      <c r="J17">
        <v>219.23299096218986</v>
      </c>
      <c r="K17">
        <v>219.92128146322133</v>
      </c>
      <c r="L17">
        <v>221.85747015470236</v>
      </c>
      <c r="M17">
        <v>228.48264510272733</v>
      </c>
      <c r="N17">
        <v>233.44814455321966</v>
      </c>
      <c r="O17">
        <v>229.50947512063578</v>
      </c>
      <c r="P17">
        <v>226.6038930309121</v>
      </c>
      <c r="Q17">
        <v>229.98941132397158</v>
      </c>
      <c r="R17">
        <v>229.79682597148113</v>
      </c>
      <c r="S17">
        <v>233.96435243961281</v>
      </c>
      <c r="T17">
        <v>241.97066977209016</v>
      </c>
      <c r="U17">
        <v>231.83738571606881</v>
      </c>
      <c r="V17">
        <v>230.46532678744694</v>
      </c>
      <c r="W17">
        <v>229.78414387397132</v>
      </c>
      <c r="X17">
        <v>230.18897475110123</v>
      </c>
      <c r="Y17">
        <v>230.45388104680927</v>
      </c>
      <c r="Z17">
        <v>234.57708739213803</v>
      </c>
      <c r="AA17">
        <v>242.20960504468522</v>
      </c>
      <c r="AB17">
        <v>243.14598890042029</v>
      </c>
      <c r="AC17">
        <v>247.26081424669195</v>
      </c>
      <c r="AD17">
        <v>241.69700774300495</v>
      </c>
      <c r="AE17">
        <v>239.33551749458883</v>
      </c>
      <c r="AF17">
        <v>231.12052749326767</v>
      </c>
      <c r="AG17">
        <v>235.06812884381739</v>
      </c>
      <c r="AH17">
        <v>241.62293199620422</v>
      </c>
      <c r="AI17">
        <v>240.4003201167159</v>
      </c>
      <c r="AJ17">
        <v>242.09796588408724</v>
      </c>
      <c r="AK17">
        <v>241.18917100621692</v>
      </c>
      <c r="AL17">
        <v>253.00415710169995</v>
      </c>
      <c r="AM17">
        <v>241.79930281893635</v>
      </c>
      <c r="AN17">
        <v>245.29547506414156</v>
      </c>
      <c r="AO17">
        <v>244.59626860258544</v>
      </c>
      <c r="AP17">
        <v>233.21996737144792</v>
      </c>
      <c r="AQ17">
        <v>240.25453630522404</v>
      </c>
      <c r="AR17">
        <v>238.76584327456391</v>
      </c>
      <c r="AS17">
        <v>243.76533190729782</v>
      </c>
      <c r="AT17">
        <v>250.2019760819837</v>
      </c>
      <c r="AU17">
        <v>250.32399629663084</v>
      </c>
      <c r="AV17">
        <v>257.11785428373827</v>
      </c>
      <c r="AW17">
        <v>253.25534904753152</v>
      </c>
      <c r="AX17">
        <v>249.9095288962188</v>
      </c>
      <c r="AY17">
        <v>237.32266586730407</v>
      </c>
      <c r="AZ17">
        <v>246.9444589337657</v>
      </c>
      <c r="BA17">
        <v>246.61731092020295</v>
      </c>
      <c r="BB17">
        <v>249.52005968116219</v>
      </c>
      <c r="BC17">
        <v>248.91832337983382</v>
      </c>
      <c r="BD17">
        <v>252.06403255591965</v>
      </c>
      <c r="BE17">
        <v>250.30003039338857</v>
      </c>
      <c r="BF17">
        <v>262.43808103323107</v>
      </c>
      <c r="BG17">
        <v>252.42459981510748</v>
      </c>
      <c r="BH17">
        <v>246.69697545166551</v>
      </c>
      <c r="BI17">
        <v>240.46660912024964</v>
      </c>
      <c r="BJ17">
        <v>237.27974085120402</v>
      </c>
      <c r="BK17">
        <v>235.41110861802139</v>
      </c>
      <c r="BL17">
        <v>240.99763331650692</v>
      </c>
      <c r="BM17">
        <v>244.58977514392529</v>
      </c>
      <c r="BN17">
        <v>241.78928257216592</v>
      </c>
      <c r="BO17">
        <v>233.73626196129757</v>
      </c>
      <c r="BP17">
        <v>223.18976642884618</v>
      </c>
      <c r="BQ17">
        <v>217.92829575571244</v>
      </c>
      <c r="BR17">
        <v>221.64013733476509</v>
      </c>
      <c r="BS17">
        <v>222.62412371620968</v>
      </c>
      <c r="BT17">
        <v>222.62170988019457</v>
      </c>
      <c r="BU17">
        <v>222.94388331749559</v>
      </c>
      <c r="BV17">
        <v>228.83809079858543</v>
      </c>
      <c r="BW17">
        <v>228.35126142764582</v>
      </c>
      <c r="BX17">
        <v>230.22168191550787</v>
      </c>
      <c r="BY17">
        <v>224.93280364778397</v>
      </c>
      <c r="BZ17">
        <v>214.5831226355937</v>
      </c>
      <c r="CA17">
        <v>215.84046372214513</v>
      </c>
      <c r="CB17">
        <v>222.8169217234898</v>
      </c>
      <c r="CC17">
        <v>213.18495808055116</v>
      </c>
      <c r="CD17">
        <v>217.50350153053921</v>
      </c>
      <c r="CE17">
        <v>208.80997246070615</v>
      </c>
      <c r="CF17">
        <v>207.50748395086083</v>
      </c>
      <c r="CG17">
        <v>208.28443910993963</v>
      </c>
      <c r="CH17">
        <v>198.81440102882908</v>
      </c>
      <c r="CI17">
        <v>207.74775441442108</v>
      </c>
      <c r="CJ17">
        <v>208.21528362258402</v>
      </c>
      <c r="CK17">
        <v>205.22884561711317</v>
      </c>
      <c r="CL17">
        <v>207.60260700493782</v>
      </c>
      <c r="CM17">
        <v>215.71705375235689</v>
      </c>
      <c r="CN17">
        <v>216.57322233419441</v>
      </c>
      <c r="CO17">
        <v>210.72989572641364</v>
      </c>
      <c r="CP17">
        <v>212.38263936085255</v>
      </c>
      <c r="CQ17">
        <v>211.20272404997561</v>
      </c>
      <c r="CR17">
        <v>212.72741683143045</v>
      </c>
      <c r="CS17">
        <v>217.26395897291863</v>
      </c>
      <c r="CT17">
        <v>209.41704511471434</v>
      </c>
      <c r="CU17">
        <v>211.21298717552307</v>
      </c>
      <c r="CV17">
        <v>0</v>
      </c>
      <c r="CW17">
        <v>0</v>
      </c>
    </row>
    <row r="18" spans="5:101" x14ac:dyDescent="0.2">
      <c r="E18">
        <v>222.13</v>
      </c>
      <c r="F18">
        <v>223.88128629158402</v>
      </c>
      <c r="G18">
        <v>227.65924521101581</v>
      </c>
      <c r="H18">
        <v>220.0822298837997</v>
      </c>
      <c r="I18">
        <v>209.24516964845071</v>
      </c>
      <c r="J18">
        <v>210.37918999063567</v>
      </c>
      <c r="K18">
        <v>209.9618654364196</v>
      </c>
      <c r="L18">
        <v>218.93533435803494</v>
      </c>
      <c r="M18">
        <v>215.6525252400626</v>
      </c>
      <c r="N18">
        <v>219.41428406036695</v>
      </c>
      <c r="O18">
        <v>218.62171248364319</v>
      </c>
      <c r="P18">
        <v>217.81686005343136</v>
      </c>
      <c r="Q18">
        <v>215.06304625999536</v>
      </c>
      <c r="R18">
        <v>231.89579100349758</v>
      </c>
      <c r="S18">
        <v>236.04392912166776</v>
      </c>
      <c r="T18">
        <v>236.97936465004051</v>
      </c>
      <c r="U18">
        <v>236.9014459314777</v>
      </c>
      <c r="V18">
        <v>227.847398371884</v>
      </c>
      <c r="W18">
        <v>227.86633623146835</v>
      </c>
      <c r="X18">
        <v>235.1489520684988</v>
      </c>
      <c r="Y18">
        <v>240.16393519790557</v>
      </c>
      <c r="Z18">
        <v>238.87258526122372</v>
      </c>
      <c r="AA18">
        <v>241.73757189894391</v>
      </c>
      <c r="AB18">
        <v>236.79055927594197</v>
      </c>
      <c r="AC18">
        <v>231.22617504487002</v>
      </c>
      <c r="AD18">
        <v>227.47814379463856</v>
      </c>
      <c r="AE18">
        <v>230.50914774288782</v>
      </c>
      <c r="AF18">
        <v>219.00395405728494</v>
      </c>
      <c r="AG18">
        <v>220.03186149940566</v>
      </c>
      <c r="AH18">
        <v>214.04072253545229</v>
      </c>
      <c r="AI18">
        <v>215.44259539766301</v>
      </c>
      <c r="AJ18">
        <v>217.53474820751867</v>
      </c>
      <c r="AK18">
        <v>209.26404703141392</v>
      </c>
      <c r="AL18">
        <v>211.13672206539624</v>
      </c>
      <c r="AM18">
        <v>201.55612458140999</v>
      </c>
      <c r="AN18">
        <v>197.33310828835008</v>
      </c>
      <c r="AO18">
        <v>199.04517156598956</v>
      </c>
      <c r="AP18">
        <v>199.12773017258655</v>
      </c>
      <c r="AQ18">
        <v>194.99571633665951</v>
      </c>
      <c r="AR18">
        <v>191.3965028807244</v>
      </c>
      <c r="AS18">
        <v>192.46903966702973</v>
      </c>
      <c r="AT18">
        <v>194.79187710462347</v>
      </c>
      <c r="AU18">
        <v>195.34822424392635</v>
      </c>
      <c r="AV18">
        <v>189.9583006187122</v>
      </c>
      <c r="AW18">
        <v>194.08284352309187</v>
      </c>
      <c r="AX18">
        <v>199.38746668018814</v>
      </c>
      <c r="AY18">
        <v>207.18505154298546</v>
      </c>
      <c r="AZ18">
        <v>206.94565179899288</v>
      </c>
      <c r="BA18">
        <v>204.83280034225476</v>
      </c>
      <c r="BB18">
        <v>215.42661948687262</v>
      </c>
      <c r="BC18">
        <v>205.11231167066288</v>
      </c>
      <c r="BD18">
        <v>208.23823412900572</v>
      </c>
      <c r="BE18">
        <v>199.70026284038161</v>
      </c>
      <c r="BF18">
        <v>208.77825218271235</v>
      </c>
      <c r="BG18">
        <v>201.90696628893315</v>
      </c>
      <c r="BH18">
        <v>209.48989651302082</v>
      </c>
      <c r="BI18">
        <v>213.72536053862737</v>
      </c>
      <c r="BJ18">
        <v>211.95354964631179</v>
      </c>
      <c r="BK18">
        <v>215.24107909411245</v>
      </c>
      <c r="BL18">
        <v>212.26085846640424</v>
      </c>
      <c r="BM18">
        <v>216.99925006897973</v>
      </c>
      <c r="BN18">
        <v>217.34786900464633</v>
      </c>
      <c r="BO18">
        <v>218.66782367955003</v>
      </c>
      <c r="BP18">
        <v>215.71266138224865</v>
      </c>
      <c r="BQ18">
        <v>212.28770936616669</v>
      </c>
      <c r="BR18">
        <v>204.34280727138471</v>
      </c>
      <c r="BS18">
        <v>210.44610859434042</v>
      </c>
      <c r="BT18">
        <v>212.430669791491</v>
      </c>
      <c r="BU18">
        <v>206.05453249399841</v>
      </c>
      <c r="BV18">
        <v>199.0440477611281</v>
      </c>
      <c r="BW18">
        <v>200.03769681484943</v>
      </c>
      <c r="BX18">
        <v>200.17755907916924</v>
      </c>
      <c r="BY18">
        <v>197.37776294443074</v>
      </c>
      <c r="BZ18">
        <v>198.26339720761564</v>
      </c>
      <c r="CA18">
        <v>195.74557485132561</v>
      </c>
      <c r="CB18">
        <v>201.50873263547552</v>
      </c>
      <c r="CC18">
        <v>204.61115906928526</v>
      </c>
      <c r="CD18">
        <v>208.83871002050194</v>
      </c>
      <c r="CE18">
        <v>204.23813144556414</v>
      </c>
      <c r="CF18">
        <v>205.46170563392198</v>
      </c>
      <c r="CG18">
        <v>200.23619306039294</v>
      </c>
      <c r="CH18">
        <v>199.70335360150685</v>
      </c>
      <c r="CI18">
        <v>199.84627413254557</v>
      </c>
      <c r="CJ18">
        <v>204.45826941084053</v>
      </c>
      <c r="CK18">
        <v>201.31024270702633</v>
      </c>
      <c r="CL18">
        <v>201.50467984676476</v>
      </c>
      <c r="CM18">
        <v>199.50093774676969</v>
      </c>
      <c r="CN18">
        <v>197.82303824220011</v>
      </c>
      <c r="CO18">
        <v>205.24793096035648</v>
      </c>
      <c r="CP18">
        <v>209.91320275105753</v>
      </c>
      <c r="CQ18">
        <v>207.88258903546784</v>
      </c>
      <c r="CR18">
        <v>206.79908759167802</v>
      </c>
      <c r="CS18">
        <v>214.77590139086786</v>
      </c>
      <c r="CT18">
        <v>214.09015410676744</v>
      </c>
      <c r="CU18">
        <v>210.68163048381723</v>
      </c>
      <c r="CV18">
        <v>0</v>
      </c>
      <c r="CW18">
        <v>0</v>
      </c>
    </row>
    <row r="19" spans="5:101" x14ac:dyDescent="0.2">
      <c r="E19">
        <v>222.13</v>
      </c>
      <c r="F19">
        <v>222.73785846176699</v>
      </c>
      <c r="G19">
        <v>224.6649342360374</v>
      </c>
      <c r="H19">
        <v>220.69792776176433</v>
      </c>
      <c r="I19">
        <v>216.55454644925419</v>
      </c>
      <c r="J19">
        <v>209.40224752557495</v>
      </c>
      <c r="K19">
        <v>210.48052339754329</v>
      </c>
      <c r="L19">
        <v>214.45634587228432</v>
      </c>
      <c r="M19">
        <v>209.30566267088597</v>
      </c>
      <c r="N19">
        <v>202.63841746988106</v>
      </c>
      <c r="O19">
        <v>205.36216618757871</v>
      </c>
      <c r="P19">
        <v>206.63937726918869</v>
      </c>
      <c r="Q19">
        <v>206.93045021335701</v>
      </c>
      <c r="R19">
        <v>209.10779673221066</v>
      </c>
      <c r="S19">
        <v>208.63618198791303</v>
      </c>
      <c r="T19">
        <v>211.26095409983287</v>
      </c>
      <c r="U19">
        <v>217.00143484720326</v>
      </c>
      <c r="V19">
        <v>212.21536614723453</v>
      </c>
      <c r="W19">
        <v>213.60663080777431</v>
      </c>
      <c r="X19">
        <v>214.82917476729835</v>
      </c>
      <c r="Y19">
        <v>215.45497188016057</v>
      </c>
      <c r="Z19">
        <v>216.96012065854794</v>
      </c>
      <c r="AA19">
        <v>212.88218866507043</v>
      </c>
      <c r="AB19">
        <v>217.8147587650802</v>
      </c>
      <c r="AC19">
        <v>212.35730927500592</v>
      </c>
      <c r="AD19">
        <v>215.20694949019926</v>
      </c>
      <c r="AE19">
        <v>219.00186497705457</v>
      </c>
      <c r="AF19">
        <v>222.90985242890034</v>
      </c>
      <c r="AG19">
        <v>228.59010578346664</v>
      </c>
      <c r="AH19">
        <v>230.02208060926205</v>
      </c>
      <c r="AI19">
        <v>239.02271549665758</v>
      </c>
      <c r="AJ19">
        <v>242.41927487047843</v>
      </c>
      <c r="AK19">
        <v>232.06265842475068</v>
      </c>
      <c r="AL19">
        <v>227.46836829816513</v>
      </c>
      <c r="AM19">
        <v>228.508363955932</v>
      </c>
      <c r="AN19">
        <v>227.26826451211139</v>
      </c>
      <c r="AO19">
        <v>215.54262522498183</v>
      </c>
      <c r="AP19">
        <v>220.18915405806825</v>
      </c>
      <c r="AQ19">
        <v>217.71821021651152</v>
      </c>
      <c r="AR19">
        <v>225.28475417805646</v>
      </c>
      <c r="AS19">
        <v>233.40864993228337</v>
      </c>
      <c r="AT19">
        <v>226.47694392858256</v>
      </c>
      <c r="AU19">
        <v>230.38454300852541</v>
      </c>
      <c r="AV19">
        <v>231.41723529917761</v>
      </c>
      <c r="AW19">
        <v>233.08789052401366</v>
      </c>
      <c r="AX19">
        <v>231.0901965183497</v>
      </c>
      <c r="AY19">
        <v>238.29032474022731</v>
      </c>
      <c r="AZ19">
        <v>232.95702306831379</v>
      </c>
      <c r="BA19">
        <v>231.29551575495313</v>
      </c>
      <c r="BB19">
        <v>218.16967037025356</v>
      </c>
      <c r="BC19">
        <v>223.08216888389478</v>
      </c>
      <c r="BD19">
        <v>216.46465433304888</v>
      </c>
      <c r="BE19">
        <v>217.15796959729292</v>
      </c>
      <c r="BF19">
        <v>214.02748351285672</v>
      </c>
      <c r="BG19">
        <v>220.00561155345414</v>
      </c>
      <c r="BH19">
        <v>215.12189933882439</v>
      </c>
      <c r="BI19">
        <v>223.14687611843848</v>
      </c>
      <c r="BJ19">
        <v>223.59980639517315</v>
      </c>
      <c r="BK19">
        <v>223.78589291358861</v>
      </c>
      <c r="BL19">
        <v>223.12361980273641</v>
      </c>
      <c r="BM19">
        <v>222.18293272700691</v>
      </c>
      <c r="BN19">
        <v>222.63550384362227</v>
      </c>
      <c r="BO19">
        <v>222.04853912294365</v>
      </c>
      <c r="BP19">
        <v>221.11157256725181</v>
      </c>
      <c r="BQ19">
        <v>220.92984865170448</v>
      </c>
      <c r="BR19">
        <v>223.08863194817363</v>
      </c>
      <c r="BS19">
        <v>230.85963816391495</v>
      </c>
      <c r="BT19">
        <v>230.25223443667556</v>
      </c>
      <c r="BU19">
        <v>240.18450136466942</v>
      </c>
      <c r="BV19">
        <v>241.51001511448715</v>
      </c>
      <c r="BW19">
        <v>244.53386339074586</v>
      </c>
      <c r="BX19">
        <v>255.18894052108445</v>
      </c>
      <c r="BY19">
        <v>254.688985836824</v>
      </c>
      <c r="BZ19">
        <v>256.68371971582559</v>
      </c>
      <c r="CA19">
        <v>243.51944337466355</v>
      </c>
      <c r="CB19">
        <v>252.30651456738397</v>
      </c>
      <c r="CC19">
        <v>237.32147810429947</v>
      </c>
      <c r="CD19">
        <v>234.52344780871971</v>
      </c>
      <c r="CE19">
        <v>228.31917046921467</v>
      </c>
      <c r="CF19">
        <v>234.4121499529343</v>
      </c>
      <c r="CG19">
        <v>227.3947706672715</v>
      </c>
      <c r="CH19">
        <v>233.17503167664177</v>
      </c>
      <c r="CI19">
        <v>237.02973770673415</v>
      </c>
      <c r="CJ19">
        <v>232.8164464396597</v>
      </c>
      <c r="CK19">
        <v>233.698006851483</v>
      </c>
      <c r="CL19">
        <v>237.60804540422038</v>
      </c>
      <c r="CM19">
        <v>240.79906765684467</v>
      </c>
      <c r="CN19">
        <v>236.18391233181205</v>
      </c>
      <c r="CO19">
        <v>235.48767418020756</v>
      </c>
      <c r="CP19">
        <v>229.73682786429157</v>
      </c>
      <c r="CQ19">
        <v>233.21489433121536</v>
      </c>
      <c r="CR19">
        <v>234.76291254218955</v>
      </c>
      <c r="CS19">
        <v>227.884968809822</v>
      </c>
      <c r="CT19">
        <v>227.25198937588641</v>
      </c>
      <c r="CU19">
        <v>226.26648835699018</v>
      </c>
      <c r="CV19">
        <v>6.2664883569901804</v>
      </c>
      <c r="CW19">
        <v>6.0249869004392007</v>
      </c>
    </row>
    <row r="20" spans="5:101" x14ac:dyDescent="0.2">
      <c r="E20">
        <v>222.13</v>
      </c>
      <c r="F20">
        <v>221.65747444188301</v>
      </c>
      <c r="G20">
        <v>226.20021565117889</v>
      </c>
      <c r="H20">
        <v>224.92889411695035</v>
      </c>
      <c r="I20">
        <v>218.45327567574336</v>
      </c>
      <c r="J20">
        <v>221.81120603285964</v>
      </c>
      <c r="K20">
        <v>221.06539583380629</v>
      </c>
      <c r="L20">
        <v>213.06494919986204</v>
      </c>
      <c r="M20">
        <v>217.97865002122407</v>
      </c>
      <c r="N20">
        <v>223.92275405989852</v>
      </c>
      <c r="O20">
        <v>220.68235570959956</v>
      </c>
      <c r="P20">
        <v>220.31000764775348</v>
      </c>
      <c r="Q20">
        <v>229.77130063002249</v>
      </c>
      <c r="R20">
        <v>229.41961688175013</v>
      </c>
      <c r="S20">
        <v>234.34366210899449</v>
      </c>
      <c r="T20">
        <v>244.70471554412811</v>
      </c>
      <c r="U20">
        <v>243.58363698420396</v>
      </c>
      <c r="V20">
        <v>251.95409534106568</v>
      </c>
      <c r="W20">
        <v>254.28004804906212</v>
      </c>
      <c r="X20">
        <v>247.45904839451748</v>
      </c>
      <c r="Y20">
        <v>248.18560325083649</v>
      </c>
      <c r="Z20">
        <v>254.9879871550452</v>
      </c>
      <c r="AA20">
        <v>255.61987985387157</v>
      </c>
      <c r="AB20">
        <v>263.50811685545875</v>
      </c>
      <c r="AC20">
        <v>259.4007159632539</v>
      </c>
      <c r="AD20">
        <v>259.28482086385509</v>
      </c>
      <c r="AE20">
        <v>249.50042910505806</v>
      </c>
      <c r="AF20">
        <v>244.61593588166804</v>
      </c>
      <c r="AG20">
        <v>242.05398453003383</v>
      </c>
      <c r="AH20">
        <v>238.77205898639735</v>
      </c>
      <c r="AI20">
        <v>246.97783566208358</v>
      </c>
      <c r="AJ20">
        <v>250.10535967818799</v>
      </c>
      <c r="AK20">
        <v>235.79809598153804</v>
      </c>
      <c r="AL20">
        <v>233.5468591053689</v>
      </c>
      <c r="AM20">
        <v>237.51351268964763</v>
      </c>
      <c r="AN20">
        <v>234.99716362791122</v>
      </c>
      <c r="AO20">
        <v>234.35437971698985</v>
      </c>
      <c r="AP20">
        <v>235.71674017335371</v>
      </c>
      <c r="AQ20">
        <v>236.82064661782107</v>
      </c>
      <c r="AR20">
        <v>231.19793521231898</v>
      </c>
      <c r="AS20">
        <v>236.05568320954563</v>
      </c>
      <c r="AT20">
        <v>242.8807559475284</v>
      </c>
      <c r="AU20">
        <v>252.4689635803872</v>
      </c>
      <c r="AV20">
        <v>245.34810132003818</v>
      </c>
      <c r="AW20">
        <v>239.87189862911723</v>
      </c>
      <c r="AX20">
        <v>235.65804242600535</v>
      </c>
      <c r="AY20">
        <v>230.82876498039536</v>
      </c>
      <c r="AZ20">
        <v>236.40781021777673</v>
      </c>
      <c r="BA20">
        <v>237.11662650387967</v>
      </c>
      <c r="BB20">
        <v>241.96858865382711</v>
      </c>
      <c r="BC20">
        <v>242.2839939749432</v>
      </c>
      <c r="BD20">
        <v>237.55204871217924</v>
      </c>
      <c r="BE20">
        <v>242.00807910025</v>
      </c>
      <c r="BF20">
        <v>244.49020723278915</v>
      </c>
      <c r="BG20">
        <v>244.04430221503051</v>
      </c>
      <c r="BH20">
        <v>242.79759310535343</v>
      </c>
      <c r="BI20">
        <v>235.70946957136812</v>
      </c>
      <c r="BJ20">
        <v>228.05463662830991</v>
      </c>
      <c r="BK20">
        <v>223.78827986184746</v>
      </c>
      <c r="BL20">
        <v>224.98508626432042</v>
      </c>
      <c r="BM20">
        <v>215.33842621096966</v>
      </c>
      <c r="BN20">
        <v>213.84142692342107</v>
      </c>
      <c r="BO20">
        <v>210.28747054066656</v>
      </c>
      <c r="BP20">
        <v>214.73324245162428</v>
      </c>
      <c r="BQ20">
        <v>216.5415667138775</v>
      </c>
      <c r="BR20">
        <v>213.69831663335091</v>
      </c>
      <c r="BS20">
        <v>215.71415209432948</v>
      </c>
      <c r="BT20">
        <v>213.34438260993807</v>
      </c>
      <c r="BU20">
        <v>218.20860671655802</v>
      </c>
      <c r="BV20">
        <v>211.16776772068837</v>
      </c>
      <c r="BW20">
        <v>209.25060832625044</v>
      </c>
      <c r="BX20">
        <v>202.57752548790933</v>
      </c>
      <c r="BY20">
        <v>202.80057499312818</v>
      </c>
      <c r="BZ20">
        <v>208.17418954135948</v>
      </c>
      <c r="CA20">
        <v>212.02581626549477</v>
      </c>
      <c r="CB20">
        <v>212.28462812312651</v>
      </c>
      <c r="CC20">
        <v>223.80286158969756</v>
      </c>
      <c r="CD20">
        <v>221.94525288694172</v>
      </c>
      <c r="CE20">
        <v>224.97446086560069</v>
      </c>
      <c r="CF20">
        <v>225.13836590355427</v>
      </c>
      <c r="CG20">
        <v>220.10175447633964</v>
      </c>
      <c r="CH20">
        <v>223.04252295290078</v>
      </c>
      <c r="CI20">
        <v>226.49127211277369</v>
      </c>
      <c r="CJ20">
        <v>226.34071462679617</v>
      </c>
      <c r="CK20">
        <v>240.24127270957078</v>
      </c>
      <c r="CL20">
        <v>237.06957953186415</v>
      </c>
      <c r="CM20">
        <v>247.47342744733783</v>
      </c>
      <c r="CN20">
        <v>248.574117675492</v>
      </c>
      <c r="CO20">
        <v>243.12483846390637</v>
      </c>
      <c r="CP20">
        <v>249.54405011961182</v>
      </c>
      <c r="CQ20">
        <v>249.30855927535069</v>
      </c>
      <c r="CR20">
        <v>249.3876390195729</v>
      </c>
      <c r="CS20">
        <v>249.94105738184851</v>
      </c>
      <c r="CT20">
        <v>249.08398930171984</v>
      </c>
      <c r="CU20">
        <v>253.66350681707485</v>
      </c>
      <c r="CV20">
        <v>33.663506817074847</v>
      </c>
      <c r="CW20">
        <v>32.366163637641861</v>
      </c>
    </row>
    <row r="21" spans="5:101" x14ac:dyDescent="0.2">
      <c r="E21">
        <v>222.13</v>
      </c>
      <c r="F21">
        <v>223.38318982786012</v>
      </c>
      <c r="G21">
        <v>233.09268868805609</v>
      </c>
      <c r="H21">
        <v>228.51180822814757</v>
      </c>
      <c r="I21">
        <v>215.52817247897224</v>
      </c>
      <c r="J21">
        <v>219.18460505049404</v>
      </c>
      <c r="K21">
        <v>215.18130984769172</v>
      </c>
      <c r="L21">
        <v>222.3616116240172</v>
      </c>
      <c r="M21">
        <v>221.72342769925746</v>
      </c>
      <c r="N21">
        <v>223.38936004443349</v>
      </c>
      <c r="O21">
        <v>222.81769770019113</v>
      </c>
      <c r="P21">
        <v>227.80652260433013</v>
      </c>
      <c r="Q21">
        <v>229.15606260153069</v>
      </c>
      <c r="R21">
        <v>227.36954073011287</v>
      </c>
      <c r="S21">
        <v>216.14962059818657</v>
      </c>
      <c r="T21">
        <v>208.61193796050586</v>
      </c>
      <c r="U21">
        <v>206.8368167766931</v>
      </c>
      <c r="V21">
        <v>203.72901765965375</v>
      </c>
      <c r="W21">
        <v>203.47915105762115</v>
      </c>
      <c r="X21">
        <v>208.05381315673401</v>
      </c>
      <c r="Y21">
        <v>207.79544924333305</v>
      </c>
      <c r="Z21">
        <v>203.79129279095002</v>
      </c>
      <c r="AA21">
        <v>203.44757069532849</v>
      </c>
      <c r="AB21">
        <v>195.06047662826984</v>
      </c>
      <c r="AC21">
        <v>185.56147010365396</v>
      </c>
      <c r="AD21">
        <v>185.2693236606404</v>
      </c>
      <c r="AE21">
        <v>183.30536938721286</v>
      </c>
      <c r="AF21">
        <v>184.33578956187469</v>
      </c>
      <c r="AG21">
        <v>184.1395493913368</v>
      </c>
      <c r="AH21">
        <v>182.69868151807302</v>
      </c>
      <c r="AI21">
        <v>186.71734667586969</v>
      </c>
      <c r="AJ21">
        <v>190.4452187378279</v>
      </c>
      <c r="AK21">
        <v>193.82737090816514</v>
      </c>
      <c r="AL21">
        <v>198.82396668516304</v>
      </c>
      <c r="AM21">
        <v>204.38438789676454</v>
      </c>
      <c r="AN21">
        <v>206.61339194544061</v>
      </c>
      <c r="AO21">
        <v>214.27262788919685</v>
      </c>
      <c r="AP21">
        <v>211.37255266642424</v>
      </c>
      <c r="AQ21">
        <v>209.05990269737674</v>
      </c>
      <c r="AR21">
        <v>213.72150778337766</v>
      </c>
      <c r="AS21">
        <v>215.72451763319711</v>
      </c>
      <c r="AT21">
        <v>212.72235439311112</v>
      </c>
      <c r="AU21">
        <v>209.90072955080626</v>
      </c>
      <c r="AV21">
        <v>210.05140295381787</v>
      </c>
      <c r="AW21">
        <v>206.83757624720246</v>
      </c>
      <c r="AX21">
        <v>201.68504910693164</v>
      </c>
      <c r="AY21">
        <v>200.2348736056021</v>
      </c>
      <c r="AZ21">
        <v>195.68154066558623</v>
      </c>
      <c r="BA21">
        <v>190.74113436368094</v>
      </c>
      <c r="BB21">
        <v>190.0741253098679</v>
      </c>
      <c r="BC21">
        <v>190.32643554869512</v>
      </c>
      <c r="BD21">
        <v>187.56093058508557</v>
      </c>
      <c r="BE21">
        <v>190.77228678429216</v>
      </c>
      <c r="BF21">
        <v>189.71643797612384</v>
      </c>
      <c r="BG21">
        <v>184.80083774345266</v>
      </c>
      <c r="BH21">
        <v>186.93723621586381</v>
      </c>
      <c r="BI21">
        <v>174.71975025552339</v>
      </c>
      <c r="BJ21">
        <v>171.4911704289274</v>
      </c>
      <c r="BK21">
        <v>176.0380683132683</v>
      </c>
      <c r="BL21">
        <v>187.30927504949292</v>
      </c>
      <c r="BM21">
        <v>194.70030697067213</v>
      </c>
      <c r="BN21">
        <v>193.72335348039326</v>
      </c>
      <c r="BO21">
        <v>189.28511450520944</v>
      </c>
      <c r="BP21">
        <v>182.88028221880208</v>
      </c>
      <c r="BQ21">
        <v>176.72427282380806</v>
      </c>
      <c r="BR21">
        <v>174.93333472611528</v>
      </c>
      <c r="BS21">
        <v>174.62510297588321</v>
      </c>
      <c r="BT21">
        <v>176.76683104744413</v>
      </c>
      <c r="BU21">
        <v>177.13007955119338</v>
      </c>
      <c r="BV21">
        <v>181.91971975878147</v>
      </c>
      <c r="BW21">
        <v>174.05971538477814</v>
      </c>
      <c r="BX21">
        <v>168.59154772814597</v>
      </c>
      <c r="BY21">
        <v>174.1141823899479</v>
      </c>
      <c r="BZ21">
        <v>172.25276950852918</v>
      </c>
      <c r="CA21">
        <v>175.26326031656441</v>
      </c>
      <c r="CB21">
        <v>176.53778563288043</v>
      </c>
      <c r="CC21">
        <v>180.83187825222484</v>
      </c>
      <c r="CD21">
        <v>179.87854664294011</v>
      </c>
      <c r="CE21">
        <v>184.96109996011677</v>
      </c>
      <c r="CF21">
        <v>191.71201254046355</v>
      </c>
      <c r="CG21">
        <v>189.38926146509172</v>
      </c>
      <c r="CH21">
        <v>188.0476292989498</v>
      </c>
      <c r="CI21">
        <v>184.86758611498018</v>
      </c>
      <c r="CJ21">
        <v>188.37838091777348</v>
      </c>
      <c r="CK21">
        <v>177.51349235307572</v>
      </c>
      <c r="CL21">
        <v>175.45869128472236</v>
      </c>
      <c r="CM21">
        <v>180.62306286597007</v>
      </c>
      <c r="CN21">
        <v>176.15019572808333</v>
      </c>
      <c r="CO21">
        <v>173.11691296309525</v>
      </c>
      <c r="CP21">
        <v>173.08574463333846</v>
      </c>
      <c r="CQ21">
        <v>181.51140562564024</v>
      </c>
      <c r="CR21">
        <v>185.85529408681427</v>
      </c>
      <c r="CS21">
        <v>181.63479244280819</v>
      </c>
      <c r="CT21">
        <v>180.19963532018815</v>
      </c>
      <c r="CU21">
        <v>181.04290154644448</v>
      </c>
      <c r="CV21">
        <v>0</v>
      </c>
      <c r="CW21">
        <v>0</v>
      </c>
    </row>
    <row r="22" spans="5:101" x14ac:dyDescent="0.2">
      <c r="E22">
        <v>222.13</v>
      </c>
      <c r="F22">
        <v>214.48665393494053</v>
      </c>
      <c r="G22">
        <v>215.70446021323244</v>
      </c>
      <c r="H22">
        <v>213.96655550404265</v>
      </c>
      <c r="I22">
        <v>220.00122215235956</v>
      </c>
      <c r="J22">
        <v>215.55529865901761</v>
      </c>
      <c r="K22">
        <v>217.08911785495573</v>
      </c>
      <c r="L22">
        <v>206.65160009247671</v>
      </c>
      <c r="M22">
        <v>204.36768045846861</v>
      </c>
      <c r="N22">
        <v>193.1680923636159</v>
      </c>
      <c r="O22">
        <v>201.29925963510658</v>
      </c>
      <c r="P22">
        <v>203.31672904056569</v>
      </c>
      <c r="Q22">
        <v>205.25731439953958</v>
      </c>
      <c r="R22">
        <v>195.35070330647761</v>
      </c>
      <c r="S22">
        <v>191.75579705486186</v>
      </c>
      <c r="T22">
        <v>193.87018875423658</v>
      </c>
      <c r="U22">
        <v>186.10834711225152</v>
      </c>
      <c r="V22">
        <v>190.36956411988461</v>
      </c>
      <c r="W22">
        <v>193.76310167175663</v>
      </c>
      <c r="X22">
        <v>195.67944191125054</v>
      </c>
      <c r="Y22">
        <v>201.45305200285713</v>
      </c>
      <c r="Z22">
        <v>198.77747871062058</v>
      </c>
      <c r="AA22">
        <v>195.75602131869732</v>
      </c>
      <c r="AB22">
        <v>196.00611447170834</v>
      </c>
      <c r="AC22">
        <v>194.20657101853962</v>
      </c>
      <c r="AD22">
        <v>190.44552117367769</v>
      </c>
      <c r="AE22">
        <v>196.55917051612633</v>
      </c>
      <c r="AF22">
        <v>199.86412381117532</v>
      </c>
      <c r="AG22">
        <v>199.10943558887112</v>
      </c>
      <c r="AH22">
        <v>205.87287198376993</v>
      </c>
      <c r="AI22">
        <v>205.53695657995428</v>
      </c>
      <c r="AJ22">
        <v>200.88092838281429</v>
      </c>
      <c r="AK22">
        <v>194.79468914435643</v>
      </c>
      <c r="AL22">
        <v>194.04788794123354</v>
      </c>
      <c r="AM22">
        <v>188.09080073904173</v>
      </c>
      <c r="AN22">
        <v>187.12264193648349</v>
      </c>
      <c r="AO22">
        <v>178.93793750728793</v>
      </c>
      <c r="AP22">
        <v>177.35356555468081</v>
      </c>
      <c r="AQ22">
        <v>178.80512509851417</v>
      </c>
      <c r="AR22">
        <v>184.25788860723537</v>
      </c>
      <c r="AS22">
        <v>190.58792512655472</v>
      </c>
      <c r="AT22">
        <v>188.22171232858176</v>
      </c>
      <c r="AU22">
        <v>185.74207181001421</v>
      </c>
      <c r="AV22">
        <v>183.88310592581851</v>
      </c>
      <c r="AW22">
        <v>184.74955226016289</v>
      </c>
      <c r="AX22">
        <v>179.19689859219119</v>
      </c>
      <c r="AY22">
        <v>172.48246480542358</v>
      </c>
      <c r="AZ22">
        <v>174.40729573556436</v>
      </c>
      <c r="BA22">
        <v>174.45487440481463</v>
      </c>
      <c r="BB22">
        <v>173.57098229216294</v>
      </c>
      <c r="BC22">
        <v>168.48395150904096</v>
      </c>
      <c r="BD22">
        <v>176.726996035735</v>
      </c>
      <c r="BE22">
        <v>179.83991770292812</v>
      </c>
      <c r="BF22">
        <v>174.62758870776551</v>
      </c>
      <c r="BG22">
        <v>173.70882385914229</v>
      </c>
      <c r="BH22">
        <v>173.45762129106117</v>
      </c>
      <c r="BI22">
        <v>173.0317812412892</v>
      </c>
      <c r="BJ22">
        <v>174.60695685053281</v>
      </c>
      <c r="BK22">
        <v>169.5426414100524</v>
      </c>
      <c r="BL22">
        <v>174.11272375784455</v>
      </c>
      <c r="BM22">
        <v>173.63838291061469</v>
      </c>
      <c r="BN22">
        <v>176.68553305135325</v>
      </c>
      <c r="BO22">
        <v>171.44775537066906</v>
      </c>
      <c r="BP22">
        <v>165.2465439701102</v>
      </c>
      <c r="BQ22">
        <v>165.52897221908279</v>
      </c>
      <c r="BR22">
        <v>172.62003466955323</v>
      </c>
      <c r="BS22">
        <v>179.39137649280178</v>
      </c>
      <c r="BT22">
        <v>174.90818599154014</v>
      </c>
      <c r="BU22">
        <v>177.23448329255027</v>
      </c>
      <c r="BV22">
        <v>182.83531771238239</v>
      </c>
      <c r="BW22">
        <v>182.11885956863728</v>
      </c>
      <c r="BX22">
        <v>182.28287963788929</v>
      </c>
      <c r="BY22">
        <v>169.98474114822048</v>
      </c>
      <c r="BZ22">
        <v>169.08629438318312</v>
      </c>
      <c r="CA22">
        <v>167.70113583102173</v>
      </c>
      <c r="CB22">
        <v>164.96017351492114</v>
      </c>
      <c r="CC22">
        <v>162.32324767196368</v>
      </c>
      <c r="CD22">
        <v>165.90521189908094</v>
      </c>
      <c r="CE22">
        <v>165.03247122361338</v>
      </c>
      <c r="CF22">
        <v>163.01315803341166</v>
      </c>
      <c r="CG22">
        <v>159.83793481345751</v>
      </c>
      <c r="CH22">
        <v>161.67593508026621</v>
      </c>
      <c r="CI22">
        <v>162.35183080303599</v>
      </c>
      <c r="CJ22">
        <v>158.4841864005565</v>
      </c>
      <c r="CK22">
        <v>155.55777695710819</v>
      </c>
      <c r="CL22">
        <v>153.10342932253474</v>
      </c>
      <c r="CM22">
        <v>148.0164537519741</v>
      </c>
      <c r="CN22">
        <v>143.63124418750701</v>
      </c>
      <c r="CO22">
        <v>143.77584009156047</v>
      </c>
      <c r="CP22">
        <v>144.60439305176888</v>
      </c>
      <c r="CQ22">
        <v>146.96609866893661</v>
      </c>
      <c r="CR22">
        <v>150.3668423480369</v>
      </c>
      <c r="CS22">
        <v>151.13136397894417</v>
      </c>
      <c r="CT22">
        <v>148.68127315794058</v>
      </c>
      <c r="CU22">
        <v>144.58767482994642</v>
      </c>
      <c r="CV22">
        <v>0</v>
      </c>
      <c r="CW22">
        <v>0</v>
      </c>
    </row>
    <row r="23" spans="5:101" x14ac:dyDescent="0.2">
      <c r="E23">
        <v>222.13</v>
      </c>
      <c r="F23">
        <v>218.68076109306216</v>
      </c>
      <c r="G23">
        <v>210.20484579981564</v>
      </c>
      <c r="H23">
        <v>208.99472540820196</v>
      </c>
      <c r="I23">
        <v>202.6507095440077</v>
      </c>
      <c r="J23">
        <v>205.22222629154894</v>
      </c>
      <c r="K23">
        <v>209.12203666719077</v>
      </c>
      <c r="L23">
        <v>210.95750973023999</v>
      </c>
      <c r="M23">
        <v>205.77361914735059</v>
      </c>
      <c r="N23">
        <v>207.99436773216081</v>
      </c>
      <c r="O23">
        <v>213.10479955829376</v>
      </c>
      <c r="P23">
        <v>209.37884648866083</v>
      </c>
      <c r="Q23">
        <v>199.62555911056779</v>
      </c>
      <c r="R23">
        <v>207.13108805679846</v>
      </c>
      <c r="S23">
        <v>210.12387771230931</v>
      </c>
      <c r="T23">
        <v>208.87404991715957</v>
      </c>
      <c r="U23">
        <v>216.20767730961811</v>
      </c>
      <c r="V23">
        <v>219.26232518417416</v>
      </c>
      <c r="W23">
        <v>225.50673017293641</v>
      </c>
      <c r="X23">
        <v>227.34352298351365</v>
      </c>
      <c r="Y23">
        <v>227.72046802336817</v>
      </c>
      <c r="Z23">
        <v>231.09942691576126</v>
      </c>
      <c r="AA23">
        <v>214.78335766927242</v>
      </c>
      <c r="AB23">
        <v>206.49832008025814</v>
      </c>
      <c r="AC23">
        <v>206.41102168969783</v>
      </c>
      <c r="AD23">
        <v>205.70089723724516</v>
      </c>
      <c r="AE23">
        <v>217.00603121641535</v>
      </c>
      <c r="AF23">
        <v>225.77532808258539</v>
      </c>
      <c r="AG23">
        <v>231.75605414282452</v>
      </c>
      <c r="AH23">
        <v>226.31903926886775</v>
      </c>
      <c r="AI23">
        <v>229.34015310470798</v>
      </c>
      <c r="AJ23">
        <v>230.51374193753765</v>
      </c>
      <c r="AK23">
        <v>229.87297370173965</v>
      </c>
      <c r="AL23">
        <v>232.34668508023691</v>
      </c>
      <c r="AM23">
        <v>230.85373997282565</v>
      </c>
      <c r="AN23">
        <v>229.89985356710389</v>
      </c>
      <c r="AO23">
        <v>224.13755882312032</v>
      </c>
      <c r="AP23">
        <v>226.02149643435339</v>
      </c>
      <c r="AQ23">
        <v>221.48753699117583</v>
      </c>
      <c r="AR23">
        <v>225.32953259633081</v>
      </c>
      <c r="AS23">
        <v>232.05643803282337</v>
      </c>
      <c r="AT23">
        <v>234.88240990948788</v>
      </c>
      <c r="AU23">
        <v>229.15236991816545</v>
      </c>
      <c r="AV23">
        <v>227.17554234229698</v>
      </c>
      <c r="AW23">
        <v>229.38515175981667</v>
      </c>
      <c r="AX23">
        <v>228.83137983270751</v>
      </c>
      <c r="AY23">
        <v>221.11232163722985</v>
      </c>
      <c r="AZ23">
        <v>225.34623637353511</v>
      </c>
      <c r="BA23">
        <v>225.30815841223645</v>
      </c>
      <c r="BB23">
        <v>226.57137997634706</v>
      </c>
      <c r="BC23">
        <v>229.86101826255813</v>
      </c>
      <c r="BD23">
        <v>229.60137148215699</v>
      </c>
      <c r="BE23">
        <v>225.44873689893225</v>
      </c>
      <c r="BF23">
        <v>224.2267891137891</v>
      </c>
      <c r="BG23">
        <v>220.10992380512943</v>
      </c>
      <c r="BH23">
        <v>219.31381102947771</v>
      </c>
      <c r="BI23">
        <v>211.83465955603015</v>
      </c>
      <c r="BJ23">
        <v>215.44673684123543</v>
      </c>
      <c r="BK23">
        <v>214.65100116598006</v>
      </c>
      <c r="BL23">
        <v>224.56494643387876</v>
      </c>
      <c r="BM23">
        <v>225.00737968943335</v>
      </c>
      <c r="BN23">
        <v>234.40546159690999</v>
      </c>
      <c r="BO23">
        <v>220.99419309960663</v>
      </c>
      <c r="BP23">
        <v>227.64163091475282</v>
      </c>
      <c r="BQ23">
        <v>225.06611174497553</v>
      </c>
      <c r="BR23">
        <v>235.69947144577822</v>
      </c>
      <c r="BS23">
        <v>244.98444580536395</v>
      </c>
      <c r="BT23">
        <v>247.58170273732645</v>
      </c>
      <c r="BU23">
        <v>238.38316140752443</v>
      </c>
      <c r="BV23">
        <v>235.53313835468862</v>
      </c>
      <c r="BW23">
        <v>233.06934438953402</v>
      </c>
      <c r="BX23">
        <v>236.39378863496128</v>
      </c>
      <c r="BY23">
        <v>231.76917238545261</v>
      </c>
      <c r="BZ23">
        <v>241.89177749567941</v>
      </c>
      <c r="CA23">
        <v>244.93018010712004</v>
      </c>
      <c r="CB23">
        <v>248.18833268386868</v>
      </c>
      <c r="CC23">
        <v>253.72737304154805</v>
      </c>
      <c r="CD23">
        <v>244.0426999103139</v>
      </c>
      <c r="CE23">
        <v>244.66472855734676</v>
      </c>
      <c r="CF23">
        <v>231.025929998468</v>
      </c>
      <c r="CG23">
        <v>230.84075795228216</v>
      </c>
      <c r="CH23">
        <v>240.96895599085374</v>
      </c>
      <c r="CI23">
        <v>238.54756101361616</v>
      </c>
      <c r="CJ23">
        <v>238.60923904123419</v>
      </c>
      <c r="CK23">
        <v>229.96487032426828</v>
      </c>
      <c r="CL23">
        <v>219.78658902605454</v>
      </c>
      <c r="CM23">
        <v>222.67645769311022</v>
      </c>
      <c r="CN23">
        <v>225.81984237691759</v>
      </c>
      <c r="CO23">
        <v>234.4069226372394</v>
      </c>
      <c r="CP23">
        <v>233.23649681991526</v>
      </c>
      <c r="CQ23">
        <v>240.48691747423126</v>
      </c>
      <c r="CR23">
        <v>234.6901950293346</v>
      </c>
      <c r="CS23">
        <v>233.66480681142517</v>
      </c>
      <c r="CT23">
        <v>227.51399954982145</v>
      </c>
      <c r="CU23">
        <v>223.11928118757257</v>
      </c>
      <c r="CV23">
        <v>3.1192811875725681</v>
      </c>
      <c r="CW23">
        <v>2.9990685729028961</v>
      </c>
    </row>
    <row r="24" spans="5:101" x14ac:dyDescent="0.2">
      <c r="E24">
        <v>222.13</v>
      </c>
      <c r="F24">
        <v>225.49342072733563</v>
      </c>
      <c r="G24">
        <v>228.14523858189986</v>
      </c>
      <c r="H24">
        <v>224.56129570624208</v>
      </c>
      <c r="I24">
        <v>230.75348822851296</v>
      </c>
      <c r="J24">
        <v>226.92725939487883</v>
      </c>
      <c r="K24">
        <v>226.90182431217875</v>
      </c>
      <c r="L24">
        <v>229.61907550966134</v>
      </c>
      <c r="M24">
        <v>225.18472078801122</v>
      </c>
      <c r="N24">
        <v>218.07723567818587</v>
      </c>
      <c r="O24">
        <v>225.45869528520328</v>
      </c>
      <c r="P24">
        <v>218.13874694426005</v>
      </c>
      <c r="Q24">
        <v>215.71543647167593</v>
      </c>
      <c r="R24">
        <v>209.99516543302016</v>
      </c>
      <c r="S24">
        <v>214.18811799631649</v>
      </c>
      <c r="T24">
        <v>209.82411826339603</v>
      </c>
      <c r="U24">
        <v>214.1668998227631</v>
      </c>
      <c r="V24">
        <v>213.73036071542828</v>
      </c>
      <c r="W24">
        <v>217.67443369442333</v>
      </c>
      <c r="X24">
        <v>224.72017948162761</v>
      </c>
      <c r="Y24">
        <v>223.81594996539977</v>
      </c>
      <c r="Z24">
        <v>225.34207892525197</v>
      </c>
      <c r="AA24">
        <v>228.94261386816552</v>
      </c>
      <c r="AB24">
        <v>227.66993178454288</v>
      </c>
      <c r="AC24">
        <v>227.86186162261677</v>
      </c>
      <c r="AD24">
        <v>218.16084448445307</v>
      </c>
      <c r="AE24">
        <v>216.19789845156976</v>
      </c>
      <c r="AF24">
        <v>225.51191405275335</v>
      </c>
      <c r="AG24">
        <v>229.23137605552543</v>
      </c>
      <c r="AH24">
        <v>222.1650681011084</v>
      </c>
      <c r="AI24">
        <v>224.74690859163269</v>
      </c>
      <c r="AJ24">
        <v>222.16829347340126</v>
      </c>
      <c r="AK24">
        <v>220.58863854822013</v>
      </c>
      <c r="AL24">
        <v>218.17937600518744</v>
      </c>
      <c r="AM24">
        <v>215.61143462792666</v>
      </c>
      <c r="AN24">
        <v>217.86619428862633</v>
      </c>
      <c r="AO24">
        <v>219.26040201246215</v>
      </c>
      <c r="AP24">
        <v>214.58058014913757</v>
      </c>
      <c r="AQ24">
        <v>219.79003627585155</v>
      </c>
      <c r="AR24">
        <v>222.48109872392064</v>
      </c>
      <c r="AS24">
        <v>234.78651900806278</v>
      </c>
      <c r="AT24">
        <v>245.67589492023399</v>
      </c>
      <c r="AU24">
        <v>242.41713447227002</v>
      </c>
      <c r="AV24">
        <v>244.30988922725103</v>
      </c>
      <c r="AW24">
        <v>246.84042623717048</v>
      </c>
      <c r="AX24">
        <v>253.46434688652704</v>
      </c>
      <c r="AY24">
        <v>250.60621791629549</v>
      </c>
      <c r="AZ24">
        <v>251.87337370620489</v>
      </c>
      <c r="BA24">
        <v>249.96522524235144</v>
      </c>
      <c r="BB24">
        <v>251.73654645270921</v>
      </c>
      <c r="BC24">
        <v>250.98682708934058</v>
      </c>
      <c r="BD24">
        <v>259.07566973762124</v>
      </c>
      <c r="BE24">
        <v>249.77172342616865</v>
      </c>
      <c r="BF24">
        <v>249.18858824398976</v>
      </c>
      <c r="BG24">
        <v>253.60529598253277</v>
      </c>
      <c r="BH24">
        <v>256.81941811473496</v>
      </c>
      <c r="BI24">
        <v>262.06581205654271</v>
      </c>
      <c r="BJ24">
        <v>265.27397719916024</v>
      </c>
      <c r="BK24">
        <v>257.70118590752173</v>
      </c>
      <c r="BL24">
        <v>253.78584852209804</v>
      </c>
      <c r="BM24">
        <v>252.17106757720995</v>
      </c>
      <c r="BN24">
        <v>242.72486881680638</v>
      </c>
      <c r="BO24">
        <v>247.37215171408536</v>
      </c>
      <c r="BP24">
        <v>248.83529002289873</v>
      </c>
      <c r="BQ24">
        <v>248.26995706786738</v>
      </c>
      <c r="BR24">
        <v>248.47519064637001</v>
      </c>
      <c r="BS24">
        <v>243.08553608778558</v>
      </c>
      <c r="BT24">
        <v>250.32163149976637</v>
      </c>
      <c r="BU24">
        <v>252.66920121976685</v>
      </c>
      <c r="BV24">
        <v>244.71316102430103</v>
      </c>
      <c r="BW24">
        <v>250.00301740792696</v>
      </c>
      <c r="BX24">
        <v>256.39260953283656</v>
      </c>
      <c r="BY24">
        <v>248.22435724134874</v>
      </c>
      <c r="BZ24">
        <v>242.18426679199027</v>
      </c>
      <c r="CA24">
        <v>234.33423438396503</v>
      </c>
      <c r="CB24">
        <v>233.02763526467047</v>
      </c>
      <c r="CC24">
        <v>235.27774421561574</v>
      </c>
      <c r="CD24">
        <v>229.50283641053394</v>
      </c>
      <c r="CE24">
        <v>242.39106191712702</v>
      </c>
      <c r="CF24">
        <v>236.61562025652353</v>
      </c>
      <c r="CG24">
        <v>236.77829685235011</v>
      </c>
      <c r="CH24">
        <v>231.64360280180261</v>
      </c>
      <c r="CI24">
        <v>235.58073560521208</v>
      </c>
      <c r="CJ24">
        <v>235.80780740231577</v>
      </c>
      <c r="CK24">
        <v>240.08370692921932</v>
      </c>
      <c r="CL24">
        <v>234.15695109324056</v>
      </c>
      <c r="CM24">
        <v>240.33298509484504</v>
      </c>
      <c r="CN24">
        <v>243.30125416820232</v>
      </c>
      <c r="CO24">
        <v>241.01008487312728</v>
      </c>
      <c r="CP24">
        <v>240.42058733063382</v>
      </c>
      <c r="CQ24">
        <v>249.13885805436968</v>
      </c>
      <c r="CR24">
        <v>242.55041807364623</v>
      </c>
      <c r="CS24">
        <v>247.66650617378693</v>
      </c>
      <c r="CT24">
        <v>256.09962834207425</v>
      </c>
      <c r="CU24">
        <v>255.6776798847784</v>
      </c>
      <c r="CV24">
        <v>35.677679884778399</v>
      </c>
      <c r="CW24">
        <v>34.302713369613279</v>
      </c>
    </row>
    <row r="25" spans="5:101" x14ac:dyDescent="0.2">
      <c r="E25">
        <v>222.13</v>
      </c>
      <c r="F25">
        <v>220.51492965583711</v>
      </c>
      <c r="G25">
        <v>213.11141548232717</v>
      </c>
      <c r="H25">
        <v>209.03628181717795</v>
      </c>
      <c r="I25">
        <v>217.94138131961404</v>
      </c>
      <c r="J25">
        <v>221.09198198684501</v>
      </c>
      <c r="K25">
        <v>220.61024919413688</v>
      </c>
      <c r="L25">
        <v>217.39961108622214</v>
      </c>
      <c r="M25">
        <v>217.89097237648906</v>
      </c>
      <c r="N25">
        <v>222.40826537635817</v>
      </c>
      <c r="O25">
        <v>221.17025400219825</v>
      </c>
      <c r="P25">
        <v>231.08649866575519</v>
      </c>
      <c r="Q25">
        <v>240.39324430823851</v>
      </c>
      <c r="R25">
        <v>239.28757754812091</v>
      </c>
      <c r="S25">
        <v>233.8132801374563</v>
      </c>
      <c r="T25">
        <v>231.17765684480639</v>
      </c>
      <c r="U25">
        <v>222.53685732407837</v>
      </c>
      <c r="V25">
        <v>222.15380587429158</v>
      </c>
      <c r="W25">
        <v>230.80118200019692</v>
      </c>
      <c r="X25">
        <v>227.55169793146251</v>
      </c>
      <c r="Y25">
        <v>227.21056875334256</v>
      </c>
      <c r="Z25">
        <v>228.1730072639522</v>
      </c>
      <c r="AA25">
        <v>229.80152598249606</v>
      </c>
      <c r="AB25">
        <v>220.46256319304075</v>
      </c>
      <c r="AC25">
        <v>224.24832248409237</v>
      </c>
      <c r="AD25">
        <v>225.38751061880433</v>
      </c>
      <c r="AE25">
        <v>229.1069111705157</v>
      </c>
      <c r="AF25">
        <v>226.61336960933036</v>
      </c>
      <c r="AG25">
        <v>222.92867532396858</v>
      </c>
      <c r="AH25">
        <v>217.70014666443035</v>
      </c>
      <c r="AI25">
        <v>218.36532078368674</v>
      </c>
      <c r="AJ25">
        <v>219.31370845142013</v>
      </c>
      <c r="AK25">
        <v>221.63680053465043</v>
      </c>
      <c r="AL25">
        <v>221.65946383590511</v>
      </c>
      <c r="AM25">
        <v>229.36445934906754</v>
      </c>
      <c r="AN25">
        <v>221.63261124831999</v>
      </c>
      <c r="AO25">
        <v>224.64398910467634</v>
      </c>
      <c r="AP25">
        <v>226.33560993187024</v>
      </c>
      <c r="AQ25">
        <v>225.43385385257562</v>
      </c>
      <c r="AR25">
        <v>223.47709487025253</v>
      </c>
      <c r="AS25">
        <v>217.70524798885052</v>
      </c>
      <c r="AT25">
        <v>213.10514880553538</v>
      </c>
      <c r="AU25">
        <v>211.82394555482486</v>
      </c>
      <c r="AV25">
        <v>206.82832893489876</v>
      </c>
      <c r="AW25">
        <v>200.20084387998642</v>
      </c>
      <c r="AX25">
        <v>199.87536907243174</v>
      </c>
      <c r="AY25">
        <v>199.84593780769458</v>
      </c>
      <c r="AZ25">
        <v>200.64823369451898</v>
      </c>
      <c r="BA25">
        <v>192.67884316014889</v>
      </c>
      <c r="BB25">
        <v>189.85544119697832</v>
      </c>
      <c r="BC25">
        <v>188.09243315642749</v>
      </c>
      <c r="BD25">
        <v>188.39676994922172</v>
      </c>
      <c r="BE25">
        <v>183.11156188406352</v>
      </c>
      <c r="BF25">
        <v>180.35058475022646</v>
      </c>
      <c r="BG25">
        <v>175.52845314020635</v>
      </c>
      <c r="BH25">
        <v>175.52821656401059</v>
      </c>
      <c r="BI25">
        <v>176.66080250979488</v>
      </c>
      <c r="BJ25">
        <v>175.51591876226064</v>
      </c>
      <c r="BK25">
        <v>181.68959562266721</v>
      </c>
      <c r="BL25">
        <v>190.81131846334054</v>
      </c>
      <c r="BM25">
        <v>191.28683615892459</v>
      </c>
      <c r="BN25">
        <v>186.9699065224184</v>
      </c>
      <c r="BO25">
        <v>190.96787785251314</v>
      </c>
      <c r="BP25">
        <v>190.83459643992725</v>
      </c>
      <c r="BQ25">
        <v>193.11448217904419</v>
      </c>
      <c r="BR25">
        <v>184.95945854269681</v>
      </c>
      <c r="BS25">
        <v>185.45052856646194</v>
      </c>
      <c r="BT25">
        <v>194.98463473363529</v>
      </c>
      <c r="BU25">
        <v>192.11962710822883</v>
      </c>
      <c r="BV25">
        <v>200.70680004184314</v>
      </c>
      <c r="BW25">
        <v>206.15636168076375</v>
      </c>
      <c r="BX25">
        <v>210.14432459411105</v>
      </c>
      <c r="BY25">
        <v>207.19525619182807</v>
      </c>
      <c r="BZ25">
        <v>197.7530480401397</v>
      </c>
      <c r="CA25">
        <v>197.71529214403117</v>
      </c>
      <c r="CB25">
        <v>205.13375240496595</v>
      </c>
      <c r="CC25">
        <v>198.97534082677512</v>
      </c>
      <c r="CD25">
        <v>194.44828805620847</v>
      </c>
      <c r="CE25">
        <v>194.0305269063808</v>
      </c>
      <c r="CF25">
        <v>188.60662331424538</v>
      </c>
      <c r="CG25">
        <v>180.62856055397893</v>
      </c>
      <c r="CH25">
        <v>174.64522060527247</v>
      </c>
      <c r="CI25">
        <v>184.1218118841532</v>
      </c>
      <c r="CJ25">
        <v>182.54815167944508</v>
      </c>
      <c r="CK25">
        <v>183.3610525560064</v>
      </c>
      <c r="CL25">
        <v>185.5829372910886</v>
      </c>
      <c r="CM25">
        <v>185.61576427778041</v>
      </c>
      <c r="CN25">
        <v>186.9504123798437</v>
      </c>
      <c r="CO25">
        <v>194.56364216310126</v>
      </c>
      <c r="CP25">
        <v>192.0343262949886</v>
      </c>
      <c r="CQ25">
        <v>191.51324087503275</v>
      </c>
      <c r="CR25">
        <v>189.27601875011143</v>
      </c>
      <c r="CS25">
        <v>194.61852345916216</v>
      </c>
      <c r="CT25">
        <v>200.99940452484248</v>
      </c>
      <c r="CU25">
        <v>201.89747722897576</v>
      </c>
      <c r="CV25">
        <v>0</v>
      </c>
      <c r="CW25">
        <v>0</v>
      </c>
    </row>
    <row r="26" spans="5:101" x14ac:dyDescent="0.2">
      <c r="E26">
        <v>222.13</v>
      </c>
      <c r="F26">
        <v>225.24106798553888</v>
      </c>
      <c r="G26">
        <v>219.25660613824451</v>
      </c>
      <c r="H26">
        <v>217.05687043904129</v>
      </c>
      <c r="I26">
        <v>212.77501036692115</v>
      </c>
      <c r="J26">
        <v>223.10946035051313</v>
      </c>
      <c r="K26">
        <v>226.58720436100231</v>
      </c>
      <c r="L26">
        <v>215.07810329971693</v>
      </c>
      <c r="M26">
        <v>218.19131698100762</v>
      </c>
      <c r="N26">
        <v>214.58302123173388</v>
      </c>
      <c r="O26">
        <v>216.76489977129259</v>
      </c>
      <c r="P26">
        <v>218.68672532237187</v>
      </c>
      <c r="Q26">
        <v>207.83320858981557</v>
      </c>
      <c r="R26">
        <v>207.74362777891562</v>
      </c>
      <c r="S26">
        <v>198.50160950764939</v>
      </c>
      <c r="T26">
        <v>202.75324947700673</v>
      </c>
      <c r="U26">
        <v>195.62974743353425</v>
      </c>
      <c r="V26">
        <v>196.49731100603216</v>
      </c>
      <c r="W26">
        <v>198.32702420628246</v>
      </c>
      <c r="X26">
        <v>197.22766386623317</v>
      </c>
      <c r="Y26">
        <v>196.07285230753726</v>
      </c>
      <c r="Z26">
        <v>195.68040127284337</v>
      </c>
      <c r="AA26">
        <v>193.20279010409897</v>
      </c>
      <c r="AB26">
        <v>188.81525707150433</v>
      </c>
      <c r="AC26">
        <v>183.52678887241473</v>
      </c>
      <c r="AD26">
        <v>178.04389816393643</v>
      </c>
      <c r="AE26">
        <v>179.21768037955513</v>
      </c>
      <c r="AF26">
        <v>178.51756798670044</v>
      </c>
      <c r="AG26">
        <v>172.97725765736112</v>
      </c>
      <c r="AH26">
        <v>180.84492984365869</v>
      </c>
      <c r="AI26">
        <v>175.80849681997771</v>
      </c>
      <c r="AJ26">
        <v>173.96564575792416</v>
      </c>
      <c r="AK26">
        <v>173.32663796199401</v>
      </c>
      <c r="AL26">
        <v>176.13645284040194</v>
      </c>
      <c r="AM26">
        <v>169.09345661985805</v>
      </c>
      <c r="AN26">
        <v>169.79185645196989</v>
      </c>
      <c r="AO26">
        <v>167.07076092124177</v>
      </c>
      <c r="AP26">
        <v>162.59383201061416</v>
      </c>
      <c r="AQ26">
        <v>159.0140222782525</v>
      </c>
      <c r="AR26">
        <v>159.81642495008717</v>
      </c>
      <c r="AS26">
        <v>166.07755950919173</v>
      </c>
      <c r="AT26">
        <v>174.81029550941741</v>
      </c>
      <c r="AU26">
        <v>178.80931623830048</v>
      </c>
      <c r="AV26">
        <v>177.95977324090825</v>
      </c>
      <c r="AW26">
        <v>180.63473158720529</v>
      </c>
      <c r="AX26">
        <v>180.06689497750517</v>
      </c>
      <c r="AY26">
        <v>180.85847131921312</v>
      </c>
      <c r="AZ26">
        <v>170.89919341522747</v>
      </c>
      <c r="BA26">
        <v>167.5760095439768</v>
      </c>
      <c r="BB26">
        <v>169.82549646545885</v>
      </c>
      <c r="BC26">
        <v>169.2063323877428</v>
      </c>
      <c r="BD26">
        <v>172.72185140635622</v>
      </c>
      <c r="BE26">
        <v>168.85601014454474</v>
      </c>
      <c r="BF26">
        <v>169.36246833455391</v>
      </c>
      <c r="BG26">
        <v>165.79231483323591</v>
      </c>
      <c r="BH26">
        <v>170.29898948322605</v>
      </c>
      <c r="BI26">
        <v>172.00922994406028</v>
      </c>
      <c r="BJ26">
        <v>169.36333043581294</v>
      </c>
      <c r="BK26">
        <v>173.97260283649538</v>
      </c>
      <c r="BL26">
        <v>174.88170646531398</v>
      </c>
      <c r="BM26">
        <v>176.99291600279611</v>
      </c>
      <c r="BN26">
        <v>184.46338383751782</v>
      </c>
      <c r="BO26">
        <v>175.66448639273688</v>
      </c>
      <c r="BP26">
        <v>179.34531285705836</v>
      </c>
      <c r="BQ26">
        <v>177.58489380615455</v>
      </c>
      <c r="BR26">
        <v>176.88569179882748</v>
      </c>
      <c r="BS26">
        <v>180.90648275892872</v>
      </c>
      <c r="BT26">
        <v>181.67497895092916</v>
      </c>
      <c r="BU26">
        <v>175.89447933125248</v>
      </c>
      <c r="BV26">
        <v>180.39285040574799</v>
      </c>
      <c r="BW26">
        <v>179.95189426873333</v>
      </c>
      <c r="BX26">
        <v>184.09521977938817</v>
      </c>
      <c r="BY26">
        <v>187.93282382590948</v>
      </c>
      <c r="BZ26">
        <v>195.95949608552448</v>
      </c>
      <c r="CA26">
        <v>197.47470286889285</v>
      </c>
      <c r="CB26">
        <v>193.45360520644155</v>
      </c>
      <c r="CC26">
        <v>194.12574780167063</v>
      </c>
      <c r="CD26">
        <v>192.70119084802741</v>
      </c>
      <c r="CE26">
        <v>194.20188791903303</v>
      </c>
      <c r="CF26">
        <v>201.42001714070369</v>
      </c>
      <c r="CG26">
        <v>196.74665904565546</v>
      </c>
      <c r="CH26">
        <v>197.19568284787613</v>
      </c>
      <c r="CI26">
        <v>197.97091653471986</v>
      </c>
      <c r="CJ26">
        <v>201.11198465336238</v>
      </c>
      <c r="CK26">
        <v>211.01662276689726</v>
      </c>
      <c r="CL26">
        <v>205.19739404810881</v>
      </c>
      <c r="CM26">
        <v>203.58977524826005</v>
      </c>
      <c r="CN26">
        <v>202.9178781530585</v>
      </c>
      <c r="CO26">
        <v>205.11820356044916</v>
      </c>
      <c r="CP26">
        <v>211.20512854670201</v>
      </c>
      <c r="CQ26">
        <v>211.65985952749918</v>
      </c>
      <c r="CR26">
        <v>212.13170598336046</v>
      </c>
      <c r="CS26">
        <v>206.81271323470406</v>
      </c>
      <c r="CT26">
        <v>205.95992218724507</v>
      </c>
      <c r="CU26">
        <v>203.75879719731716</v>
      </c>
      <c r="CV26">
        <v>0</v>
      </c>
      <c r="CW26">
        <v>0</v>
      </c>
    </row>
    <row r="27" spans="5:101" x14ac:dyDescent="0.2">
      <c r="E27">
        <v>222.13</v>
      </c>
      <c r="F27">
        <v>223.87156203292989</v>
      </c>
      <c r="G27">
        <v>218.7367503133589</v>
      </c>
      <c r="H27">
        <v>217.59164271145355</v>
      </c>
      <c r="I27">
        <v>221.33282726605557</v>
      </c>
      <c r="J27">
        <v>222.05852255793528</v>
      </c>
      <c r="K27">
        <v>224.68433357796675</v>
      </c>
      <c r="L27">
        <v>220.2074684934222</v>
      </c>
      <c r="M27">
        <v>219.82206701651248</v>
      </c>
      <c r="N27">
        <v>211.75875370753707</v>
      </c>
      <c r="O27">
        <v>220.99290039052352</v>
      </c>
      <c r="P27">
        <v>219.97225659623959</v>
      </c>
      <c r="Q27">
        <v>222.12160197643993</v>
      </c>
      <c r="R27">
        <v>223.75203835194185</v>
      </c>
      <c r="S27">
        <v>223.74903228083062</v>
      </c>
      <c r="T27">
        <v>225.98811517484413</v>
      </c>
      <c r="U27">
        <v>228.85168143666854</v>
      </c>
      <c r="V27">
        <v>234.14439314023076</v>
      </c>
      <c r="W27">
        <v>226.80262917356211</v>
      </c>
      <c r="X27">
        <v>229.82512543204001</v>
      </c>
      <c r="Y27">
        <v>220.66876032389109</v>
      </c>
      <c r="Z27">
        <v>223.04704604315805</v>
      </c>
      <c r="AA27">
        <v>219.94817402720437</v>
      </c>
      <c r="AB27">
        <v>218.53939873583772</v>
      </c>
      <c r="AC27">
        <v>220.14399380033842</v>
      </c>
      <c r="AD27">
        <v>235.24478854848635</v>
      </c>
      <c r="AE27">
        <v>221.3773282445257</v>
      </c>
      <c r="AF27">
        <v>224.65888691222497</v>
      </c>
      <c r="AG27">
        <v>224.5034271143349</v>
      </c>
      <c r="AH27">
        <v>221.6162355353184</v>
      </c>
      <c r="AI27">
        <v>229.13129445378533</v>
      </c>
      <c r="AJ27">
        <v>225.08081105615733</v>
      </c>
      <c r="AK27">
        <v>216.75746315715693</v>
      </c>
      <c r="AL27">
        <v>218.17758975073809</v>
      </c>
      <c r="AM27">
        <v>219.05268917333453</v>
      </c>
      <c r="AN27">
        <v>215.26136760551509</v>
      </c>
      <c r="AO27">
        <v>212.89331671113104</v>
      </c>
      <c r="AP27">
        <v>211.38150907378485</v>
      </c>
      <c r="AQ27">
        <v>207.99620492391776</v>
      </c>
      <c r="AR27">
        <v>209.44277417822852</v>
      </c>
      <c r="AS27">
        <v>216.06952921912628</v>
      </c>
      <c r="AT27">
        <v>214.4665236546106</v>
      </c>
      <c r="AU27">
        <v>218.79629193081837</v>
      </c>
      <c r="AV27">
        <v>221.72449687768491</v>
      </c>
      <c r="AW27">
        <v>211.761182953131</v>
      </c>
      <c r="AX27">
        <v>207.46613854317459</v>
      </c>
      <c r="AY27">
        <v>203.57125207070808</v>
      </c>
      <c r="AZ27">
        <v>209.86956293366515</v>
      </c>
      <c r="BA27">
        <v>211.47453637245945</v>
      </c>
      <c r="BB27">
        <v>217.65687657151838</v>
      </c>
      <c r="BC27">
        <v>218.58375766584365</v>
      </c>
      <c r="BD27">
        <v>220.84886850023869</v>
      </c>
      <c r="BE27">
        <v>217.0831455053054</v>
      </c>
      <c r="BF27">
        <v>209.23364684690935</v>
      </c>
      <c r="BG27">
        <v>207.36652105522094</v>
      </c>
      <c r="BH27">
        <v>209.07053102980993</v>
      </c>
      <c r="BI27">
        <v>202.30364069772523</v>
      </c>
      <c r="BJ27">
        <v>199.30590105178672</v>
      </c>
      <c r="BK27">
        <v>205.45103925501792</v>
      </c>
      <c r="BL27">
        <v>207.72606577592154</v>
      </c>
      <c r="BM27">
        <v>206.97889865288658</v>
      </c>
      <c r="BN27">
        <v>219.47697976731882</v>
      </c>
      <c r="BO27">
        <v>225.06040143073247</v>
      </c>
      <c r="BP27">
        <v>214.88294772426661</v>
      </c>
      <c r="BQ27">
        <v>212.28251319172193</v>
      </c>
      <c r="BR27">
        <v>211.5819385844805</v>
      </c>
      <c r="BS27">
        <v>216.76568609150181</v>
      </c>
      <c r="BT27">
        <v>215.38202393143678</v>
      </c>
      <c r="BU27">
        <v>220.9447400728026</v>
      </c>
      <c r="BV27">
        <v>227.49753581815878</v>
      </c>
      <c r="BW27">
        <v>228.23832343157449</v>
      </c>
      <c r="BX27">
        <v>232.27133849852251</v>
      </c>
      <c r="BY27">
        <v>239.82667610877536</v>
      </c>
      <c r="BZ27">
        <v>248.77602362037663</v>
      </c>
      <c r="CA27">
        <v>250.93152250982826</v>
      </c>
      <c r="CB27">
        <v>249.81819876772994</v>
      </c>
      <c r="CC27">
        <v>254.87008814296814</v>
      </c>
      <c r="CD27">
        <v>247.80567919815675</v>
      </c>
      <c r="CE27">
        <v>250.04208937873915</v>
      </c>
      <c r="CF27">
        <v>257.93182697879035</v>
      </c>
      <c r="CG27">
        <v>249.04303712628032</v>
      </c>
      <c r="CH27">
        <v>243.40747364781643</v>
      </c>
      <c r="CI27">
        <v>252.27917132144827</v>
      </c>
      <c r="CJ27">
        <v>241.50762621489611</v>
      </c>
      <c r="CK27">
        <v>244.34945538241698</v>
      </c>
      <c r="CL27">
        <v>237.77695018138664</v>
      </c>
      <c r="CM27">
        <v>236.66493125145004</v>
      </c>
      <c r="CN27">
        <v>237.83730885706254</v>
      </c>
      <c r="CO27">
        <v>235.03157530688705</v>
      </c>
      <c r="CP27">
        <v>227.43484966551458</v>
      </c>
      <c r="CQ27">
        <v>224.88702075430393</v>
      </c>
      <c r="CR27">
        <v>216.08355165757888</v>
      </c>
      <c r="CS27">
        <v>217.10640785612023</v>
      </c>
      <c r="CT27">
        <v>212.40286603754191</v>
      </c>
      <c r="CU27">
        <v>206.73516336653509</v>
      </c>
      <c r="CV27">
        <v>0</v>
      </c>
      <c r="CW27">
        <v>0</v>
      </c>
    </row>
    <row r="28" spans="5:101" x14ac:dyDescent="0.2">
      <c r="E28">
        <v>222.13</v>
      </c>
      <c r="F28">
        <v>219.63411717333653</v>
      </c>
      <c r="G28">
        <v>225.70821055265512</v>
      </c>
      <c r="H28">
        <v>228.20656927736866</v>
      </c>
      <c r="I28">
        <v>224.29412199158386</v>
      </c>
      <c r="J28">
        <v>229.02780836105191</v>
      </c>
      <c r="K28">
        <v>235.49631623665675</v>
      </c>
      <c r="L28">
        <v>247.89802581370807</v>
      </c>
      <c r="M28">
        <v>248.37017465190974</v>
      </c>
      <c r="N28">
        <v>256.88906733145075</v>
      </c>
      <c r="O28">
        <v>258.44055128528015</v>
      </c>
      <c r="P28">
        <v>247.29148334451023</v>
      </c>
      <c r="Q28">
        <v>247.04689710554189</v>
      </c>
      <c r="R28">
        <v>251.18669090267213</v>
      </c>
      <c r="S28">
        <v>246.44024952404689</v>
      </c>
      <c r="T28">
        <v>246.52388649442457</v>
      </c>
      <c r="U28">
        <v>246.77896817072181</v>
      </c>
      <c r="V28">
        <v>251.33381257355737</v>
      </c>
      <c r="W28">
        <v>244.38568274207211</v>
      </c>
      <c r="X28">
        <v>245.23308531499848</v>
      </c>
      <c r="Y28">
        <v>239.52705271293132</v>
      </c>
      <c r="Z28">
        <v>234.42594018978136</v>
      </c>
      <c r="AA28">
        <v>237.14277004561023</v>
      </c>
      <c r="AB28">
        <v>239.87501681383878</v>
      </c>
      <c r="AC28">
        <v>229.05822048644731</v>
      </c>
      <c r="AD28">
        <v>224.16890436184295</v>
      </c>
      <c r="AE28">
        <v>218.10908024745575</v>
      </c>
      <c r="AF28">
        <v>212.7165145854994</v>
      </c>
      <c r="AG28">
        <v>221.70697539312917</v>
      </c>
      <c r="AH28">
        <v>222.42025681607373</v>
      </c>
      <c r="AI28">
        <v>219.85076530678685</v>
      </c>
      <c r="AJ28">
        <v>214.30863036752254</v>
      </c>
      <c r="AK28">
        <v>207.73118702498343</v>
      </c>
      <c r="AL28">
        <v>215.47366404308806</v>
      </c>
      <c r="AM28">
        <v>207.29013815155389</v>
      </c>
      <c r="AN28">
        <v>213.17343990941131</v>
      </c>
      <c r="AO28">
        <v>210.03651673382313</v>
      </c>
      <c r="AP28">
        <v>212.23469092239176</v>
      </c>
      <c r="AQ28">
        <v>207.1095249520655</v>
      </c>
      <c r="AR28">
        <v>210.12201206273417</v>
      </c>
      <c r="AS28">
        <v>207.12123094176692</v>
      </c>
      <c r="AT28">
        <v>206.12930584100712</v>
      </c>
      <c r="AU28">
        <v>203.3234963787242</v>
      </c>
      <c r="AV28">
        <v>201.62451369846727</v>
      </c>
      <c r="AW28">
        <v>202.61758664696754</v>
      </c>
      <c r="AX28">
        <v>196.45090016709156</v>
      </c>
      <c r="AY28">
        <v>196.32878192454947</v>
      </c>
      <c r="AZ28">
        <v>197.23402345406987</v>
      </c>
      <c r="BA28">
        <v>199.05353379550988</v>
      </c>
      <c r="BB28">
        <v>209.59481832887491</v>
      </c>
      <c r="BC28">
        <v>206.49399033456359</v>
      </c>
      <c r="BD28">
        <v>204.37519890411374</v>
      </c>
      <c r="BE28">
        <v>200.75472433558528</v>
      </c>
      <c r="BF28">
        <v>206.45512125140164</v>
      </c>
      <c r="BG28">
        <v>208.71687120405721</v>
      </c>
      <c r="BH28">
        <v>219.1585000902792</v>
      </c>
      <c r="BI28">
        <v>224.88645215032858</v>
      </c>
      <c r="BJ28">
        <v>216.114514406231</v>
      </c>
      <c r="BK28">
        <v>222.66917836138256</v>
      </c>
      <c r="BL28">
        <v>223.17152164893554</v>
      </c>
      <c r="BM28">
        <v>218.01345311668393</v>
      </c>
      <c r="BN28">
        <v>225.66081785417586</v>
      </c>
      <c r="BO28">
        <v>221.07368069730333</v>
      </c>
      <c r="BP28">
        <v>221.36969997001356</v>
      </c>
      <c r="BQ28">
        <v>220.7019516580001</v>
      </c>
      <c r="BR28">
        <v>219.82083844525906</v>
      </c>
      <c r="BS28">
        <v>226.64621760162638</v>
      </c>
      <c r="BT28">
        <v>224.39972189655109</v>
      </c>
      <c r="BU28">
        <v>231.90228924046534</v>
      </c>
      <c r="BV28">
        <v>226.25859564599523</v>
      </c>
      <c r="BW28">
        <v>223.26081491625376</v>
      </c>
      <c r="BX28">
        <v>221.84344773243228</v>
      </c>
      <c r="BY28">
        <v>215.36686827536295</v>
      </c>
      <c r="BZ28">
        <v>220.38337523442218</v>
      </c>
      <c r="CA28">
        <v>227.97018566613121</v>
      </c>
      <c r="CB28">
        <v>230.7946744045401</v>
      </c>
      <c r="CC28">
        <v>229.22286287710045</v>
      </c>
      <c r="CD28">
        <v>227.53672811407262</v>
      </c>
      <c r="CE28">
        <v>230.31457086327907</v>
      </c>
      <c r="CF28">
        <v>223.30408591825642</v>
      </c>
      <c r="CG28">
        <v>224.35551640442776</v>
      </c>
      <c r="CH28">
        <v>219.13081404506866</v>
      </c>
      <c r="CI28">
        <v>216.87985435944415</v>
      </c>
      <c r="CJ28">
        <v>221.69837599224843</v>
      </c>
      <c r="CK28">
        <v>224.01858325023468</v>
      </c>
      <c r="CL28">
        <v>218.44253266686087</v>
      </c>
      <c r="CM28">
        <v>217.37968551016098</v>
      </c>
      <c r="CN28">
        <v>225.73512762432364</v>
      </c>
      <c r="CO28">
        <v>223.28995249824885</v>
      </c>
      <c r="CP28">
        <v>221.78226272077555</v>
      </c>
      <c r="CQ28">
        <v>226.0652438102297</v>
      </c>
      <c r="CR28">
        <v>216.18493488115482</v>
      </c>
      <c r="CS28">
        <v>224.59976474239903</v>
      </c>
      <c r="CT28">
        <v>217.15619647945508</v>
      </c>
      <c r="CU28">
        <v>220.87728821771836</v>
      </c>
      <c r="CV28">
        <v>0.87728821771835896</v>
      </c>
      <c r="CW28">
        <v>0.84347879044037433</v>
      </c>
    </row>
    <row r="29" spans="5:101" x14ac:dyDescent="0.2">
      <c r="E29">
        <v>222.13</v>
      </c>
      <c r="F29">
        <v>229.05485837193862</v>
      </c>
      <c r="G29">
        <v>230.81083179802957</v>
      </c>
      <c r="H29">
        <v>230.39096419007043</v>
      </c>
      <c r="I29">
        <v>241.28868975026694</v>
      </c>
      <c r="J29">
        <v>237.80699765294267</v>
      </c>
      <c r="K29">
        <v>228.09238247398866</v>
      </c>
      <c r="L29">
        <v>233.67204267690059</v>
      </c>
      <c r="M29">
        <v>234.73958790298474</v>
      </c>
      <c r="N29">
        <v>233.23844158927875</v>
      </c>
      <c r="O29">
        <v>233.00809770087659</v>
      </c>
      <c r="P29">
        <v>230.27421376117852</v>
      </c>
      <c r="Q29">
        <v>230.09896531658362</v>
      </c>
      <c r="R29">
        <v>228.24099605087338</v>
      </c>
      <c r="S29">
        <v>234.82112243771712</v>
      </c>
      <c r="T29">
        <v>228.93172398646044</v>
      </c>
      <c r="U29">
        <v>233.87303341496809</v>
      </c>
      <c r="V29">
        <v>226.07094865714996</v>
      </c>
      <c r="W29">
        <v>228.81209736464098</v>
      </c>
      <c r="X29">
        <v>228.68527236220379</v>
      </c>
      <c r="Y29">
        <v>229.54726706866433</v>
      </c>
      <c r="Z29">
        <v>227.05242189803241</v>
      </c>
      <c r="AA29">
        <v>228.89083048377825</v>
      </c>
      <c r="AB29">
        <v>237.78453507332046</v>
      </c>
      <c r="AC29">
        <v>244.48491500607363</v>
      </c>
      <c r="AD29">
        <v>241.86604179200651</v>
      </c>
      <c r="AE29">
        <v>248.06678524229741</v>
      </c>
      <c r="AF29">
        <v>252.62869299167883</v>
      </c>
      <c r="AG29">
        <v>248.27727924963654</v>
      </c>
      <c r="AH29">
        <v>250.32164707975406</v>
      </c>
      <c r="AI29">
        <v>250.88144099335014</v>
      </c>
      <c r="AJ29">
        <v>252.29150290421293</v>
      </c>
      <c r="AK29">
        <v>259.43306021784866</v>
      </c>
      <c r="AL29">
        <v>253.10258838518337</v>
      </c>
      <c r="AM29">
        <v>254.95794122821198</v>
      </c>
      <c r="AN29">
        <v>254.26144213187143</v>
      </c>
      <c r="AO29">
        <v>251.8179717750744</v>
      </c>
      <c r="AP29">
        <v>258.94024776390717</v>
      </c>
      <c r="AQ29">
        <v>248.85111435879654</v>
      </c>
      <c r="AR29">
        <v>251.66025513541874</v>
      </c>
      <c r="AS29">
        <v>246.93543744451017</v>
      </c>
      <c r="AT29">
        <v>248.89532501059037</v>
      </c>
      <c r="AU29">
        <v>246.94123990077969</v>
      </c>
      <c r="AV29">
        <v>248.07401456281832</v>
      </c>
      <c r="AW29">
        <v>240.26762525597769</v>
      </c>
      <c r="AX29">
        <v>239.3129627210121</v>
      </c>
      <c r="AY29">
        <v>240.27951880978964</v>
      </c>
      <c r="AZ29">
        <v>242.9657992760211</v>
      </c>
      <c r="BA29">
        <v>238.63411570289807</v>
      </c>
      <c r="BB29">
        <v>244.71579853171511</v>
      </c>
      <c r="BC29">
        <v>250.9805307836194</v>
      </c>
      <c r="BD29">
        <v>256.72541272957608</v>
      </c>
      <c r="BE29">
        <v>266.22018161815026</v>
      </c>
      <c r="BF29">
        <v>260.1877967782662</v>
      </c>
      <c r="BG29">
        <v>251.93181513890369</v>
      </c>
      <c r="BH29">
        <v>255.89626151313652</v>
      </c>
      <c r="BI29">
        <v>248.73100426654329</v>
      </c>
      <c r="BJ29">
        <v>245.22989324450012</v>
      </c>
      <c r="BK29">
        <v>243.54525364241397</v>
      </c>
      <c r="BL29">
        <v>242.25231651060039</v>
      </c>
      <c r="BM29">
        <v>237.15870100616922</v>
      </c>
      <c r="BN29">
        <v>251.25053696841849</v>
      </c>
      <c r="BO29">
        <v>253.42035472748432</v>
      </c>
      <c r="BP29">
        <v>250.64806212938214</v>
      </c>
      <c r="BQ29">
        <v>256.78042846853373</v>
      </c>
      <c r="BR29">
        <v>245.97032127350064</v>
      </c>
      <c r="BS29">
        <v>244.79469760712095</v>
      </c>
      <c r="BT29">
        <v>251.70025943746296</v>
      </c>
      <c r="BU29">
        <v>253.0951527036772</v>
      </c>
      <c r="BV29">
        <v>257.41584904970262</v>
      </c>
      <c r="BW29">
        <v>267.1108069743766</v>
      </c>
      <c r="BX29">
        <v>262.89429212717732</v>
      </c>
      <c r="BY29">
        <v>260.05320247018631</v>
      </c>
      <c r="BZ29">
        <v>263.49665365045894</v>
      </c>
      <c r="CA29">
        <v>258.96885744318462</v>
      </c>
      <c r="CB29">
        <v>256.71724633711972</v>
      </c>
      <c r="CC29">
        <v>261.21510821427461</v>
      </c>
      <c r="CD29">
        <v>266.62868147936427</v>
      </c>
      <c r="CE29">
        <v>260.17657706799162</v>
      </c>
      <c r="CF29">
        <v>249.03003483639731</v>
      </c>
      <c r="CG29">
        <v>247.07351424496343</v>
      </c>
      <c r="CH29">
        <v>243.99816696366372</v>
      </c>
      <c r="CI29">
        <v>242.44140352963376</v>
      </c>
      <c r="CJ29">
        <v>241.00955615991657</v>
      </c>
      <c r="CK29">
        <v>244.14196815592618</v>
      </c>
      <c r="CL29">
        <v>244.85379249546781</v>
      </c>
      <c r="CM29">
        <v>246.23795362054034</v>
      </c>
      <c r="CN29">
        <v>240.49207802956127</v>
      </c>
      <c r="CO29">
        <v>232.06919473320323</v>
      </c>
      <c r="CP29">
        <v>222.28484635695213</v>
      </c>
      <c r="CQ29">
        <v>231.75632316573697</v>
      </c>
      <c r="CR29">
        <v>234.44334906339992</v>
      </c>
      <c r="CS29">
        <v>231.25447788073132</v>
      </c>
      <c r="CT29">
        <v>228.89730500094888</v>
      </c>
      <c r="CU29">
        <v>230.04771848872809</v>
      </c>
      <c r="CV29">
        <v>10.047718488728094</v>
      </c>
      <c r="CW29">
        <v>9.660493856397089</v>
      </c>
    </row>
    <row r="30" spans="5:101" x14ac:dyDescent="0.2">
      <c r="E30">
        <v>222.13</v>
      </c>
      <c r="F30">
        <v>230.84952608010988</v>
      </c>
      <c r="G30">
        <v>222.77361236213284</v>
      </c>
      <c r="H30">
        <v>233.9376323572757</v>
      </c>
      <c r="I30">
        <v>223.06917687267494</v>
      </c>
      <c r="J30">
        <v>228.36762342031452</v>
      </c>
      <c r="K30">
        <v>231.78189508648637</v>
      </c>
      <c r="L30">
        <v>232.01143802012632</v>
      </c>
      <c r="M30">
        <v>236.50354976178753</v>
      </c>
      <c r="N30">
        <v>234.85596118538155</v>
      </c>
      <c r="O30">
        <v>244.78866594499317</v>
      </c>
      <c r="P30">
        <v>248.17092350253557</v>
      </c>
      <c r="Q30">
        <v>249.84700725216231</v>
      </c>
      <c r="R30">
        <v>247.95822922425697</v>
      </c>
      <c r="S30">
        <v>248.69554245421671</v>
      </c>
      <c r="T30">
        <v>244.36033185859557</v>
      </c>
      <c r="U30">
        <v>236.80880728330783</v>
      </c>
      <c r="V30">
        <v>243.29843769928024</v>
      </c>
      <c r="W30">
        <v>247.58139668080571</v>
      </c>
      <c r="X30">
        <v>237.26273174552105</v>
      </c>
      <c r="Y30">
        <v>236.17998260990092</v>
      </c>
      <c r="Z30">
        <v>235.10887905294823</v>
      </c>
      <c r="AA30">
        <v>235.48922050982509</v>
      </c>
      <c r="AB30">
        <v>237.64426197860359</v>
      </c>
      <c r="AC30">
        <v>237.09722814072762</v>
      </c>
      <c r="AD30">
        <v>227.96289522575984</v>
      </c>
      <c r="AE30">
        <v>225.81000017971292</v>
      </c>
      <c r="AF30">
        <v>233.9584807205346</v>
      </c>
      <c r="AG30">
        <v>234.85087185368278</v>
      </c>
      <c r="AH30">
        <v>237.7268849438058</v>
      </c>
      <c r="AI30">
        <v>237.13204776879013</v>
      </c>
      <c r="AJ30">
        <v>242.27843301968858</v>
      </c>
      <c r="AK30">
        <v>237.97151681577199</v>
      </c>
      <c r="AL30">
        <v>228.65260525390119</v>
      </c>
      <c r="AM30">
        <v>228.05014049227785</v>
      </c>
      <c r="AN30">
        <v>225.54799096367123</v>
      </c>
      <c r="AO30">
        <v>227.2180228982819</v>
      </c>
      <c r="AP30">
        <v>219.09576692270073</v>
      </c>
      <c r="AQ30">
        <v>224.57209714704405</v>
      </c>
      <c r="AR30">
        <v>221.23643451788263</v>
      </c>
      <c r="AS30">
        <v>233.70784708113757</v>
      </c>
      <c r="AT30">
        <v>232.70075543172203</v>
      </c>
      <c r="AU30">
        <v>222.89418430435148</v>
      </c>
      <c r="AV30">
        <v>227.40300184901588</v>
      </c>
      <c r="AW30">
        <v>234.19402729158253</v>
      </c>
      <c r="AX30">
        <v>233.50269592046092</v>
      </c>
      <c r="AY30">
        <v>236.36005351073231</v>
      </c>
      <c r="AZ30">
        <v>246.39687385201114</v>
      </c>
      <c r="BA30">
        <v>246.2770532449735</v>
      </c>
      <c r="BB30">
        <v>235.30898157840471</v>
      </c>
      <c r="BC30">
        <v>238.76962900454109</v>
      </c>
      <c r="BD30">
        <v>235.60776195139721</v>
      </c>
      <c r="BE30">
        <v>227.81446520134006</v>
      </c>
      <c r="BF30">
        <v>232.5579238803665</v>
      </c>
      <c r="BG30">
        <v>233.07910938702281</v>
      </c>
      <c r="BH30">
        <v>230.40000115312864</v>
      </c>
      <c r="BI30">
        <v>235.52276356294556</v>
      </c>
      <c r="BJ30">
        <v>244.42612694289403</v>
      </c>
      <c r="BK30">
        <v>247.2963321279627</v>
      </c>
      <c r="BL30">
        <v>238.35518537698346</v>
      </c>
      <c r="BM30">
        <v>237.9827809567104</v>
      </c>
      <c r="BN30">
        <v>241.10725110302704</v>
      </c>
      <c r="BO30">
        <v>227.77702204024268</v>
      </c>
      <c r="BP30">
        <v>222.63226598041123</v>
      </c>
      <c r="BQ30">
        <v>235.38436525339165</v>
      </c>
      <c r="BR30">
        <v>227.15743265248878</v>
      </c>
      <c r="BS30">
        <v>224.43605648281999</v>
      </c>
      <c r="BT30">
        <v>224.14169909714911</v>
      </c>
      <c r="BU30">
        <v>218.14858743627559</v>
      </c>
      <c r="BV30">
        <v>222.30687156517479</v>
      </c>
      <c r="BW30">
        <v>229.4902690054777</v>
      </c>
      <c r="BX30">
        <v>235.98308453853815</v>
      </c>
      <c r="BY30">
        <v>240.70534257040117</v>
      </c>
      <c r="BZ30">
        <v>250.4377970890541</v>
      </c>
      <c r="CA30">
        <v>261.71720976981379</v>
      </c>
      <c r="CB30">
        <v>253.76747406357629</v>
      </c>
      <c r="CC30">
        <v>250.71322604528504</v>
      </c>
      <c r="CD30">
        <v>253.29800167094587</v>
      </c>
      <c r="CE30">
        <v>244.5757121889078</v>
      </c>
      <c r="CF30">
        <v>240.52225465173856</v>
      </c>
      <c r="CG30">
        <v>237.83932529376136</v>
      </c>
      <c r="CH30">
        <v>239.78458172108805</v>
      </c>
      <c r="CI30">
        <v>244.44924779594109</v>
      </c>
      <c r="CJ30">
        <v>241.80924601548676</v>
      </c>
      <c r="CK30">
        <v>236.2675661951393</v>
      </c>
      <c r="CL30">
        <v>238.17806216107826</v>
      </c>
      <c r="CM30">
        <v>244.41724068450836</v>
      </c>
      <c r="CN30">
        <v>242.72376542139961</v>
      </c>
      <c r="CO30">
        <v>234.19958166685103</v>
      </c>
      <c r="CP30">
        <v>230.62194131487021</v>
      </c>
      <c r="CQ30">
        <v>232.89974731976187</v>
      </c>
      <c r="CR30">
        <v>230.41737926849339</v>
      </c>
      <c r="CS30">
        <v>225.01645255444259</v>
      </c>
      <c r="CT30">
        <v>222.39265937222922</v>
      </c>
      <c r="CU30">
        <v>231.61411257898939</v>
      </c>
      <c r="CV30">
        <v>11.614112578989392</v>
      </c>
      <c r="CW30">
        <v>11.166521369273946</v>
      </c>
    </row>
    <row r="31" spans="5:101" x14ac:dyDescent="0.2">
      <c r="E31">
        <v>222.13</v>
      </c>
      <c r="F31">
        <v>216.86898803098367</v>
      </c>
      <c r="G31">
        <v>220.10073247496069</v>
      </c>
      <c r="H31">
        <v>214.15342369947024</v>
      </c>
      <c r="I31">
        <v>209.27920753610499</v>
      </c>
      <c r="J31">
        <v>200.69438699676556</v>
      </c>
      <c r="K31">
        <v>199.41836102056413</v>
      </c>
      <c r="L31">
        <v>192.69977839278127</v>
      </c>
      <c r="M31">
        <v>192.20219879826209</v>
      </c>
      <c r="N31">
        <v>198.6267480795741</v>
      </c>
      <c r="O31">
        <v>198.55429029138585</v>
      </c>
      <c r="P31">
        <v>202.18153451620196</v>
      </c>
      <c r="Q31">
        <v>207.02819545731671</v>
      </c>
      <c r="R31">
        <v>203.00401132259537</v>
      </c>
      <c r="S31">
        <v>205.073186591308</v>
      </c>
      <c r="T31">
        <v>207.50767194168526</v>
      </c>
      <c r="U31">
        <v>209.43569773514935</v>
      </c>
      <c r="V31">
        <v>215.5075960830473</v>
      </c>
      <c r="W31">
        <v>218.97590998183526</v>
      </c>
      <c r="X31">
        <v>224.35729095541018</v>
      </c>
      <c r="Y31">
        <v>224.65843346983172</v>
      </c>
      <c r="Z31">
        <v>227.81105910023967</v>
      </c>
      <c r="AA31">
        <v>228.27114309749055</v>
      </c>
      <c r="AB31">
        <v>225.55294788455291</v>
      </c>
      <c r="AC31">
        <v>216.92945418444845</v>
      </c>
      <c r="AD31">
        <v>214.04167912114136</v>
      </c>
      <c r="AE31">
        <v>211.1246750647351</v>
      </c>
      <c r="AF31">
        <v>208.93927667498639</v>
      </c>
      <c r="AG31">
        <v>210.69958259528556</v>
      </c>
      <c r="AH31">
        <v>214.88198556684017</v>
      </c>
      <c r="AI31">
        <v>219.16883149248156</v>
      </c>
      <c r="AJ31">
        <v>226.15767623699571</v>
      </c>
      <c r="AK31">
        <v>228.56413696248856</v>
      </c>
      <c r="AL31">
        <v>220.6719821382236</v>
      </c>
      <c r="AM31">
        <v>217.56971300786856</v>
      </c>
      <c r="AN31">
        <v>216.89781760563423</v>
      </c>
      <c r="AO31">
        <v>217.39033133529551</v>
      </c>
      <c r="AP31">
        <v>222.0866520910584</v>
      </c>
      <c r="AQ31">
        <v>229.29175393521146</v>
      </c>
      <c r="AR31">
        <v>225.98326628067278</v>
      </c>
      <c r="AS31">
        <v>235.53937454123454</v>
      </c>
      <c r="AT31">
        <v>251.51074644221208</v>
      </c>
      <c r="AU31">
        <v>256.91325678153379</v>
      </c>
      <c r="AV31">
        <v>261.37000033962528</v>
      </c>
      <c r="AW31">
        <v>257.82465587661136</v>
      </c>
      <c r="AX31">
        <v>256.42364608308009</v>
      </c>
      <c r="AY31">
        <v>260.46784313589808</v>
      </c>
      <c r="AZ31">
        <v>266.31740125681233</v>
      </c>
      <c r="BA31">
        <v>272.96899074502426</v>
      </c>
      <c r="BB31">
        <v>269.42912195091924</v>
      </c>
      <c r="BC31">
        <v>273.96590776507793</v>
      </c>
      <c r="BD31">
        <v>280.6848236780495</v>
      </c>
      <c r="BE31">
        <v>265.6334227781702</v>
      </c>
      <c r="BF31">
        <v>265.28169066626708</v>
      </c>
      <c r="BG31">
        <v>264.38437129102834</v>
      </c>
      <c r="BH31">
        <v>262.02975913981163</v>
      </c>
      <c r="BI31">
        <v>259.40782034474967</v>
      </c>
      <c r="BJ31">
        <v>252.17967578911876</v>
      </c>
      <c r="BK31">
        <v>250.59570983701784</v>
      </c>
      <c r="BL31">
        <v>255.05248419094079</v>
      </c>
      <c r="BM31">
        <v>243.11581283812902</v>
      </c>
      <c r="BN31">
        <v>248.09024597466529</v>
      </c>
      <c r="BO31">
        <v>254.01456752664964</v>
      </c>
      <c r="BP31">
        <v>256.31203671683539</v>
      </c>
      <c r="BQ31">
        <v>258.15354944111618</v>
      </c>
      <c r="BR31">
        <v>249.28546258215817</v>
      </c>
      <c r="BS31">
        <v>256.17291266654934</v>
      </c>
      <c r="BT31">
        <v>256.1811456448367</v>
      </c>
      <c r="BU31">
        <v>263.23812770057282</v>
      </c>
      <c r="BV31">
        <v>272.03664229665253</v>
      </c>
      <c r="BW31">
        <v>272.5276394461319</v>
      </c>
      <c r="BX31">
        <v>261.46800813679079</v>
      </c>
      <c r="BY31">
        <v>265.33632599701036</v>
      </c>
      <c r="BZ31">
        <v>267.53841323794967</v>
      </c>
      <c r="CA31">
        <v>262.40371076369024</v>
      </c>
      <c r="CB31">
        <v>264.16802230567401</v>
      </c>
      <c r="CC31">
        <v>268.96644005238687</v>
      </c>
      <c r="CD31">
        <v>272.78603247993078</v>
      </c>
      <c r="CE31">
        <v>276.59171845436447</v>
      </c>
      <c r="CF31">
        <v>288.05893773034961</v>
      </c>
      <c r="CG31">
        <v>285.27898522331941</v>
      </c>
      <c r="CH31">
        <v>273.18740237435276</v>
      </c>
      <c r="CI31">
        <v>264.6637005792665</v>
      </c>
      <c r="CJ31">
        <v>265.39688715426689</v>
      </c>
      <c r="CK31">
        <v>259.18689444058776</v>
      </c>
      <c r="CL31">
        <v>257.69157147191288</v>
      </c>
      <c r="CM31">
        <v>258.27199835978581</v>
      </c>
      <c r="CN31">
        <v>250.44286025224687</v>
      </c>
      <c r="CO31">
        <v>249.80500270022918</v>
      </c>
      <c r="CP31">
        <v>253.25277960357457</v>
      </c>
      <c r="CQ31">
        <v>257.12996427415578</v>
      </c>
      <c r="CR31">
        <v>257.0605127248765</v>
      </c>
      <c r="CS31">
        <v>253.29678049121642</v>
      </c>
      <c r="CT31">
        <v>253.16201909727243</v>
      </c>
      <c r="CU31">
        <v>262.38451298101791</v>
      </c>
      <c r="CV31">
        <v>42.384512981017906</v>
      </c>
      <c r="CW31">
        <v>40.751074755811324</v>
      </c>
    </row>
    <row r="32" spans="5:101" x14ac:dyDescent="0.2">
      <c r="E32">
        <v>222.13</v>
      </c>
      <c r="F32">
        <v>226.71632497808011</v>
      </c>
      <c r="G32">
        <v>232.39655740463328</v>
      </c>
      <c r="H32">
        <v>226.45217417770922</v>
      </c>
      <c r="I32">
        <v>217.59027824732973</v>
      </c>
      <c r="J32">
        <v>223.29511160472029</v>
      </c>
      <c r="K32">
        <v>219.25028701400595</v>
      </c>
      <c r="L32">
        <v>219.73459943334555</v>
      </c>
      <c r="M32">
        <v>225.90465949841882</v>
      </c>
      <c r="N32">
        <v>235.21129311495594</v>
      </c>
      <c r="O32">
        <v>232.8732955840498</v>
      </c>
      <c r="P32">
        <v>238.05752513619811</v>
      </c>
      <c r="Q32">
        <v>234.52404024576433</v>
      </c>
      <c r="R32">
        <v>224.50968803879931</v>
      </c>
      <c r="S32">
        <v>224.8199149022638</v>
      </c>
      <c r="T32">
        <v>218.68629435511193</v>
      </c>
      <c r="U32">
        <v>219.21563131701873</v>
      </c>
      <c r="V32">
        <v>216.17551557939788</v>
      </c>
      <c r="W32">
        <v>222.67258145718259</v>
      </c>
      <c r="X32">
        <v>226.32065961449194</v>
      </c>
      <c r="Y32">
        <v>221.86542280667021</v>
      </c>
      <c r="Z32">
        <v>224.0101350617866</v>
      </c>
      <c r="AA32">
        <v>225.88291736467681</v>
      </c>
      <c r="AB32">
        <v>224.18195122484158</v>
      </c>
      <c r="AC32">
        <v>214.20579770770868</v>
      </c>
      <c r="AD32">
        <v>214.30952933542662</v>
      </c>
      <c r="AE32">
        <v>209.1583227731341</v>
      </c>
      <c r="AF32">
        <v>213.48387415711778</v>
      </c>
      <c r="AG32">
        <v>208.89331383303573</v>
      </c>
      <c r="AH32">
        <v>204.02060011601128</v>
      </c>
      <c r="AI32">
        <v>197.57616522090234</v>
      </c>
      <c r="AJ32">
        <v>206.31958562051943</v>
      </c>
      <c r="AK32">
        <v>206.40359642224772</v>
      </c>
      <c r="AL32">
        <v>206.61941351767231</v>
      </c>
      <c r="AM32">
        <v>206.18699702005929</v>
      </c>
      <c r="AN32">
        <v>208.45170626394037</v>
      </c>
      <c r="AO32">
        <v>207.84688093030346</v>
      </c>
      <c r="AP32">
        <v>210.6492665439541</v>
      </c>
      <c r="AQ32">
        <v>205.88312208192121</v>
      </c>
      <c r="AR32">
        <v>200.42592389406269</v>
      </c>
      <c r="AS32">
        <v>212.48243164904255</v>
      </c>
      <c r="AT32">
        <v>214.96817852259886</v>
      </c>
      <c r="AU32">
        <v>212.03516696837968</v>
      </c>
      <c r="AV32">
        <v>219.63129991458604</v>
      </c>
      <c r="AW32">
        <v>221.18939701608042</v>
      </c>
      <c r="AX32">
        <v>222.19933977215078</v>
      </c>
      <c r="AY32">
        <v>222.71184248532342</v>
      </c>
      <c r="AZ32">
        <v>230.89694755785709</v>
      </c>
      <c r="BA32">
        <v>231.82953252937659</v>
      </c>
      <c r="BB32">
        <v>230.24378724683186</v>
      </c>
      <c r="BC32">
        <v>232.98022103802688</v>
      </c>
      <c r="BD32">
        <v>225.37693210963084</v>
      </c>
      <c r="BE32">
        <v>222.48235005326535</v>
      </c>
      <c r="BF32">
        <v>219.94808977974648</v>
      </c>
      <c r="BG32">
        <v>215.52544405087011</v>
      </c>
      <c r="BH32">
        <v>223.95947153038614</v>
      </c>
      <c r="BI32">
        <v>223.89403351030526</v>
      </c>
      <c r="BJ32">
        <v>218.34952254295268</v>
      </c>
      <c r="BK32">
        <v>215.49051280962442</v>
      </c>
      <c r="BL32">
        <v>215.76458188531535</v>
      </c>
      <c r="BM32">
        <v>213.8282653446924</v>
      </c>
      <c r="BN32">
        <v>215.92364518700876</v>
      </c>
      <c r="BO32">
        <v>213.53990243633334</v>
      </c>
      <c r="BP32">
        <v>211.6600352031424</v>
      </c>
      <c r="BQ32">
        <v>214.33970881734541</v>
      </c>
      <c r="BR32">
        <v>215.83572729932234</v>
      </c>
      <c r="BS32">
        <v>212.85076833248289</v>
      </c>
      <c r="BT32">
        <v>209.04065598813941</v>
      </c>
      <c r="BU32">
        <v>202.43897490264703</v>
      </c>
      <c r="BV32">
        <v>208.47777975721766</v>
      </c>
      <c r="BW32">
        <v>206.21000597584359</v>
      </c>
      <c r="BX32">
        <v>199.86342251772933</v>
      </c>
      <c r="BY32">
        <v>202.23238262788021</v>
      </c>
      <c r="BZ32">
        <v>203.3380042859942</v>
      </c>
      <c r="CA32">
        <v>208.6492587187962</v>
      </c>
      <c r="CB32">
        <v>214.22701427992854</v>
      </c>
      <c r="CC32">
        <v>217.44735837889655</v>
      </c>
      <c r="CD32">
        <v>219.34782352971021</v>
      </c>
      <c r="CE32">
        <v>218.32846781155948</v>
      </c>
      <c r="CF32">
        <v>206.59529349415573</v>
      </c>
      <c r="CG32">
        <v>209.94502285803915</v>
      </c>
      <c r="CH32">
        <v>221.0533859557701</v>
      </c>
      <c r="CI32">
        <v>222.07914130990477</v>
      </c>
      <c r="CJ32">
        <v>232.87334205378457</v>
      </c>
      <c r="CK32">
        <v>233.68318787141894</v>
      </c>
      <c r="CL32">
        <v>241.31185077153927</v>
      </c>
      <c r="CM32">
        <v>229.58705786673912</v>
      </c>
      <c r="CN32">
        <v>235.81183891170141</v>
      </c>
      <c r="CO32">
        <v>227.89032723797393</v>
      </c>
      <c r="CP32">
        <v>229.91789056257119</v>
      </c>
      <c r="CQ32">
        <v>229.62172987976197</v>
      </c>
      <c r="CR32">
        <v>224.62836928948064</v>
      </c>
      <c r="CS32">
        <v>223.32890121013654</v>
      </c>
      <c r="CT32">
        <v>217.3251726285998</v>
      </c>
      <c r="CU32">
        <v>215.42379337595401</v>
      </c>
      <c r="CV32">
        <v>0</v>
      </c>
      <c r="CW32">
        <v>0</v>
      </c>
    </row>
    <row r="33" spans="5:101" x14ac:dyDescent="0.2">
      <c r="E33">
        <v>222.13</v>
      </c>
      <c r="F33">
        <v>226.29004346983115</v>
      </c>
      <c r="G33">
        <v>214.93353473048776</v>
      </c>
      <c r="H33">
        <v>206.70012473399561</v>
      </c>
      <c r="I33">
        <v>214.66058746359118</v>
      </c>
      <c r="J33">
        <v>221.71145389396375</v>
      </c>
      <c r="K33">
        <v>220.16221867274427</v>
      </c>
      <c r="L33">
        <v>224.4606053516691</v>
      </c>
      <c r="M33">
        <v>224.28248692710233</v>
      </c>
      <c r="N33">
        <v>238.27470460599761</v>
      </c>
      <c r="O33">
        <v>238.50251108116572</v>
      </c>
      <c r="P33">
        <v>232.18754284548561</v>
      </c>
      <c r="Q33">
        <v>234.99947026699198</v>
      </c>
      <c r="R33">
        <v>234.09000088319377</v>
      </c>
      <c r="S33">
        <v>234.73901425092635</v>
      </c>
      <c r="T33">
        <v>230.28500038656429</v>
      </c>
      <c r="U33">
        <v>232.88115644032254</v>
      </c>
      <c r="V33">
        <v>240.24632698675342</v>
      </c>
      <c r="W33">
        <v>235.73740255291094</v>
      </c>
      <c r="X33">
        <v>233.88927705479216</v>
      </c>
      <c r="Y33">
        <v>234.32093717824216</v>
      </c>
      <c r="Z33">
        <v>225.60282782439236</v>
      </c>
      <c r="AA33">
        <v>217.58455141117048</v>
      </c>
      <c r="AB33">
        <v>222.50202286787186</v>
      </c>
      <c r="AC33">
        <v>223.8760695061867</v>
      </c>
      <c r="AD33">
        <v>219.73803086567696</v>
      </c>
      <c r="AE33">
        <v>220.40515818974646</v>
      </c>
      <c r="AF33">
        <v>214.15291491742354</v>
      </c>
      <c r="AG33">
        <v>212.44148006763459</v>
      </c>
      <c r="AH33">
        <v>204.93481890377657</v>
      </c>
      <c r="AI33">
        <v>206.06567669761719</v>
      </c>
      <c r="AJ33">
        <v>196.50035014784325</v>
      </c>
      <c r="AK33">
        <v>196.03215272214993</v>
      </c>
      <c r="AL33">
        <v>188.33533615969705</v>
      </c>
      <c r="AM33">
        <v>193.04125361610602</v>
      </c>
      <c r="AN33">
        <v>190.76935156697022</v>
      </c>
      <c r="AO33">
        <v>198.31657209093314</v>
      </c>
      <c r="AP33">
        <v>196.73262577130563</v>
      </c>
      <c r="AQ33">
        <v>193.55230878971366</v>
      </c>
      <c r="AR33">
        <v>196.86973428054603</v>
      </c>
      <c r="AS33">
        <v>199.82274649444651</v>
      </c>
      <c r="AT33">
        <v>196.86271120227153</v>
      </c>
      <c r="AU33">
        <v>196.94802886674071</v>
      </c>
      <c r="AV33">
        <v>195.39397343149142</v>
      </c>
      <c r="AW33">
        <v>184.65647314436555</v>
      </c>
      <c r="AX33">
        <v>184.55150586442389</v>
      </c>
      <c r="AY33">
        <v>176.69522258936399</v>
      </c>
      <c r="AZ33">
        <v>176.45269574780136</v>
      </c>
      <c r="BA33">
        <v>181.20338359716789</v>
      </c>
      <c r="BB33">
        <v>179.19576869537832</v>
      </c>
      <c r="BC33">
        <v>183.53252145975392</v>
      </c>
      <c r="BD33">
        <v>191.09931277187576</v>
      </c>
      <c r="BE33">
        <v>189.11272690364561</v>
      </c>
      <c r="BF33">
        <v>196.69768952497111</v>
      </c>
      <c r="BG33">
        <v>203.04027402250139</v>
      </c>
      <c r="BH33">
        <v>203.28751409042786</v>
      </c>
      <c r="BI33">
        <v>207.30526393114852</v>
      </c>
      <c r="BJ33">
        <v>207.17804918010148</v>
      </c>
      <c r="BK33">
        <v>213.55762268214221</v>
      </c>
      <c r="BL33">
        <v>210.17271632256305</v>
      </c>
      <c r="BM33">
        <v>208.86021309478664</v>
      </c>
      <c r="BN33">
        <v>207.42560904094356</v>
      </c>
      <c r="BO33">
        <v>213.84123342522273</v>
      </c>
      <c r="BP33">
        <v>214.45353852289452</v>
      </c>
      <c r="BQ33">
        <v>216.24264063179177</v>
      </c>
      <c r="BR33">
        <v>219.44597879429853</v>
      </c>
      <c r="BS33">
        <v>216.41528720376698</v>
      </c>
      <c r="BT33">
        <v>213.55886707379543</v>
      </c>
      <c r="BU33">
        <v>210.12642856083335</v>
      </c>
      <c r="BV33">
        <v>213.36758394609021</v>
      </c>
      <c r="BW33">
        <v>222.59176025406992</v>
      </c>
      <c r="BX33">
        <v>221.091454842866</v>
      </c>
      <c r="BY33">
        <v>219.71088972131062</v>
      </c>
      <c r="BZ33">
        <v>212.21870695163642</v>
      </c>
      <c r="CA33">
        <v>203.65474581336727</v>
      </c>
      <c r="CB33">
        <v>210.79541270009733</v>
      </c>
      <c r="CC33">
        <v>202.94436789918956</v>
      </c>
      <c r="CD33">
        <v>201.02591879136406</v>
      </c>
      <c r="CE33">
        <v>196.25075482866799</v>
      </c>
      <c r="CF33">
        <v>202.76534475492446</v>
      </c>
      <c r="CG33">
        <v>200.98883885333706</v>
      </c>
      <c r="CH33">
        <v>192.32648455026535</v>
      </c>
      <c r="CI33">
        <v>184.07796323254496</v>
      </c>
      <c r="CJ33">
        <v>184.44562152436325</v>
      </c>
      <c r="CK33">
        <v>187.65714557856609</v>
      </c>
      <c r="CL33">
        <v>191.34312999183075</v>
      </c>
      <c r="CM33">
        <v>190.24159031532517</v>
      </c>
      <c r="CN33">
        <v>198.0504423431037</v>
      </c>
      <c r="CO33">
        <v>203.34275705277321</v>
      </c>
      <c r="CP33">
        <v>207.10154587284671</v>
      </c>
      <c r="CQ33">
        <v>215.20426830033989</v>
      </c>
      <c r="CR33">
        <v>213.20346979209089</v>
      </c>
      <c r="CS33">
        <v>212.21643403389464</v>
      </c>
      <c r="CT33">
        <v>216.11734626769908</v>
      </c>
      <c r="CU33">
        <v>218.25613072250329</v>
      </c>
      <c r="CV33">
        <v>0</v>
      </c>
      <c r="CW33">
        <v>0</v>
      </c>
    </row>
    <row r="34" spans="5:101" x14ac:dyDescent="0.2">
      <c r="E34">
        <v>222.13</v>
      </c>
      <c r="F34">
        <v>224.56389734825248</v>
      </c>
      <c r="G34">
        <v>220.4004418979749</v>
      </c>
      <c r="H34">
        <v>220.03297618706344</v>
      </c>
      <c r="I34">
        <v>219.02151426389241</v>
      </c>
      <c r="J34">
        <v>220.82949737664575</v>
      </c>
      <c r="K34">
        <v>209.12950513137949</v>
      </c>
      <c r="L34">
        <v>209.39563892570698</v>
      </c>
      <c r="M34">
        <v>213.30377702919932</v>
      </c>
      <c r="N34">
        <v>216.38161945859383</v>
      </c>
      <c r="O34">
        <v>217.39992571763659</v>
      </c>
      <c r="P34">
        <v>218.3551221845938</v>
      </c>
      <c r="Q34">
        <v>217.19906907946071</v>
      </c>
      <c r="R34">
        <v>225.05934555157617</v>
      </c>
      <c r="S34">
        <v>220.84782310626395</v>
      </c>
      <c r="T34">
        <v>217.01340029987614</v>
      </c>
      <c r="U34">
        <v>216.42762730930099</v>
      </c>
      <c r="V34">
        <v>216.36183782358</v>
      </c>
      <c r="W34">
        <v>229.98161004152178</v>
      </c>
      <c r="X34">
        <v>233.82991546653179</v>
      </c>
      <c r="Y34">
        <v>231.19435886311976</v>
      </c>
      <c r="Z34">
        <v>222.95551855719191</v>
      </c>
      <c r="AA34">
        <v>223.74899443931983</v>
      </c>
      <c r="AB34">
        <v>220.09569731558048</v>
      </c>
      <c r="AC34">
        <v>229.77818443992848</v>
      </c>
      <c r="AD34">
        <v>236.3551079999493</v>
      </c>
      <c r="AE34">
        <v>232.71911271349273</v>
      </c>
      <c r="AF34">
        <v>225.11968868848842</v>
      </c>
      <c r="AG34">
        <v>226.71559026926877</v>
      </c>
      <c r="AH34">
        <v>227.38564788695433</v>
      </c>
      <c r="AI34">
        <v>227.988395997163</v>
      </c>
      <c r="AJ34">
        <v>230.03031227049235</v>
      </c>
      <c r="AK34">
        <v>233.17127751433046</v>
      </c>
      <c r="AL34">
        <v>228.00449096266362</v>
      </c>
      <c r="AM34">
        <v>229.01276306069335</v>
      </c>
      <c r="AN34">
        <v>228.32282267142097</v>
      </c>
      <c r="AO34">
        <v>235.26134375918454</v>
      </c>
      <c r="AP34">
        <v>232.72486628328136</v>
      </c>
      <c r="AQ34">
        <v>231.87086097214734</v>
      </c>
      <c r="AR34">
        <v>230.52860798998796</v>
      </c>
      <c r="AS34">
        <v>236.73612384061582</v>
      </c>
      <c r="AT34">
        <v>228.85125556696826</v>
      </c>
      <c r="AU34">
        <v>229.55220381018432</v>
      </c>
      <c r="AV34">
        <v>229.94979274704161</v>
      </c>
      <c r="AW34">
        <v>223.48719199369799</v>
      </c>
      <c r="AX34">
        <v>226.45504172861553</v>
      </c>
      <c r="AY34">
        <v>223.50242052087631</v>
      </c>
      <c r="AZ34">
        <v>218.7283182922553</v>
      </c>
      <c r="BA34">
        <v>214.717562298216</v>
      </c>
      <c r="BB34">
        <v>215.38920588216587</v>
      </c>
      <c r="BC34">
        <v>215.60652724078494</v>
      </c>
      <c r="BD34">
        <v>208.36086631588213</v>
      </c>
      <c r="BE34">
        <v>217.3327458508011</v>
      </c>
      <c r="BF34">
        <v>209.38810349169623</v>
      </c>
      <c r="BG34">
        <v>217.01729140549895</v>
      </c>
      <c r="BH34">
        <v>219.25252546725048</v>
      </c>
      <c r="BI34">
        <v>220.83223751537966</v>
      </c>
      <c r="BJ34">
        <v>231.94658162600282</v>
      </c>
      <c r="BK34">
        <v>236.3152642935359</v>
      </c>
      <c r="BL34">
        <v>231.97837050749987</v>
      </c>
      <c r="BM34">
        <v>238.2171772990267</v>
      </c>
      <c r="BN34">
        <v>236.54781459018619</v>
      </c>
      <c r="BO34">
        <v>239.61653431463043</v>
      </c>
      <c r="BP34">
        <v>240.31526399187942</v>
      </c>
      <c r="BQ34">
        <v>234.30752564593772</v>
      </c>
      <c r="BR34">
        <v>229.75483218622</v>
      </c>
      <c r="BS34">
        <v>230.79367274960612</v>
      </c>
      <c r="BT34">
        <v>225.72094626971244</v>
      </c>
      <c r="BU34">
        <v>223.90979979709616</v>
      </c>
      <c r="BV34">
        <v>224.87945276126527</v>
      </c>
      <c r="BW34">
        <v>221.57534416328687</v>
      </c>
      <c r="BX34">
        <v>223.78285183433141</v>
      </c>
      <c r="BY34">
        <v>223.18413216711158</v>
      </c>
      <c r="BZ34">
        <v>223.49075122184479</v>
      </c>
      <c r="CA34">
        <v>223.88705041658744</v>
      </c>
      <c r="CB34">
        <v>227.90598484662675</v>
      </c>
      <c r="CC34">
        <v>227.22530667279864</v>
      </c>
      <c r="CD34">
        <v>221.11896207674232</v>
      </c>
      <c r="CE34">
        <v>209.68515484864858</v>
      </c>
      <c r="CF34">
        <v>208.0270462167046</v>
      </c>
      <c r="CG34">
        <v>222.11369604608888</v>
      </c>
      <c r="CH34">
        <v>229.55204538145153</v>
      </c>
      <c r="CI34">
        <v>224.60251927876863</v>
      </c>
      <c r="CJ34">
        <v>230.43135481981344</v>
      </c>
      <c r="CK34">
        <v>231.88818800346837</v>
      </c>
      <c r="CL34">
        <v>231.89365982907955</v>
      </c>
      <c r="CM34">
        <v>234.0122920632071</v>
      </c>
      <c r="CN34">
        <v>231.19585059826491</v>
      </c>
      <c r="CO34">
        <v>230.37131401609381</v>
      </c>
      <c r="CP34">
        <v>233.20389940292137</v>
      </c>
      <c r="CQ34">
        <v>247.08821572513671</v>
      </c>
      <c r="CR34">
        <v>243.1898577293824</v>
      </c>
      <c r="CS34">
        <v>238.04220390661732</v>
      </c>
      <c r="CT34">
        <v>240.06663957500669</v>
      </c>
      <c r="CU34">
        <v>246.07823501351368</v>
      </c>
      <c r="CV34">
        <v>26.078235013513677</v>
      </c>
      <c r="CW34">
        <v>25.073217309616236</v>
      </c>
    </row>
    <row r="35" spans="5:101" x14ac:dyDescent="0.2">
      <c r="E35">
        <v>222.13</v>
      </c>
      <c r="F35">
        <v>215.68867373195616</v>
      </c>
      <c r="G35">
        <v>216.57868602039392</v>
      </c>
      <c r="H35">
        <v>220.59928969101253</v>
      </c>
      <c r="I35">
        <v>223.99323375970405</v>
      </c>
      <c r="J35">
        <v>238.63415803422242</v>
      </c>
      <c r="K35">
        <v>246.66693238091128</v>
      </c>
      <c r="L35">
        <v>246.80602331960944</v>
      </c>
      <c r="M35">
        <v>243.63819628627158</v>
      </c>
      <c r="N35">
        <v>247.19217538347144</v>
      </c>
      <c r="O35">
        <v>236.4090203858967</v>
      </c>
      <c r="P35">
        <v>240.58036093412935</v>
      </c>
      <c r="Q35">
        <v>241.48430474811713</v>
      </c>
      <c r="R35">
        <v>241.08161639712716</v>
      </c>
      <c r="S35">
        <v>243.08643277875035</v>
      </c>
      <c r="T35">
        <v>243.34253287964748</v>
      </c>
      <c r="U35">
        <v>242.50718466424127</v>
      </c>
      <c r="V35">
        <v>239.2733254415196</v>
      </c>
      <c r="W35">
        <v>233.6509571377189</v>
      </c>
      <c r="X35">
        <v>226.471234230043</v>
      </c>
      <c r="Y35">
        <v>228.54706495938589</v>
      </c>
      <c r="Z35">
        <v>226.2817442818417</v>
      </c>
      <c r="AA35">
        <v>222.86903708291274</v>
      </c>
      <c r="AB35">
        <v>223.81639829060603</v>
      </c>
      <c r="AC35">
        <v>226.0202795055973</v>
      </c>
      <c r="AD35">
        <v>231.66029156259643</v>
      </c>
      <c r="AE35">
        <v>226.97752209051126</v>
      </c>
      <c r="AF35">
        <v>233.49541798720244</v>
      </c>
      <c r="AG35">
        <v>230.55353757067493</v>
      </c>
      <c r="AH35">
        <v>226.89456763545098</v>
      </c>
      <c r="AI35">
        <v>226.61266210091793</v>
      </c>
      <c r="AJ35">
        <v>223.96752172706232</v>
      </c>
      <c r="AK35">
        <v>227.05961701796761</v>
      </c>
      <c r="AL35">
        <v>223.67619534784413</v>
      </c>
      <c r="AM35">
        <v>226.26326396097471</v>
      </c>
      <c r="AN35">
        <v>228.17515397843775</v>
      </c>
      <c r="AO35">
        <v>230.5820962089295</v>
      </c>
      <c r="AP35">
        <v>229.86434968153614</v>
      </c>
      <c r="AQ35">
        <v>234.17411918095192</v>
      </c>
      <c r="AR35">
        <v>226.77962973814573</v>
      </c>
      <c r="AS35">
        <v>232.97380884852919</v>
      </c>
      <c r="AT35">
        <v>228.865806577716</v>
      </c>
      <c r="AU35">
        <v>223.24647531192656</v>
      </c>
      <c r="AV35">
        <v>230.65316219293723</v>
      </c>
      <c r="AW35">
        <v>226.62762283452892</v>
      </c>
      <c r="AX35">
        <v>228.99133640536562</v>
      </c>
      <c r="AY35">
        <v>229.86001323322739</v>
      </c>
      <c r="AZ35">
        <v>227.93562032988615</v>
      </c>
      <c r="BA35">
        <v>229.19455640769277</v>
      </c>
      <c r="BB35">
        <v>237.37528369659898</v>
      </c>
      <c r="BC35">
        <v>235.60517257210779</v>
      </c>
      <c r="BD35">
        <v>227.28624022477055</v>
      </c>
      <c r="BE35">
        <v>229.44346086431912</v>
      </c>
      <c r="BF35">
        <v>227.29439808934589</v>
      </c>
      <c r="BG35">
        <v>229.26935431643719</v>
      </c>
      <c r="BH35">
        <v>229.556686948117</v>
      </c>
      <c r="BI35">
        <v>228.99562277363</v>
      </c>
      <c r="BJ35">
        <v>219.30271923415577</v>
      </c>
      <c r="BK35">
        <v>214.25138554289688</v>
      </c>
      <c r="BL35">
        <v>208.40045044614135</v>
      </c>
      <c r="BM35">
        <v>203.52560796389466</v>
      </c>
      <c r="BN35">
        <v>206.44248988652515</v>
      </c>
      <c r="BO35">
        <v>212.51043059132607</v>
      </c>
      <c r="BP35">
        <v>213.98671046926171</v>
      </c>
      <c r="BQ35">
        <v>217.59203286203274</v>
      </c>
      <c r="BR35">
        <v>215.32469515396357</v>
      </c>
      <c r="BS35">
        <v>222.92447163413141</v>
      </c>
      <c r="BT35">
        <v>223.22080344971897</v>
      </c>
      <c r="BU35">
        <v>224.55197492895786</v>
      </c>
      <c r="BV35">
        <v>223.4539579082861</v>
      </c>
      <c r="BW35">
        <v>218.08878594546448</v>
      </c>
      <c r="BX35">
        <v>216.22050416498234</v>
      </c>
      <c r="BY35">
        <v>212.91212682850858</v>
      </c>
      <c r="BZ35">
        <v>220.18982142390445</v>
      </c>
      <c r="CA35">
        <v>214.24946922330579</v>
      </c>
      <c r="CB35">
        <v>206.52872225636361</v>
      </c>
      <c r="CC35">
        <v>213.10840539996698</v>
      </c>
      <c r="CD35">
        <v>215.71518319796712</v>
      </c>
      <c r="CE35">
        <v>214.74866227755953</v>
      </c>
      <c r="CF35">
        <v>214.49576290481707</v>
      </c>
      <c r="CG35">
        <v>218.6251401872498</v>
      </c>
      <c r="CH35">
        <v>207.05404696273544</v>
      </c>
      <c r="CI35">
        <v>213.20485962618449</v>
      </c>
      <c r="CJ35">
        <v>208.03534353362349</v>
      </c>
      <c r="CK35">
        <v>203.14263668963198</v>
      </c>
      <c r="CL35">
        <v>194.58888362997484</v>
      </c>
      <c r="CM35">
        <v>193.55714539542501</v>
      </c>
      <c r="CN35">
        <v>189.94717168692273</v>
      </c>
      <c r="CO35">
        <v>184.38262090370299</v>
      </c>
      <c r="CP35">
        <v>181.75571653845805</v>
      </c>
      <c r="CQ35">
        <v>187.79776218641933</v>
      </c>
      <c r="CR35">
        <v>188.37314045595264</v>
      </c>
      <c r="CS35">
        <v>190.36280456157257</v>
      </c>
      <c r="CT35">
        <v>199.27131295885741</v>
      </c>
      <c r="CU35">
        <v>198.36740199700088</v>
      </c>
      <c r="CV35">
        <v>0</v>
      </c>
      <c r="CW35">
        <v>0</v>
      </c>
    </row>
    <row r="36" spans="5:101" x14ac:dyDescent="0.2">
      <c r="E36">
        <v>222.13</v>
      </c>
      <c r="F36">
        <v>220.97331472427229</v>
      </c>
      <c r="G36">
        <v>208.6707329213142</v>
      </c>
      <c r="H36">
        <v>206.51526328918757</v>
      </c>
      <c r="I36">
        <v>204.31025074144125</v>
      </c>
      <c r="J36">
        <v>204.5406503101388</v>
      </c>
      <c r="K36">
        <v>207.81277561671396</v>
      </c>
      <c r="L36">
        <v>204.69653830463727</v>
      </c>
      <c r="M36">
        <v>211.56768478318088</v>
      </c>
      <c r="N36">
        <v>208.96997062292763</v>
      </c>
      <c r="O36">
        <v>212.34311180339037</v>
      </c>
      <c r="P36">
        <v>207.79596575408107</v>
      </c>
      <c r="Q36">
        <v>215.58126208894666</v>
      </c>
      <c r="R36">
        <v>220.28846152896327</v>
      </c>
      <c r="S36">
        <v>211.5885476811296</v>
      </c>
      <c r="T36">
        <v>220.07948557372549</v>
      </c>
      <c r="U36">
        <v>216.81151731679967</v>
      </c>
      <c r="V36">
        <v>218.59073373890362</v>
      </c>
      <c r="W36">
        <v>222.45425143065282</v>
      </c>
      <c r="X36">
        <v>222.91906847531368</v>
      </c>
      <c r="Y36">
        <v>218.19030862334856</v>
      </c>
      <c r="Z36">
        <v>217.44699443692218</v>
      </c>
      <c r="AA36">
        <v>218.51610304841876</v>
      </c>
      <c r="AB36">
        <v>216.45124009660003</v>
      </c>
      <c r="AC36">
        <v>205.06248855385124</v>
      </c>
      <c r="AD36">
        <v>208.98805398226017</v>
      </c>
      <c r="AE36">
        <v>212.99421538540659</v>
      </c>
      <c r="AF36">
        <v>217.71451898326154</v>
      </c>
      <c r="AG36">
        <v>221.58000177608045</v>
      </c>
      <c r="AH36">
        <v>228.57890381625751</v>
      </c>
      <c r="AI36">
        <v>216.81242339953005</v>
      </c>
      <c r="AJ36">
        <v>223.05533767954438</v>
      </c>
      <c r="AK36">
        <v>225.19238330615104</v>
      </c>
      <c r="AL36">
        <v>227.25107753065157</v>
      </c>
      <c r="AM36">
        <v>219.36897683363094</v>
      </c>
      <c r="AN36">
        <v>215.30220578577087</v>
      </c>
      <c r="AO36">
        <v>218.43421106278859</v>
      </c>
      <c r="AP36">
        <v>223.35813379333732</v>
      </c>
      <c r="AQ36">
        <v>224.10934526601201</v>
      </c>
      <c r="AR36">
        <v>216.45392568360162</v>
      </c>
      <c r="AS36">
        <v>219.9922080453712</v>
      </c>
      <c r="AT36">
        <v>225.99522717448468</v>
      </c>
      <c r="AU36">
        <v>220.75087910688731</v>
      </c>
      <c r="AV36">
        <v>230.1781050482945</v>
      </c>
      <c r="AW36">
        <v>236.45646464003525</v>
      </c>
      <c r="AX36">
        <v>232.45747470159472</v>
      </c>
      <c r="AY36">
        <v>229.37572145012726</v>
      </c>
      <c r="AZ36">
        <v>231.60154542951054</v>
      </c>
      <c r="BA36">
        <v>231.32289977562058</v>
      </c>
      <c r="BB36">
        <v>238.8555342712535</v>
      </c>
      <c r="BC36">
        <v>235.98591299341973</v>
      </c>
      <c r="BD36">
        <v>226.75508714809345</v>
      </c>
      <c r="BE36">
        <v>220.51382244245059</v>
      </c>
      <c r="BF36">
        <v>222.73234044136765</v>
      </c>
      <c r="BG36">
        <v>226.23024801919382</v>
      </c>
      <c r="BH36">
        <v>236.85773894397946</v>
      </c>
      <c r="BI36">
        <v>234.38579747422989</v>
      </c>
      <c r="BJ36">
        <v>247.04807697829261</v>
      </c>
      <c r="BK36">
        <v>248.25000786398525</v>
      </c>
      <c r="BL36">
        <v>247.72028529979477</v>
      </c>
      <c r="BM36">
        <v>247.1259419693188</v>
      </c>
      <c r="BN36">
        <v>252.2891873081677</v>
      </c>
      <c r="BO36">
        <v>250.88438620067996</v>
      </c>
      <c r="BP36">
        <v>243.87803291268366</v>
      </c>
      <c r="BQ36">
        <v>252.01298585084629</v>
      </c>
      <c r="BR36">
        <v>257.96824740314514</v>
      </c>
      <c r="BS36">
        <v>259.03538748918305</v>
      </c>
      <c r="BT36">
        <v>251.86229589436294</v>
      </c>
      <c r="BU36">
        <v>254.8756824596108</v>
      </c>
      <c r="BV36">
        <v>254.06794203107833</v>
      </c>
      <c r="BW36">
        <v>262.11875292613973</v>
      </c>
      <c r="BX36">
        <v>264.85585457331518</v>
      </c>
      <c r="BY36">
        <v>252.6758380808138</v>
      </c>
      <c r="BZ36">
        <v>258.60628887359627</v>
      </c>
      <c r="CA36">
        <v>251.59149199986257</v>
      </c>
      <c r="CB36">
        <v>253.25802890699583</v>
      </c>
      <c r="CC36">
        <v>247.39714603003009</v>
      </c>
      <c r="CD36">
        <v>236.68209830166793</v>
      </c>
      <c r="CE36">
        <v>228.51983569643826</v>
      </c>
      <c r="CF36">
        <v>231.11863873958836</v>
      </c>
      <c r="CG36">
        <v>236.15925600882093</v>
      </c>
      <c r="CH36">
        <v>235.71589852149705</v>
      </c>
      <c r="CI36">
        <v>242.61335072533953</v>
      </c>
      <c r="CJ36">
        <v>243.4889306310632</v>
      </c>
      <c r="CK36">
        <v>246.34408352738444</v>
      </c>
      <c r="CL36">
        <v>254.90989457026987</v>
      </c>
      <c r="CM36">
        <v>250.30208809555731</v>
      </c>
      <c r="CN36">
        <v>253.79816181483648</v>
      </c>
      <c r="CO36">
        <v>253.01018505248226</v>
      </c>
      <c r="CP36">
        <v>255.89686431976287</v>
      </c>
      <c r="CQ36">
        <v>250.11236780468693</v>
      </c>
      <c r="CR36">
        <v>249.53449864740668</v>
      </c>
      <c r="CS36">
        <v>248.00463378777633</v>
      </c>
      <c r="CT36">
        <v>250.41634159640702</v>
      </c>
      <c r="CU36">
        <v>263.94517287662893</v>
      </c>
      <c r="CV36">
        <v>43.945172876628931</v>
      </c>
      <c r="CW36">
        <v>42.251589061659892</v>
      </c>
    </row>
    <row r="37" spans="5:101" x14ac:dyDescent="0.2">
      <c r="E37">
        <v>222.13</v>
      </c>
      <c r="F37">
        <v>220.4690852930153</v>
      </c>
      <c r="G37">
        <v>218.77201673291461</v>
      </c>
      <c r="H37">
        <v>222.27949587471142</v>
      </c>
      <c r="I37">
        <v>222.91414605222002</v>
      </c>
      <c r="J37">
        <v>221.64775817708417</v>
      </c>
      <c r="K37">
        <v>223.76965396385953</v>
      </c>
      <c r="L37">
        <v>215.85295356738112</v>
      </c>
      <c r="M37">
        <v>222.819341554358</v>
      </c>
      <c r="N37">
        <v>231.83418888314091</v>
      </c>
      <c r="O37">
        <v>235.81039511063128</v>
      </c>
      <c r="P37">
        <v>236.92137600745505</v>
      </c>
      <c r="Q37">
        <v>240.18147118879406</v>
      </c>
      <c r="R37">
        <v>242.8747571324063</v>
      </c>
      <c r="S37">
        <v>226.7436795673309</v>
      </c>
      <c r="T37">
        <v>233.37103022257776</v>
      </c>
      <c r="U37">
        <v>227.78194300861992</v>
      </c>
      <c r="V37">
        <v>227.23714131899169</v>
      </c>
      <c r="W37">
        <v>223.14557014447888</v>
      </c>
      <c r="X37">
        <v>224.10403460244058</v>
      </c>
      <c r="Y37">
        <v>220.43871366844851</v>
      </c>
      <c r="Z37">
        <v>224.17503172217434</v>
      </c>
      <c r="AA37">
        <v>229.17359029230238</v>
      </c>
      <c r="AB37">
        <v>223.12311165895537</v>
      </c>
      <c r="AC37">
        <v>215.01136892682356</v>
      </c>
      <c r="AD37">
        <v>220.52715582032317</v>
      </c>
      <c r="AE37">
        <v>223.20369545700828</v>
      </c>
      <c r="AF37">
        <v>222.41143472383496</v>
      </c>
      <c r="AG37">
        <v>222.17782300333761</v>
      </c>
      <c r="AH37">
        <v>224.15288004952728</v>
      </c>
      <c r="AI37">
        <v>219.90022609385181</v>
      </c>
      <c r="AJ37">
        <v>221.57966412823995</v>
      </c>
      <c r="AK37">
        <v>218.7774080343587</v>
      </c>
      <c r="AL37">
        <v>227.08406701946447</v>
      </c>
      <c r="AM37">
        <v>226.53742139418421</v>
      </c>
      <c r="AN37">
        <v>225.31061366734025</v>
      </c>
      <c r="AO37">
        <v>226.05973450058357</v>
      </c>
      <c r="AP37">
        <v>228.6469489368734</v>
      </c>
      <c r="AQ37">
        <v>220.36479886959415</v>
      </c>
      <c r="AR37">
        <v>225.86078679537806</v>
      </c>
      <c r="AS37">
        <v>224.35471083913811</v>
      </c>
      <c r="AT37">
        <v>225.96251350227976</v>
      </c>
      <c r="AU37">
        <v>226.80486053040019</v>
      </c>
      <c r="AV37">
        <v>228.27624048629801</v>
      </c>
      <c r="AW37">
        <v>231.3761581427859</v>
      </c>
      <c r="AX37">
        <v>244.37861248513082</v>
      </c>
      <c r="AY37">
        <v>244.65065318184858</v>
      </c>
      <c r="AZ37">
        <v>245.32376286616997</v>
      </c>
      <c r="BA37">
        <v>234.84491426076355</v>
      </c>
      <c r="BB37">
        <v>237.99184883315687</v>
      </c>
      <c r="BC37">
        <v>237.55498319259863</v>
      </c>
      <c r="BD37">
        <v>241.78758897691475</v>
      </c>
      <c r="BE37">
        <v>242.94580837910442</v>
      </c>
      <c r="BF37">
        <v>239.41896198943178</v>
      </c>
      <c r="BG37">
        <v>236.54243304990013</v>
      </c>
      <c r="BH37">
        <v>236.0779201147362</v>
      </c>
      <c r="BI37">
        <v>239.12489805398329</v>
      </c>
      <c r="BJ37">
        <v>239.06887539181974</v>
      </c>
      <c r="BK37">
        <v>235.96225915058395</v>
      </c>
      <c r="BL37">
        <v>242.06861148944421</v>
      </c>
      <c r="BM37">
        <v>239.93256091788911</v>
      </c>
      <c r="BN37">
        <v>246.75848989412657</v>
      </c>
      <c r="BO37">
        <v>250.60986091175184</v>
      </c>
      <c r="BP37">
        <v>247.40866090048507</v>
      </c>
      <c r="BQ37">
        <v>258.07348885661634</v>
      </c>
      <c r="BR37">
        <v>258.43795780754601</v>
      </c>
      <c r="BS37">
        <v>258.22736325217221</v>
      </c>
      <c r="BT37">
        <v>265.59995002055933</v>
      </c>
      <c r="BU37">
        <v>260.47504051810955</v>
      </c>
      <c r="BV37">
        <v>253.80857232185434</v>
      </c>
      <c r="BW37">
        <v>250.28613303903791</v>
      </c>
      <c r="BX37">
        <v>249.46303342123468</v>
      </c>
      <c r="BY37">
        <v>255.56175798445483</v>
      </c>
      <c r="BZ37">
        <v>260.78575259809992</v>
      </c>
      <c r="CA37">
        <v>251.39073068706642</v>
      </c>
      <c r="CB37">
        <v>257.07893579581565</v>
      </c>
      <c r="CC37">
        <v>254.56679450301311</v>
      </c>
      <c r="CD37">
        <v>248.67535934088244</v>
      </c>
      <c r="CE37">
        <v>245.3130580161999</v>
      </c>
      <c r="CF37">
        <v>242.12347353993519</v>
      </c>
      <c r="CG37">
        <v>241.40320047962223</v>
      </c>
      <c r="CH37">
        <v>243.81165428530008</v>
      </c>
      <c r="CI37">
        <v>234.83207305770881</v>
      </c>
      <c r="CJ37">
        <v>231.68515222098355</v>
      </c>
      <c r="CK37">
        <v>245.16170899864198</v>
      </c>
      <c r="CL37">
        <v>243.56798573868326</v>
      </c>
      <c r="CM37">
        <v>243.53492924012437</v>
      </c>
      <c r="CN37">
        <v>243.51815691942352</v>
      </c>
      <c r="CO37">
        <v>244.2627003552966</v>
      </c>
      <c r="CP37">
        <v>252.28014841376279</v>
      </c>
      <c r="CQ37">
        <v>259.90520254703483</v>
      </c>
      <c r="CR37">
        <v>271.86215972569931</v>
      </c>
      <c r="CS37">
        <v>264.02346841317171</v>
      </c>
      <c r="CT37">
        <v>275.68047540586912</v>
      </c>
      <c r="CU37">
        <v>273.73819359665038</v>
      </c>
      <c r="CV37">
        <v>53.738193596650376</v>
      </c>
      <c r="CW37">
        <v>51.667200835364383</v>
      </c>
    </row>
    <row r="38" spans="5:101" x14ac:dyDescent="0.2">
      <c r="E38">
        <v>222.13</v>
      </c>
      <c r="F38">
        <v>225.71440934676951</v>
      </c>
      <c r="G38">
        <v>226.93769448667126</v>
      </c>
      <c r="H38">
        <v>222.26274176319214</v>
      </c>
      <c r="I38">
        <v>224.95990033982599</v>
      </c>
      <c r="J38">
        <v>225.51711489275959</v>
      </c>
      <c r="K38">
        <v>233.44576938705467</v>
      </c>
      <c r="L38">
        <v>237.00277504066094</v>
      </c>
      <c r="M38">
        <v>241.69882922966752</v>
      </c>
      <c r="N38">
        <v>235.55637605994917</v>
      </c>
      <c r="O38">
        <v>240.37490329718111</v>
      </c>
      <c r="P38">
        <v>232.7813869302058</v>
      </c>
      <c r="Q38">
        <v>240.67258091839486</v>
      </c>
      <c r="R38">
        <v>240.63796179856007</v>
      </c>
      <c r="S38">
        <v>238.58979327310567</v>
      </c>
      <c r="T38">
        <v>247.45982617590906</v>
      </c>
      <c r="U38">
        <v>250.35989464406418</v>
      </c>
      <c r="V38">
        <v>250.81052739568696</v>
      </c>
      <c r="W38">
        <v>259.11480127606046</v>
      </c>
      <c r="X38">
        <v>248.52960970949104</v>
      </c>
      <c r="Y38">
        <v>245.94656995526771</v>
      </c>
      <c r="Z38">
        <v>253.63338224231086</v>
      </c>
      <c r="AA38">
        <v>249.07235326064861</v>
      </c>
      <c r="AB38">
        <v>249.06268129546444</v>
      </c>
      <c r="AC38">
        <v>243.63996317305691</v>
      </c>
      <c r="AD38">
        <v>238.84220944792318</v>
      </c>
      <c r="AE38">
        <v>245.52954675883626</v>
      </c>
      <c r="AF38">
        <v>246.03546114919885</v>
      </c>
      <c r="AG38">
        <v>254.39690825913266</v>
      </c>
      <c r="AH38">
        <v>248.76061867735874</v>
      </c>
      <c r="AI38">
        <v>237.23990175142896</v>
      </c>
      <c r="AJ38">
        <v>249.94967522510609</v>
      </c>
      <c r="AK38">
        <v>255.93199936024007</v>
      </c>
      <c r="AL38">
        <v>270.26333051374553</v>
      </c>
      <c r="AM38">
        <v>264.86511539228718</v>
      </c>
      <c r="AN38">
        <v>262.53107588978838</v>
      </c>
      <c r="AO38">
        <v>247.96228736103004</v>
      </c>
      <c r="AP38">
        <v>238.23577264181557</v>
      </c>
      <c r="AQ38">
        <v>248.80168938468773</v>
      </c>
      <c r="AR38">
        <v>247.51265879464</v>
      </c>
      <c r="AS38">
        <v>248.42892791326102</v>
      </c>
      <c r="AT38">
        <v>247.04714751030815</v>
      </c>
      <c r="AU38">
        <v>239.84154792768814</v>
      </c>
      <c r="AV38">
        <v>232.80032925149629</v>
      </c>
      <c r="AW38">
        <v>238.76199120677344</v>
      </c>
      <c r="AX38">
        <v>234.02834657230423</v>
      </c>
      <c r="AY38">
        <v>236.61092507826982</v>
      </c>
      <c r="AZ38">
        <v>236.30720772075244</v>
      </c>
      <c r="BA38">
        <v>241.79248092313532</v>
      </c>
      <c r="BB38">
        <v>245.46726020091501</v>
      </c>
      <c r="BC38">
        <v>255.30347576483658</v>
      </c>
      <c r="BD38">
        <v>263.64442301445837</v>
      </c>
      <c r="BE38">
        <v>258.35909799462894</v>
      </c>
      <c r="BF38">
        <v>260.04978418332388</v>
      </c>
      <c r="BG38">
        <v>266.56612053610598</v>
      </c>
      <c r="BH38">
        <v>258.82411651939162</v>
      </c>
      <c r="BI38">
        <v>258.62606493025402</v>
      </c>
      <c r="BJ38">
        <v>255.81151080137857</v>
      </c>
      <c r="BK38">
        <v>262.01711582260054</v>
      </c>
      <c r="BL38">
        <v>258.62875682004091</v>
      </c>
      <c r="BM38">
        <v>260.31575686029953</v>
      </c>
      <c r="BN38">
        <v>256.89080878266492</v>
      </c>
      <c r="BO38">
        <v>250.38222980969766</v>
      </c>
      <c r="BP38">
        <v>247.49946054750046</v>
      </c>
      <c r="BQ38">
        <v>244.55134617381105</v>
      </c>
      <c r="BR38">
        <v>238.92698368056733</v>
      </c>
      <c r="BS38">
        <v>238.79521711804261</v>
      </c>
      <c r="BT38">
        <v>238.38142953402715</v>
      </c>
      <c r="BU38">
        <v>237.09109958949321</v>
      </c>
      <c r="BV38">
        <v>235.13879510893986</v>
      </c>
      <c r="BW38">
        <v>235.53808409476119</v>
      </c>
      <c r="BX38">
        <v>234.22470350098132</v>
      </c>
      <c r="BY38">
        <v>235.72430138207895</v>
      </c>
      <c r="BZ38">
        <v>227.81412792232243</v>
      </c>
      <c r="CA38">
        <v>232.16218570631935</v>
      </c>
      <c r="CB38">
        <v>236.97105695413629</v>
      </c>
      <c r="CC38">
        <v>233.46566016387263</v>
      </c>
      <c r="CD38">
        <v>230.01882264591248</v>
      </c>
      <c r="CE38">
        <v>234.59944081614219</v>
      </c>
      <c r="CF38">
        <v>231.86642624755433</v>
      </c>
      <c r="CG38">
        <v>226.50929691350512</v>
      </c>
      <c r="CH38">
        <v>226.11032741346335</v>
      </c>
      <c r="CI38">
        <v>220.67853988597173</v>
      </c>
      <c r="CJ38">
        <v>224.85806706991164</v>
      </c>
      <c r="CK38">
        <v>233.7369614718412</v>
      </c>
      <c r="CL38">
        <v>236.6938710541649</v>
      </c>
      <c r="CM38">
        <v>238.37413046975803</v>
      </c>
      <c r="CN38">
        <v>236.02083521445985</v>
      </c>
      <c r="CO38">
        <v>242.12735719710633</v>
      </c>
      <c r="CP38">
        <v>234.3184925304534</v>
      </c>
      <c r="CQ38">
        <v>237.36854611945853</v>
      </c>
      <c r="CR38">
        <v>229.7587762644888</v>
      </c>
      <c r="CS38">
        <v>224.91308801158723</v>
      </c>
      <c r="CT38">
        <v>225.86938202972166</v>
      </c>
      <c r="CU38">
        <v>225.3158218121728</v>
      </c>
      <c r="CV38">
        <v>5.3158218121727998</v>
      </c>
      <c r="CW38">
        <v>5.1109576781840778</v>
      </c>
    </row>
    <row r="39" spans="5:101" x14ac:dyDescent="0.2">
      <c r="E39">
        <v>222.13</v>
      </c>
      <c r="F39">
        <v>222.27770414105422</v>
      </c>
      <c r="G39">
        <v>221.19637377867966</v>
      </c>
      <c r="H39">
        <v>220.77560229526756</v>
      </c>
      <c r="I39">
        <v>217.27196260357999</v>
      </c>
      <c r="J39">
        <v>211.81290604690381</v>
      </c>
      <c r="K39">
        <v>208.40416029747047</v>
      </c>
      <c r="L39">
        <v>204.42719318264676</v>
      </c>
      <c r="M39">
        <v>197.58467758797181</v>
      </c>
      <c r="N39">
        <v>200.4983594215779</v>
      </c>
      <c r="O39">
        <v>197.1478049157713</v>
      </c>
      <c r="P39">
        <v>193.03959975136243</v>
      </c>
      <c r="Q39">
        <v>189.57345081685207</v>
      </c>
      <c r="R39">
        <v>199.99459305642569</v>
      </c>
      <c r="S39">
        <v>195.48690006050523</v>
      </c>
      <c r="T39">
        <v>194.40684442435551</v>
      </c>
      <c r="U39">
        <v>194.77982911017853</v>
      </c>
      <c r="V39">
        <v>191.96785672216961</v>
      </c>
      <c r="W39">
        <v>191.52908602726524</v>
      </c>
      <c r="X39">
        <v>190.41937820838754</v>
      </c>
      <c r="Y39">
        <v>190.71450748696162</v>
      </c>
      <c r="Z39">
        <v>185.6226099286628</v>
      </c>
      <c r="AA39">
        <v>188.53664940884812</v>
      </c>
      <c r="AB39">
        <v>195.21031090807486</v>
      </c>
      <c r="AC39">
        <v>194.86192422520116</v>
      </c>
      <c r="AD39">
        <v>191.58610844141802</v>
      </c>
      <c r="AE39">
        <v>194.35416765708305</v>
      </c>
      <c r="AF39">
        <v>195.69596665967026</v>
      </c>
      <c r="AG39">
        <v>196.82914438695602</v>
      </c>
      <c r="AH39">
        <v>201.99445264954423</v>
      </c>
      <c r="AI39">
        <v>206.98788917332541</v>
      </c>
      <c r="AJ39">
        <v>204.74439602309519</v>
      </c>
      <c r="AK39">
        <v>208.68116536441067</v>
      </c>
      <c r="AL39">
        <v>210.07845002047074</v>
      </c>
      <c r="AM39">
        <v>214.35764275990502</v>
      </c>
      <c r="AN39">
        <v>214.55190049591022</v>
      </c>
      <c r="AO39">
        <v>214.49165849528552</v>
      </c>
      <c r="AP39">
        <v>222.19623050409481</v>
      </c>
      <c r="AQ39">
        <v>225.90811090824295</v>
      </c>
      <c r="AR39">
        <v>226.50507644729177</v>
      </c>
      <c r="AS39">
        <v>226.18806535465924</v>
      </c>
      <c r="AT39">
        <v>230.35173370664344</v>
      </c>
      <c r="AU39">
        <v>231.96862229891275</v>
      </c>
      <c r="AV39">
        <v>225.61873007548033</v>
      </c>
      <c r="AW39">
        <v>231.46946144942152</v>
      </c>
      <c r="AX39">
        <v>235.88982248522876</v>
      </c>
      <c r="AY39">
        <v>231.02847973797137</v>
      </c>
      <c r="AZ39">
        <v>229.38404829333615</v>
      </c>
      <c r="BA39">
        <v>233.94489075088853</v>
      </c>
      <c r="BB39">
        <v>221.23991310046821</v>
      </c>
      <c r="BC39">
        <v>227.83547742957938</v>
      </c>
      <c r="BD39">
        <v>229.87853550166668</v>
      </c>
      <c r="BE39">
        <v>234.26767218020902</v>
      </c>
      <c r="BF39">
        <v>243.06345328524026</v>
      </c>
      <c r="BG39">
        <v>237.34402820758024</v>
      </c>
      <c r="BH39">
        <v>242.71485187821744</v>
      </c>
      <c r="BI39">
        <v>248.5602444173569</v>
      </c>
      <c r="BJ39">
        <v>241.0133027973817</v>
      </c>
      <c r="BK39">
        <v>236.36724900514244</v>
      </c>
      <c r="BL39">
        <v>226.52797869386359</v>
      </c>
      <c r="BM39">
        <v>219.74406376474201</v>
      </c>
      <c r="BN39">
        <v>212.96783345438061</v>
      </c>
      <c r="BO39">
        <v>211.08411359891917</v>
      </c>
      <c r="BP39">
        <v>212.7652241284373</v>
      </c>
      <c r="BQ39">
        <v>205.58104060175771</v>
      </c>
      <c r="BR39">
        <v>199.73085483052276</v>
      </c>
      <c r="BS39">
        <v>205.99843077451109</v>
      </c>
      <c r="BT39">
        <v>201.52199246866229</v>
      </c>
      <c r="BU39">
        <v>203.60441014082028</v>
      </c>
      <c r="BV39">
        <v>202.22844555216301</v>
      </c>
      <c r="BW39">
        <v>205.26140156413877</v>
      </c>
      <c r="BX39">
        <v>198.47217512240266</v>
      </c>
      <c r="BY39">
        <v>189.27918898067256</v>
      </c>
      <c r="BZ39">
        <v>189.88537307616596</v>
      </c>
      <c r="CA39">
        <v>194.74588311339514</v>
      </c>
      <c r="CB39">
        <v>198.15489803996769</v>
      </c>
      <c r="CC39">
        <v>195.15418832557305</v>
      </c>
      <c r="CD39">
        <v>190.57441200787628</v>
      </c>
      <c r="CE39">
        <v>189.34484033874264</v>
      </c>
      <c r="CF39">
        <v>189.0119124006707</v>
      </c>
      <c r="CG39">
        <v>186.30772702682839</v>
      </c>
      <c r="CH39">
        <v>186.90667159392876</v>
      </c>
      <c r="CI39">
        <v>191.74793028143341</v>
      </c>
      <c r="CJ39">
        <v>200.036329454895</v>
      </c>
      <c r="CK39">
        <v>204.79337185220973</v>
      </c>
      <c r="CL39">
        <v>207.05782610504602</v>
      </c>
      <c r="CM39">
        <v>210.37866414567816</v>
      </c>
      <c r="CN39">
        <v>214.49198010991893</v>
      </c>
      <c r="CO39">
        <v>209.59321919211851</v>
      </c>
      <c r="CP39">
        <v>204.08775364964836</v>
      </c>
      <c r="CQ39">
        <v>208.40964978664093</v>
      </c>
      <c r="CR39">
        <v>199.81158999463119</v>
      </c>
      <c r="CS39">
        <v>203.07530100310595</v>
      </c>
      <c r="CT39">
        <v>206.87931255654868</v>
      </c>
      <c r="CU39">
        <v>200.77641738498551</v>
      </c>
      <c r="CV39">
        <v>0</v>
      </c>
      <c r="CW39">
        <v>0</v>
      </c>
    </row>
    <row r="40" spans="5:101" x14ac:dyDescent="0.2">
      <c r="E40">
        <v>222.13</v>
      </c>
      <c r="F40">
        <v>223.1646990999437</v>
      </c>
      <c r="G40">
        <v>225.90058239162852</v>
      </c>
      <c r="H40">
        <v>231.91802781371567</v>
      </c>
      <c r="I40">
        <v>228.23632357996061</v>
      </c>
      <c r="J40">
        <v>224.314749235796</v>
      </c>
      <c r="K40">
        <v>221.51524180037683</v>
      </c>
      <c r="L40">
        <v>215.77313720250223</v>
      </c>
      <c r="M40">
        <v>218.67829459786083</v>
      </c>
      <c r="N40">
        <v>219.94881367346431</v>
      </c>
      <c r="O40">
        <v>224.42793289072063</v>
      </c>
      <c r="P40">
        <v>230.79842672523156</v>
      </c>
      <c r="Q40">
        <v>236.92975766168294</v>
      </c>
      <c r="R40">
        <v>240.83591212107066</v>
      </c>
      <c r="S40">
        <v>245.31854665377068</v>
      </c>
      <c r="T40">
        <v>237.6714205228935</v>
      </c>
      <c r="U40">
        <v>243.13739151513857</v>
      </c>
      <c r="V40">
        <v>236.60343534474197</v>
      </c>
      <c r="W40">
        <v>231.72184325994141</v>
      </c>
      <c r="X40">
        <v>229.51623554505846</v>
      </c>
      <c r="Y40">
        <v>228.58152652559963</v>
      </c>
      <c r="Z40">
        <v>227.60650314128921</v>
      </c>
      <c r="AA40">
        <v>228.44852360786646</v>
      </c>
      <c r="AB40">
        <v>222.50053607029133</v>
      </c>
      <c r="AC40">
        <v>221.40689156156654</v>
      </c>
      <c r="AD40">
        <v>227.61900671729441</v>
      </c>
      <c r="AE40">
        <v>227.63647737032809</v>
      </c>
      <c r="AF40">
        <v>217.26998989675849</v>
      </c>
      <c r="AG40">
        <v>220.60905291171144</v>
      </c>
      <c r="AH40">
        <v>215.67421987089551</v>
      </c>
      <c r="AI40">
        <v>210.08554918208833</v>
      </c>
      <c r="AJ40">
        <v>211.47494673672682</v>
      </c>
      <c r="AK40">
        <v>212.90940560538786</v>
      </c>
      <c r="AL40">
        <v>212.69460905647827</v>
      </c>
      <c r="AM40">
        <v>214.33603559686878</v>
      </c>
      <c r="AN40">
        <v>214.94011658606837</v>
      </c>
      <c r="AO40">
        <v>207.92281324289519</v>
      </c>
      <c r="AP40">
        <v>208.23426110326457</v>
      </c>
      <c r="AQ40">
        <v>219.18070242463253</v>
      </c>
      <c r="AR40">
        <v>219.53804491302074</v>
      </c>
      <c r="AS40">
        <v>223.22214730452916</v>
      </c>
      <c r="AT40">
        <v>228.03039204894478</v>
      </c>
      <c r="AU40">
        <v>222.31959211017764</v>
      </c>
      <c r="AV40">
        <v>222.35575540543786</v>
      </c>
      <c r="AW40">
        <v>226.07040593567746</v>
      </c>
      <c r="AX40">
        <v>229.20845310153933</v>
      </c>
      <c r="AY40">
        <v>223.76263253678181</v>
      </c>
      <c r="AZ40">
        <v>220.69280331400176</v>
      </c>
      <c r="BA40">
        <v>222.33501677099059</v>
      </c>
      <c r="BB40">
        <v>219.51771982629006</v>
      </c>
      <c r="BC40">
        <v>219.15974654500195</v>
      </c>
      <c r="BD40">
        <v>225.39245355043977</v>
      </c>
      <c r="BE40">
        <v>222.5828137744011</v>
      </c>
      <c r="BF40">
        <v>215.47207367433907</v>
      </c>
      <c r="BG40">
        <v>218.23900594782631</v>
      </c>
      <c r="BH40">
        <v>213.78991622886852</v>
      </c>
      <c r="BI40">
        <v>215.91203079402499</v>
      </c>
      <c r="BJ40">
        <v>226.00505517082979</v>
      </c>
      <c r="BK40">
        <v>216.94294932320199</v>
      </c>
      <c r="BL40">
        <v>214.5924452470388</v>
      </c>
      <c r="BM40">
        <v>217.16731472664242</v>
      </c>
      <c r="BN40">
        <v>222.35086266616159</v>
      </c>
      <c r="BO40">
        <v>216.52515918761515</v>
      </c>
      <c r="BP40">
        <v>215.85930452326727</v>
      </c>
      <c r="BQ40">
        <v>200.76805737455783</v>
      </c>
      <c r="BR40">
        <v>203.4029572982453</v>
      </c>
      <c r="BS40">
        <v>197.12826445925035</v>
      </c>
      <c r="BT40">
        <v>202.58126138851804</v>
      </c>
      <c r="BU40">
        <v>202.17869701590411</v>
      </c>
      <c r="BV40">
        <v>207.04999496663689</v>
      </c>
      <c r="BW40">
        <v>205.16815220096157</v>
      </c>
      <c r="BX40">
        <v>201.42227935124586</v>
      </c>
      <c r="BY40">
        <v>206.09609039781742</v>
      </c>
      <c r="BZ40">
        <v>206.24584928339527</v>
      </c>
      <c r="CA40">
        <v>204.76492160500791</v>
      </c>
      <c r="CB40">
        <v>207.2365327981812</v>
      </c>
      <c r="CC40">
        <v>206.76182901758614</v>
      </c>
      <c r="CD40">
        <v>201.87873034664764</v>
      </c>
      <c r="CE40">
        <v>201.72202661779201</v>
      </c>
      <c r="CF40">
        <v>202.51313901940784</v>
      </c>
      <c r="CG40">
        <v>202.54072175384633</v>
      </c>
      <c r="CH40">
        <v>192.80697860973424</v>
      </c>
      <c r="CI40">
        <v>182.26247121674339</v>
      </c>
      <c r="CJ40">
        <v>177.91331971168415</v>
      </c>
      <c r="CK40">
        <v>186.20964053178139</v>
      </c>
      <c r="CL40">
        <v>186.21989244892382</v>
      </c>
      <c r="CM40">
        <v>187.7374575483779</v>
      </c>
      <c r="CN40">
        <v>189.57195194059622</v>
      </c>
      <c r="CO40">
        <v>190.19093102305789</v>
      </c>
      <c r="CP40">
        <v>187.3945637092049</v>
      </c>
      <c r="CQ40">
        <v>187.95146450701688</v>
      </c>
      <c r="CR40">
        <v>197.04901183988355</v>
      </c>
      <c r="CS40">
        <v>195.42287557049016</v>
      </c>
      <c r="CT40">
        <v>193.72651958166222</v>
      </c>
      <c r="CU40">
        <v>195.61528265841056</v>
      </c>
      <c r="CV40">
        <v>0</v>
      </c>
      <c r="CW40">
        <v>0</v>
      </c>
    </row>
    <row r="41" spans="5:101" x14ac:dyDescent="0.2">
      <c r="E41">
        <v>222.13</v>
      </c>
      <c r="F41">
        <v>223.38635404889044</v>
      </c>
      <c r="G41">
        <v>216.29251322450475</v>
      </c>
      <c r="H41">
        <v>221.02497960715257</v>
      </c>
      <c r="I41">
        <v>223.95615890062086</v>
      </c>
      <c r="J41">
        <v>221.99176668285423</v>
      </c>
      <c r="K41">
        <v>215.47614252899422</v>
      </c>
      <c r="L41">
        <v>213.03115743259059</v>
      </c>
      <c r="M41">
        <v>218.79600518222188</v>
      </c>
      <c r="N41">
        <v>218.45277630158671</v>
      </c>
      <c r="O41">
        <v>222.38500431061641</v>
      </c>
      <c r="P41">
        <v>230.95992667045684</v>
      </c>
      <c r="Q41">
        <v>230.56840036041908</v>
      </c>
      <c r="R41">
        <v>232.46504065510965</v>
      </c>
      <c r="S41">
        <v>224.54891550042649</v>
      </c>
      <c r="T41">
        <v>227.16411510238075</v>
      </c>
      <c r="U41">
        <v>221.96668950742276</v>
      </c>
      <c r="V41">
        <v>219.64192926439924</v>
      </c>
      <c r="W41">
        <v>213.91262806323877</v>
      </c>
      <c r="X41">
        <v>212.69119201162684</v>
      </c>
      <c r="Y41">
        <v>219.57044168472956</v>
      </c>
      <c r="Z41">
        <v>222.12928257174786</v>
      </c>
      <c r="AA41">
        <v>219.00868934580041</v>
      </c>
      <c r="AB41">
        <v>218.32395311817803</v>
      </c>
      <c r="AC41">
        <v>210.24043912330833</v>
      </c>
      <c r="AD41">
        <v>216.57040493625396</v>
      </c>
      <c r="AE41">
        <v>221.36655872657875</v>
      </c>
      <c r="AF41">
        <v>221.95677262745212</v>
      </c>
      <c r="AG41">
        <v>221.96712526845832</v>
      </c>
      <c r="AH41">
        <v>224.63913158912013</v>
      </c>
      <c r="AI41">
        <v>229.44180489294658</v>
      </c>
      <c r="AJ41">
        <v>219.27355981606436</v>
      </c>
      <c r="AK41">
        <v>222.99514436450974</v>
      </c>
      <c r="AL41">
        <v>228.8458510970286</v>
      </c>
      <c r="AM41">
        <v>224.84888596052727</v>
      </c>
      <c r="AN41">
        <v>217.47548975217188</v>
      </c>
      <c r="AO41">
        <v>211.4023428869765</v>
      </c>
      <c r="AP41">
        <v>215.02936801242126</v>
      </c>
      <c r="AQ41">
        <v>222.09745435421877</v>
      </c>
      <c r="AR41">
        <v>231.60214085687102</v>
      </c>
      <c r="AS41">
        <v>233.5552702119725</v>
      </c>
      <c r="AT41">
        <v>232.81553475074338</v>
      </c>
      <c r="AU41">
        <v>228.82060418367118</v>
      </c>
      <c r="AV41">
        <v>225.93702789903438</v>
      </c>
      <c r="AW41">
        <v>231.23645437008673</v>
      </c>
      <c r="AX41">
        <v>223.85288617210335</v>
      </c>
      <c r="AY41">
        <v>223.69845736385227</v>
      </c>
      <c r="AZ41">
        <v>228.11769299974344</v>
      </c>
      <c r="BA41">
        <v>231.58633169100364</v>
      </c>
      <c r="BB41">
        <v>240.95953254075374</v>
      </c>
      <c r="BC41">
        <v>241.90463958439159</v>
      </c>
      <c r="BD41">
        <v>235.21801705810452</v>
      </c>
      <c r="BE41">
        <v>236.51950630485757</v>
      </c>
      <c r="BF41">
        <v>236.78528886510264</v>
      </c>
      <c r="BG41">
        <v>235.30110062334447</v>
      </c>
      <c r="BH41">
        <v>234.15670139660881</v>
      </c>
      <c r="BI41">
        <v>226.58308752064545</v>
      </c>
      <c r="BJ41">
        <v>232.53228618561505</v>
      </c>
      <c r="BK41">
        <v>233.88056679760814</v>
      </c>
      <c r="BL41">
        <v>248.66232722588637</v>
      </c>
      <c r="BM41">
        <v>255.17039577560806</v>
      </c>
      <c r="BN41">
        <v>258.22450391671254</v>
      </c>
      <c r="BO41">
        <v>251.53216830192721</v>
      </c>
      <c r="BP41">
        <v>258.07425003562832</v>
      </c>
      <c r="BQ41">
        <v>246.20416188069893</v>
      </c>
      <c r="BR41">
        <v>249.82036901236549</v>
      </c>
      <c r="BS41">
        <v>258.7871724313257</v>
      </c>
      <c r="BT41">
        <v>256.32549860774714</v>
      </c>
      <c r="BU41">
        <v>250.79533829205599</v>
      </c>
      <c r="BV41">
        <v>250.3967461782662</v>
      </c>
      <c r="BW41">
        <v>258.9809668590122</v>
      </c>
      <c r="BX41">
        <v>265.84733214615585</v>
      </c>
      <c r="BY41">
        <v>265.74877807355949</v>
      </c>
      <c r="BZ41">
        <v>276.05759733904341</v>
      </c>
      <c r="CA41">
        <v>274.14740543147582</v>
      </c>
      <c r="CB41">
        <v>263.27145925491959</v>
      </c>
      <c r="CC41">
        <v>273.99012820317847</v>
      </c>
      <c r="CD41">
        <v>277.28043015498258</v>
      </c>
      <c r="CE41">
        <v>271.08321475250926</v>
      </c>
      <c r="CF41">
        <v>280.07986019291167</v>
      </c>
      <c r="CG41">
        <v>284.55543240687291</v>
      </c>
      <c r="CH41">
        <v>296.18416768485861</v>
      </c>
      <c r="CI41">
        <v>284.54588234626993</v>
      </c>
      <c r="CJ41">
        <v>285.69946314866513</v>
      </c>
      <c r="CK41">
        <v>292.54905555408811</v>
      </c>
      <c r="CL41">
        <v>294.33007815064957</v>
      </c>
      <c r="CM41">
        <v>294.34494163878492</v>
      </c>
      <c r="CN41">
        <v>301.24088926946683</v>
      </c>
      <c r="CO41">
        <v>299.0322567151934</v>
      </c>
      <c r="CP41">
        <v>296.13379574041335</v>
      </c>
      <c r="CQ41">
        <v>290.84110129151617</v>
      </c>
      <c r="CR41">
        <v>294.93990148160202</v>
      </c>
      <c r="CS41">
        <v>293.79305876288225</v>
      </c>
      <c r="CT41">
        <v>292.30731270647914</v>
      </c>
      <c r="CU41">
        <v>301.52053415143814</v>
      </c>
      <c r="CV41">
        <v>81.520534151438142</v>
      </c>
      <c r="CW41">
        <v>78.378849907434841</v>
      </c>
    </row>
    <row r="42" spans="5:101" x14ac:dyDescent="0.2">
      <c r="E42">
        <v>222.13</v>
      </c>
      <c r="F42">
        <v>219.49508631634185</v>
      </c>
      <c r="G42">
        <v>216.31560191509453</v>
      </c>
      <c r="H42">
        <v>210.06132277812421</v>
      </c>
      <c r="I42">
        <v>211.66648672843732</v>
      </c>
      <c r="J42">
        <v>208.35175665333472</v>
      </c>
      <c r="K42">
        <v>207.95636445917717</v>
      </c>
      <c r="L42">
        <v>210.15227042467293</v>
      </c>
      <c r="M42">
        <v>203.81090150045151</v>
      </c>
      <c r="N42">
        <v>201.11254037073411</v>
      </c>
      <c r="O42">
        <v>203.93565931541153</v>
      </c>
      <c r="P42">
        <v>202.68604942215384</v>
      </c>
      <c r="Q42">
        <v>204.43126562747941</v>
      </c>
      <c r="R42">
        <v>196.76890863398634</v>
      </c>
      <c r="S42">
        <v>201.04372720426085</v>
      </c>
      <c r="T42">
        <v>195.29577692104579</v>
      </c>
      <c r="U42">
        <v>194.75428320289421</v>
      </c>
      <c r="V42">
        <v>197.11370582566326</v>
      </c>
      <c r="W42">
        <v>200.16506063557441</v>
      </c>
      <c r="X42">
        <v>197.83449101142619</v>
      </c>
      <c r="Y42">
        <v>196.54282584140472</v>
      </c>
      <c r="Z42">
        <v>188.22645677096691</v>
      </c>
      <c r="AA42">
        <v>194.72734072239106</v>
      </c>
      <c r="AB42">
        <v>187.63820904226307</v>
      </c>
      <c r="AC42">
        <v>182.86287045772571</v>
      </c>
      <c r="AD42">
        <v>174.31108624679845</v>
      </c>
      <c r="AE42">
        <v>178.73478754876658</v>
      </c>
      <c r="AF42">
        <v>174.84012389523866</v>
      </c>
      <c r="AG42">
        <v>175.98612139737048</v>
      </c>
      <c r="AH42">
        <v>176.39461800626819</v>
      </c>
      <c r="AI42">
        <v>184.83394823138005</v>
      </c>
      <c r="AJ42">
        <v>180.56677506123805</v>
      </c>
      <c r="AK42">
        <v>184.31187535846783</v>
      </c>
      <c r="AL42">
        <v>188.26124138347106</v>
      </c>
      <c r="AM42">
        <v>192.02619945973291</v>
      </c>
      <c r="AN42">
        <v>199.84593239743035</v>
      </c>
      <c r="AO42">
        <v>195.53803789149416</v>
      </c>
      <c r="AP42">
        <v>188.91069027389656</v>
      </c>
      <c r="AQ42">
        <v>185.36993638945569</v>
      </c>
      <c r="AR42">
        <v>185.00584040148033</v>
      </c>
      <c r="AS42">
        <v>181.52211720907735</v>
      </c>
      <c r="AT42">
        <v>183.64082453226428</v>
      </c>
      <c r="AU42">
        <v>194.10016034584956</v>
      </c>
      <c r="AV42">
        <v>194.46180685892878</v>
      </c>
      <c r="AW42">
        <v>194.2440024629575</v>
      </c>
      <c r="AX42">
        <v>186.69559609637204</v>
      </c>
      <c r="AY42">
        <v>189.09572448421437</v>
      </c>
      <c r="AZ42">
        <v>190.38316906070946</v>
      </c>
      <c r="BA42">
        <v>186.60929644993982</v>
      </c>
      <c r="BB42">
        <v>187.0018198382509</v>
      </c>
      <c r="BC42">
        <v>185.62338343363336</v>
      </c>
      <c r="BD42">
        <v>189.07820501385552</v>
      </c>
      <c r="BE42">
        <v>197.23669367964922</v>
      </c>
      <c r="BF42">
        <v>203.32943790744423</v>
      </c>
      <c r="BG42">
        <v>196.4397744273052</v>
      </c>
      <c r="BH42">
        <v>196.25585968653502</v>
      </c>
      <c r="BI42">
        <v>193.31299035824088</v>
      </c>
      <c r="BJ42">
        <v>200.35217045595053</v>
      </c>
      <c r="BK42">
        <v>209.04657684494987</v>
      </c>
      <c r="BL42">
        <v>219.14571127964834</v>
      </c>
      <c r="BM42">
        <v>224.63947053979643</v>
      </c>
      <c r="BN42">
        <v>223.85046726426387</v>
      </c>
      <c r="BO42">
        <v>224.17155011741855</v>
      </c>
      <c r="BP42">
        <v>224.9642243832252</v>
      </c>
      <c r="BQ42">
        <v>224.91794637283115</v>
      </c>
      <c r="BR42">
        <v>219.61507776529456</v>
      </c>
      <c r="BS42">
        <v>218.19435866817918</v>
      </c>
      <c r="BT42">
        <v>219.54901137092094</v>
      </c>
      <c r="BU42">
        <v>216.1626094685935</v>
      </c>
      <c r="BV42">
        <v>219.10024081026222</v>
      </c>
      <c r="BW42">
        <v>214.71611986376999</v>
      </c>
      <c r="BX42">
        <v>213.0392989937736</v>
      </c>
      <c r="BY42">
        <v>207.58249194264755</v>
      </c>
      <c r="BZ42">
        <v>208.55531718210028</v>
      </c>
      <c r="CA42">
        <v>205.55674390981324</v>
      </c>
      <c r="CB42">
        <v>213.58616313416471</v>
      </c>
      <c r="CC42">
        <v>213.33320567766447</v>
      </c>
      <c r="CD42">
        <v>222.2414859508923</v>
      </c>
      <c r="CE42">
        <v>215.80460229665007</v>
      </c>
      <c r="CF42">
        <v>213.32492702204866</v>
      </c>
      <c r="CG42">
        <v>213.67718288590407</v>
      </c>
      <c r="CH42">
        <v>205.99310900733263</v>
      </c>
      <c r="CI42">
        <v>207.54604528535455</v>
      </c>
      <c r="CJ42">
        <v>209.36283113125404</v>
      </c>
      <c r="CK42">
        <v>211.40634981295474</v>
      </c>
      <c r="CL42">
        <v>214.35371289660873</v>
      </c>
      <c r="CM42">
        <v>208.79738367292856</v>
      </c>
      <c r="CN42">
        <v>210.18933897794665</v>
      </c>
      <c r="CO42">
        <v>200.18568514915356</v>
      </c>
      <c r="CP42">
        <v>208.79448360685066</v>
      </c>
      <c r="CQ42">
        <v>207.58990084760961</v>
      </c>
      <c r="CR42">
        <v>201.51583173045472</v>
      </c>
      <c r="CS42">
        <v>202.41958776038854</v>
      </c>
      <c r="CT42">
        <v>197.74541786579954</v>
      </c>
      <c r="CU42">
        <v>199.16630084184675</v>
      </c>
      <c r="CV42">
        <v>0</v>
      </c>
      <c r="CW42">
        <v>0</v>
      </c>
    </row>
    <row r="43" spans="5:101" x14ac:dyDescent="0.2">
      <c r="E43">
        <v>222.13</v>
      </c>
      <c r="F43">
        <v>215.22108512470797</v>
      </c>
      <c r="G43">
        <v>216.38151763106075</v>
      </c>
      <c r="H43">
        <v>215.80020689797388</v>
      </c>
      <c r="I43">
        <v>211.67343550646871</v>
      </c>
      <c r="J43">
        <v>208.30397530546327</v>
      </c>
      <c r="K43">
        <v>209.14489060004038</v>
      </c>
      <c r="L43">
        <v>207.88850036981293</v>
      </c>
      <c r="M43">
        <v>211.15214949619678</v>
      </c>
      <c r="N43">
        <v>215.46740069442106</v>
      </c>
      <c r="O43">
        <v>215.82150365292614</v>
      </c>
      <c r="P43">
        <v>217.82443737748559</v>
      </c>
      <c r="Q43">
        <v>218.69623676859493</v>
      </c>
      <c r="R43">
        <v>219.04001225798592</v>
      </c>
      <c r="S43">
        <v>223.1084981460138</v>
      </c>
      <c r="T43">
        <v>227.81449869117998</v>
      </c>
      <c r="U43">
        <v>223.99139158132579</v>
      </c>
      <c r="V43">
        <v>227.27231412900019</v>
      </c>
      <c r="W43">
        <v>223.18534709297825</v>
      </c>
      <c r="X43">
        <v>220.55632331173535</v>
      </c>
      <c r="Y43">
        <v>220.9982578727618</v>
      </c>
      <c r="Z43">
        <v>222.7119653411159</v>
      </c>
      <c r="AA43">
        <v>227.55592935955161</v>
      </c>
      <c r="AB43">
        <v>221.84760826699278</v>
      </c>
      <c r="AC43">
        <v>219.52083384790149</v>
      </c>
      <c r="AD43">
        <v>215.31913035189459</v>
      </c>
      <c r="AE43">
        <v>212.71538689226935</v>
      </c>
      <c r="AF43">
        <v>222.00732336288235</v>
      </c>
      <c r="AG43">
        <v>207.62670290279755</v>
      </c>
      <c r="AH43">
        <v>204.39464893671172</v>
      </c>
      <c r="AI43">
        <v>204.91586309664424</v>
      </c>
      <c r="AJ43">
        <v>194.49230997875449</v>
      </c>
      <c r="AK43">
        <v>198.23898658299311</v>
      </c>
      <c r="AL43">
        <v>202.53127070585958</v>
      </c>
      <c r="AM43">
        <v>203.73657243194467</v>
      </c>
      <c r="AN43">
        <v>203.17746548514268</v>
      </c>
      <c r="AO43">
        <v>194.26540533556687</v>
      </c>
      <c r="AP43">
        <v>188.61768019676012</v>
      </c>
      <c r="AQ43">
        <v>179.36843984415609</v>
      </c>
      <c r="AR43">
        <v>189.19010853695565</v>
      </c>
      <c r="AS43">
        <v>184.57673656083833</v>
      </c>
      <c r="AT43">
        <v>185.84825910527559</v>
      </c>
      <c r="AU43">
        <v>184.16648490204366</v>
      </c>
      <c r="AV43">
        <v>180.23801768466814</v>
      </c>
      <c r="AW43">
        <v>177.9781100665962</v>
      </c>
      <c r="AX43">
        <v>178.32423169198231</v>
      </c>
      <c r="AY43">
        <v>185.16998956556444</v>
      </c>
      <c r="AZ43">
        <v>185.15269189709213</v>
      </c>
      <c r="BA43">
        <v>184.24291293498459</v>
      </c>
      <c r="BB43">
        <v>185.27662072490372</v>
      </c>
      <c r="BC43">
        <v>185.19945073635776</v>
      </c>
      <c r="BD43">
        <v>184.80616196688354</v>
      </c>
      <c r="BE43">
        <v>182.73205657909492</v>
      </c>
      <c r="BF43">
        <v>181.5873693022815</v>
      </c>
      <c r="BG43">
        <v>181.91982345957953</v>
      </c>
      <c r="BH43">
        <v>184.29697567240947</v>
      </c>
      <c r="BI43">
        <v>191.33805255297293</v>
      </c>
      <c r="BJ43">
        <v>187.01019251186023</v>
      </c>
      <c r="BK43">
        <v>197.35019121969705</v>
      </c>
      <c r="BL43">
        <v>194.14971505291612</v>
      </c>
      <c r="BM43">
        <v>201.56441781581117</v>
      </c>
      <c r="BN43">
        <v>203.59596887265349</v>
      </c>
      <c r="BO43">
        <v>203.651217724822</v>
      </c>
      <c r="BP43">
        <v>201.368080411779</v>
      </c>
      <c r="BQ43">
        <v>200.70858634990171</v>
      </c>
      <c r="BR43">
        <v>205.16034360450107</v>
      </c>
      <c r="BS43">
        <v>206.01134269810876</v>
      </c>
      <c r="BT43">
        <v>209.01754136473747</v>
      </c>
      <c r="BU43">
        <v>199.18283233351326</v>
      </c>
      <c r="BV43">
        <v>194.99288714198369</v>
      </c>
      <c r="BW43">
        <v>199.43632115439149</v>
      </c>
      <c r="BX43">
        <v>201.08972371294124</v>
      </c>
      <c r="BY43">
        <v>197.84788249618731</v>
      </c>
      <c r="BZ43">
        <v>193.1982068769959</v>
      </c>
      <c r="CA43">
        <v>196.92540731585947</v>
      </c>
      <c r="CB43">
        <v>202.01407413428731</v>
      </c>
      <c r="CC43">
        <v>190.98143313839702</v>
      </c>
      <c r="CD43">
        <v>193.3808029531468</v>
      </c>
      <c r="CE43">
        <v>190.64949487207844</v>
      </c>
      <c r="CF43">
        <v>188.51719042023279</v>
      </c>
      <c r="CG43">
        <v>192.53424709569336</v>
      </c>
      <c r="CH43">
        <v>198.20143012740633</v>
      </c>
      <c r="CI43">
        <v>204.50772050265741</v>
      </c>
      <c r="CJ43">
        <v>194.99678695838756</v>
      </c>
      <c r="CK43">
        <v>184.92908668191316</v>
      </c>
      <c r="CL43">
        <v>187.21583802143047</v>
      </c>
      <c r="CM43">
        <v>183.26037782599965</v>
      </c>
      <c r="CN43">
        <v>181.45709456109083</v>
      </c>
      <c r="CO43">
        <v>180.26174733203169</v>
      </c>
      <c r="CP43">
        <v>190.47764785837251</v>
      </c>
      <c r="CQ43">
        <v>194.64683344094703</v>
      </c>
      <c r="CR43">
        <v>186.55616513009829</v>
      </c>
      <c r="CS43">
        <v>186.3361258657354</v>
      </c>
      <c r="CT43">
        <v>181.12903790425443</v>
      </c>
      <c r="CU43">
        <v>175.42018760728351</v>
      </c>
      <c r="CV43">
        <v>0</v>
      </c>
      <c r="CW43">
        <v>0</v>
      </c>
    </row>
    <row r="44" spans="5:101" x14ac:dyDescent="0.2">
      <c r="E44">
        <v>222.13</v>
      </c>
      <c r="F44">
        <v>224.57522772420995</v>
      </c>
      <c r="G44">
        <v>223.98827248124098</v>
      </c>
      <c r="H44">
        <v>227.08828300926945</v>
      </c>
      <c r="I44">
        <v>224.79639529270881</v>
      </c>
      <c r="J44">
        <v>220.65296645167115</v>
      </c>
      <c r="K44">
        <v>214.44803710523959</v>
      </c>
      <c r="L44">
        <v>208.3755622083406</v>
      </c>
      <c r="M44">
        <v>208.18419332516419</v>
      </c>
      <c r="N44">
        <v>208.45563551324304</v>
      </c>
      <c r="O44">
        <v>205.18252079942724</v>
      </c>
      <c r="P44">
        <v>204.29152475208954</v>
      </c>
      <c r="Q44">
        <v>196.68814304594835</v>
      </c>
      <c r="R44">
        <v>202.72590550627353</v>
      </c>
      <c r="S44">
        <v>201.16718258817986</v>
      </c>
      <c r="T44">
        <v>201.38973575441395</v>
      </c>
      <c r="U44">
        <v>211.41429842178241</v>
      </c>
      <c r="V44">
        <v>204.71741593786865</v>
      </c>
      <c r="W44">
        <v>205.78629877323471</v>
      </c>
      <c r="X44">
        <v>207.00043104065668</v>
      </c>
      <c r="Y44">
        <v>207.84941705334003</v>
      </c>
      <c r="Z44">
        <v>212.69847877516244</v>
      </c>
      <c r="AA44">
        <v>219.48391456289013</v>
      </c>
      <c r="AB44">
        <v>208.84671831275895</v>
      </c>
      <c r="AC44">
        <v>209.61222628501594</v>
      </c>
      <c r="AD44">
        <v>204.41358546650446</v>
      </c>
      <c r="AE44">
        <v>208.07277036984289</v>
      </c>
      <c r="AF44">
        <v>217.08304917144415</v>
      </c>
      <c r="AG44">
        <v>208.86219740843742</v>
      </c>
      <c r="AH44">
        <v>209.72164311791914</v>
      </c>
      <c r="AI44">
        <v>207.13317530877364</v>
      </c>
      <c r="AJ44">
        <v>212.21998560900815</v>
      </c>
      <c r="AK44">
        <v>210.83006949525759</v>
      </c>
      <c r="AL44">
        <v>199.96383943916541</v>
      </c>
      <c r="AM44">
        <v>201.72732497612915</v>
      </c>
      <c r="AN44">
        <v>197.91638077911807</v>
      </c>
      <c r="AO44">
        <v>204.93450085142393</v>
      </c>
      <c r="AP44">
        <v>206.95781410447128</v>
      </c>
      <c r="AQ44">
        <v>202.55798335764811</v>
      </c>
      <c r="AR44">
        <v>208.8336114999772</v>
      </c>
      <c r="AS44">
        <v>203.990316530407</v>
      </c>
      <c r="AT44">
        <v>204.26696926292504</v>
      </c>
      <c r="AU44">
        <v>194.90228975338201</v>
      </c>
      <c r="AV44">
        <v>191.52871560513137</v>
      </c>
      <c r="AW44">
        <v>195.92867226770443</v>
      </c>
      <c r="AX44">
        <v>202.75167550551603</v>
      </c>
      <c r="AY44">
        <v>200.34960837985076</v>
      </c>
      <c r="AZ44">
        <v>208.7087314459574</v>
      </c>
      <c r="BA44">
        <v>208.00521322976562</v>
      </c>
      <c r="BB44">
        <v>212.27379454795968</v>
      </c>
      <c r="BC44">
        <v>209.01720539559051</v>
      </c>
      <c r="BD44">
        <v>210.94361965265492</v>
      </c>
      <c r="BE44">
        <v>214.65858364547387</v>
      </c>
      <c r="BF44">
        <v>217.17333834435192</v>
      </c>
      <c r="BG44">
        <v>213.83893100741324</v>
      </c>
      <c r="BH44">
        <v>216.75233241321433</v>
      </c>
      <c r="BI44">
        <v>218.16339049183387</v>
      </c>
      <c r="BJ44">
        <v>215.86943396492296</v>
      </c>
      <c r="BK44">
        <v>226.37010034675706</v>
      </c>
      <c r="BL44">
        <v>230.37136789997967</v>
      </c>
      <c r="BM44">
        <v>217.30221360786035</v>
      </c>
      <c r="BN44">
        <v>220.6144509321395</v>
      </c>
      <c r="BO44">
        <v>221.37997076872242</v>
      </c>
      <c r="BP44">
        <v>216.56708542295496</v>
      </c>
      <c r="BQ44">
        <v>224.6653242717048</v>
      </c>
      <c r="BR44">
        <v>219.83846076506899</v>
      </c>
      <c r="BS44">
        <v>226.41040998412302</v>
      </c>
      <c r="BT44">
        <v>232.29654587556601</v>
      </c>
      <c r="BU44">
        <v>239.45575044806293</v>
      </c>
      <c r="BV44">
        <v>249.0848902338104</v>
      </c>
      <c r="BW44">
        <v>253.14455773265533</v>
      </c>
      <c r="BX44">
        <v>259.97313839944127</v>
      </c>
      <c r="BY44">
        <v>262.60592189937904</v>
      </c>
      <c r="BZ44">
        <v>261.09714673908553</v>
      </c>
      <c r="CA44">
        <v>267.26488811957597</v>
      </c>
      <c r="CB44">
        <v>258.84346316444407</v>
      </c>
      <c r="CC44">
        <v>260.61850144950421</v>
      </c>
      <c r="CD44">
        <v>264.01931133376712</v>
      </c>
      <c r="CE44">
        <v>268.99913180988261</v>
      </c>
      <c r="CF44">
        <v>250.25361462458267</v>
      </c>
      <c r="CG44">
        <v>250.41553586693232</v>
      </c>
      <c r="CH44">
        <v>249.70206010928914</v>
      </c>
      <c r="CI44">
        <v>254.93815791303774</v>
      </c>
      <c r="CJ44">
        <v>247.76120244048758</v>
      </c>
      <c r="CK44">
        <v>243.56590164056189</v>
      </c>
      <c r="CL44">
        <v>242.51552053664506</v>
      </c>
      <c r="CM44">
        <v>247.00152922386658</v>
      </c>
      <c r="CN44">
        <v>251.14136400906469</v>
      </c>
      <c r="CO44">
        <v>245.30479264852076</v>
      </c>
      <c r="CP44">
        <v>247.48251413109739</v>
      </c>
      <c r="CQ44">
        <v>246.59399936614116</v>
      </c>
      <c r="CR44">
        <v>241.64423434396934</v>
      </c>
      <c r="CS44">
        <v>228.31622356074303</v>
      </c>
      <c r="CT44">
        <v>225.95077596850538</v>
      </c>
      <c r="CU44">
        <v>214.72872866417433</v>
      </c>
      <c r="CV44">
        <v>0</v>
      </c>
      <c r="CW44">
        <v>0</v>
      </c>
    </row>
    <row r="45" spans="5:101" x14ac:dyDescent="0.2">
      <c r="E45">
        <v>222.13</v>
      </c>
      <c r="F45">
        <v>225.17038356484127</v>
      </c>
      <c r="G45">
        <v>223.18804291910226</v>
      </c>
      <c r="H45">
        <v>218.55722373430172</v>
      </c>
      <c r="I45">
        <v>223.98440515053906</v>
      </c>
      <c r="J45">
        <v>216.3944322181537</v>
      </c>
      <c r="K45">
        <v>223.60737671757957</v>
      </c>
      <c r="L45">
        <v>216.76365252147824</v>
      </c>
      <c r="M45">
        <v>216.28832264763557</v>
      </c>
      <c r="N45">
        <v>220.79806218490248</v>
      </c>
      <c r="O45">
        <v>206.18964509373453</v>
      </c>
      <c r="P45">
        <v>205.48971082848871</v>
      </c>
      <c r="Q45">
        <v>205.95548908973487</v>
      </c>
      <c r="R45">
        <v>205.07831993502862</v>
      </c>
      <c r="S45">
        <v>204.69951685305119</v>
      </c>
      <c r="T45">
        <v>206.0222564480045</v>
      </c>
      <c r="U45">
        <v>211.11619475267918</v>
      </c>
      <c r="V45">
        <v>216.13801599429385</v>
      </c>
      <c r="W45">
        <v>221.40500695873689</v>
      </c>
      <c r="X45">
        <v>224.44315943867545</v>
      </c>
      <c r="Y45">
        <v>223.93773092607782</v>
      </c>
      <c r="Z45">
        <v>225.0747903109378</v>
      </c>
      <c r="AA45">
        <v>224.53256532105999</v>
      </c>
      <c r="AB45">
        <v>223.7542107088517</v>
      </c>
      <c r="AC45">
        <v>217.33830259923653</v>
      </c>
      <c r="AD45">
        <v>220.4971696773118</v>
      </c>
      <c r="AE45">
        <v>220.64489671949141</v>
      </c>
      <c r="AF45">
        <v>221.64900970430816</v>
      </c>
      <c r="AG45">
        <v>231.88932198407298</v>
      </c>
      <c r="AH45">
        <v>239.21957340933838</v>
      </c>
      <c r="AI45">
        <v>238.88836382724807</v>
      </c>
      <c r="AJ45">
        <v>244.60088858169993</v>
      </c>
      <c r="AK45">
        <v>236.63055412163382</v>
      </c>
      <c r="AL45">
        <v>235.73114221422767</v>
      </c>
      <c r="AM45">
        <v>239.30757377455072</v>
      </c>
      <c r="AN45">
        <v>233.69135827809046</v>
      </c>
      <c r="AO45">
        <v>236.52248463400198</v>
      </c>
      <c r="AP45">
        <v>254.28706828548866</v>
      </c>
      <c r="AQ45">
        <v>251.53939301470527</v>
      </c>
      <c r="AR45">
        <v>250.62297048835785</v>
      </c>
      <c r="AS45">
        <v>257.29693860363187</v>
      </c>
      <c r="AT45">
        <v>262.66871639953735</v>
      </c>
      <c r="AU45">
        <v>265.83903350008052</v>
      </c>
      <c r="AV45">
        <v>262.90167862478586</v>
      </c>
      <c r="AW45">
        <v>267.19424491263845</v>
      </c>
      <c r="AX45">
        <v>280.12015264024421</v>
      </c>
      <c r="AY45">
        <v>268.98465651334095</v>
      </c>
      <c r="AZ45">
        <v>270.90494058149415</v>
      </c>
      <c r="BA45">
        <v>272.22481293990489</v>
      </c>
      <c r="BB45">
        <v>264.90937884661645</v>
      </c>
      <c r="BC45">
        <v>264.90382549113548</v>
      </c>
      <c r="BD45">
        <v>266.53177021219335</v>
      </c>
      <c r="BE45">
        <v>271.07703800021852</v>
      </c>
      <c r="BF45">
        <v>277.11674273320909</v>
      </c>
      <c r="BG45">
        <v>276.95980111194621</v>
      </c>
      <c r="BH45">
        <v>268.14469564642735</v>
      </c>
      <c r="BI45">
        <v>271.61971422619831</v>
      </c>
      <c r="BJ45">
        <v>266.66217829693664</v>
      </c>
      <c r="BK45">
        <v>259.32943006917304</v>
      </c>
      <c r="BL45">
        <v>257.45406650727881</v>
      </c>
      <c r="BM45">
        <v>257.47622102121454</v>
      </c>
      <c r="BN45">
        <v>255.47261395264059</v>
      </c>
      <c r="BO45">
        <v>247.82687755583811</v>
      </c>
      <c r="BP45">
        <v>252.84233829704738</v>
      </c>
      <c r="BQ45">
        <v>256.5306639602295</v>
      </c>
      <c r="BR45">
        <v>257.60439572343665</v>
      </c>
      <c r="BS45">
        <v>257.68687956447309</v>
      </c>
      <c r="BT45">
        <v>271.9125861141415</v>
      </c>
      <c r="BU45">
        <v>274.35529233168262</v>
      </c>
      <c r="BV45">
        <v>273.26496394385111</v>
      </c>
      <c r="BW45">
        <v>284.6579683090859</v>
      </c>
      <c r="BX45">
        <v>285.37954708633765</v>
      </c>
      <c r="BY45">
        <v>290.39536527041338</v>
      </c>
      <c r="BZ45">
        <v>292.80833730969067</v>
      </c>
      <c r="CA45">
        <v>296.68870429982513</v>
      </c>
      <c r="CB45">
        <v>283.6401154560121</v>
      </c>
      <c r="CC45">
        <v>286.03043422796435</v>
      </c>
      <c r="CD45">
        <v>271.09110766811125</v>
      </c>
      <c r="CE45">
        <v>276.55472584346956</v>
      </c>
      <c r="CF45">
        <v>283.52793005918943</v>
      </c>
      <c r="CG45">
        <v>277.50590595284643</v>
      </c>
      <c r="CH45">
        <v>276.21303936555387</v>
      </c>
      <c r="CI45">
        <v>270.23545902399599</v>
      </c>
      <c r="CJ45">
        <v>262.12169579973829</v>
      </c>
      <c r="CK45">
        <v>260.83687970439553</v>
      </c>
      <c r="CL45">
        <v>268.78374785464348</v>
      </c>
      <c r="CM45">
        <v>276.12064061599938</v>
      </c>
      <c r="CN45">
        <v>268.80359242628299</v>
      </c>
      <c r="CO45">
        <v>277.53682163421604</v>
      </c>
      <c r="CP45">
        <v>275.54547362255556</v>
      </c>
      <c r="CQ45">
        <v>279.41152545631877</v>
      </c>
      <c r="CR45">
        <v>276.59605833386269</v>
      </c>
      <c r="CS45">
        <v>287.54398677938633</v>
      </c>
      <c r="CT45">
        <v>284.99846530471081</v>
      </c>
      <c r="CU45">
        <v>281.59582667085107</v>
      </c>
      <c r="CV45">
        <v>61.595826670851068</v>
      </c>
      <c r="CW45">
        <v>59.222012022032828</v>
      </c>
    </row>
    <row r="46" spans="5:101" x14ac:dyDescent="0.2">
      <c r="E46">
        <v>222.13</v>
      </c>
      <c r="F46">
        <v>227.86114076688162</v>
      </c>
      <c r="G46">
        <v>219.32374689965036</v>
      </c>
      <c r="H46">
        <v>212.17947430293034</v>
      </c>
      <c r="I46">
        <v>214.49994888517662</v>
      </c>
      <c r="J46">
        <v>217.2749444885757</v>
      </c>
      <c r="K46">
        <v>213.70885362601888</v>
      </c>
      <c r="L46">
        <v>199.56762456383365</v>
      </c>
      <c r="M46">
        <v>200.72700766470143</v>
      </c>
      <c r="N46">
        <v>207.3939171419027</v>
      </c>
      <c r="O46">
        <v>201.75050238536434</v>
      </c>
      <c r="P46">
        <v>198.30355540627215</v>
      </c>
      <c r="Q46">
        <v>196.81687798767152</v>
      </c>
      <c r="R46">
        <v>196.65785092206229</v>
      </c>
      <c r="S46">
        <v>198.70950498717048</v>
      </c>
      <c r="T46">
        <v>197.88931510305429</v>
      </c>
      <c r="U46">
        <v>192.38143891346715</v>
      </c>
      <c r="V46">
        <v>183.50700108760634</v>
      </c>
      <c r="W46">
        <v>185.23296095587901</v>
      </c>
      <c r="X46">
        <v>179.43524045886147</v>
      </c>
      <c r="Y46">
        <v>177.98476554583959</v>
      </c>
      <c r="Z46">
        <v>181.93809003846761</v>
      </c>
      <c r="AA46">
        <v>183.27220588409304</v>
      </c>
      <c r="AB46">
        <v>182.22537140855752</v>
      </c>
      <c r="AC46">
        <v>180.7109388707083</v>
      </c>
      <c r="AD46">
        <v>181.92793201653367</v>
      </c>
      <c r="AE46">
        <v>183.77021502142867</v>
      </c>
      <c r="AF46">
        <v>187.42027321840641</v>
      </c>
      <c r="AG46">
        <v>187.599630279058</v>
      </c>
      <c r="AH46">
        <v>187.38111867215278</v>
      </c>
      <c r="AI46">
        <v>180.31923326806111</v>
      </c>
      <c r="AJ46">
        <v>175.83022006534392</v>
      </c>
      <c r="AK46">
        <v>179.9793787376455</v>
      </c>
      <c r="AL46">
        <v>183.00960737100209</v>
      </c>
      <c r="AM46">
        <v>186.22368539404994</v>
      </c>
      <c r="AN46">
        <v>188.14753399543997</v>
      </c>
      <c r="AO46">
        <v>184.95984586379339</v>
      </c>
      <c r="AP46">
        <v>183.28283541937853</v>
      </c>
      <c r="AQ46">
        <v>184.28034512412904</v>
      </c>
      <c r="AR46">
        <v>179.67331862373638</v>
      </c>
      <c r="AS46">
        <v>186.03251375580587</v>
      </c>
      <c r="AT46">
        <v>181.48271943151218</v>
      </c>
      <c r="AU46">
        <v>183.17379448989163</v>
      </c>
      <c r="AV46">
        <v>182.61047299278576</v>
      </c>
      <c r="AW46">
        <v>180.14683724087769</v>
      </c>
      <c r="AX46">
        <v>184.33438052025056</v>
      </c>
      <c r="AY46">
        <v>185.31492834170419</v>
      </c>
      <c r="AZ46">
        <v>187.10925793034929</v>
      </c>
      <c r="BA46">
        <v>191.47321229602352</v>
      </c>
      <c r="BB46">
        <v>189.1113269134263</v>
      </c>
      <c r="BC46">
        <v>185.78233368226142</v>
      </c>
      <c r="BD46">
        <v>183.57011431666504</v>
      </c>
      <c r="BE46">
        <v>174.95062741113927</v>
      </c>
      <c r="BF46">
        <v>172.41151718296319</v>
      </c>
      <c r="BG46">
        <v>181.39565922792457</v>
      </c>
      <c r="BH46">
        <v>179.66228038299337</v>
      </c>
      <c r="BI46">
        <v>172.00955523278361</v>
      </c>
      <c r="BJ46">
        <v>177.07790418644061</v>
      </c>
      <c r="BK46">
        <v>177.54069349886677</v>
      </c>
      <c r="BL46">
        <v>177.17562177500943</v>
      </c>
      <c r="BM46">
        <v>176.4525877478346</v>
      </c>
      <c r="BN46">
        <v>182.17940471752476</v>
      </c>
      <c r="BO46">
        <v>189.3377976683052</v>
      </c>
      <c r="BP46">
        <v>191.47918795213243</v>
      </c>
      <c r="BQ46">
        <v>197.54761630151904</v>
      </c>
      <c r="BR46">
        <v>201.79988813249582</v>
      </c>
      <c r="BS46">
        <v>198.61029760536834</v>
      </c>
      <c r="BT46">
        <v>196.15440581374722</v>
      </c>
      <c r="BU46">
        <v>200.1315454252491</v>
      </c>
      <c r="BV46">
        <v>204.60445871581314</v>
      </c>
      <c r="BW46">
        <v>209.51423311531715</v>
      </c>
      <c r="BX46">
        <v>214.18341538024498</v>
      </c>
      <c r="BY46">
        <v>200.9027626495955</v>
      </c>
      <c r="BZ46">
        <v>203.4532598229267</v>
      </c>
      <c r="CA46">
        <v>201.17076953000901</v>
      </c>
      <c r="CB46">
        <v>203.8565512870025</v>
      </c>
      <c r="CC46">
        <v>208.29813873379979</v>
      </c>
      <c r="CD46">
        <v>204.60714401698721</v>
      </c>
      <c r="CE46">
        <v>197.91017424017517</v>
      </c>
      <c r="CF46">
        <v>201.07141770643133</v>
      </c>
      <c r="CG46">
        <v>200.13272790079202</v>
      </c>
      <c r="CH46">
        <v>204.29860072871853</v>
      </c>
      <c r="CI46">
        <v>215.65018040886579</v>
      </c>
      <c r="CJ46">
        <v>210.68320398740522</v>
      </c>
      <c r="CK46">
        <v>210.3186056802663</v>
      </c>
      <c r="CL46">
        <v>202.26095782673588</v>
      </c>
      <c r="CM46">
        <v>205.81646431521702</v>
      </c>
      <c r="CN46">
        <v>198.78751110275684</v>
      </c>
      <c r="CO46">
        <v>194.56990197675492</v>
      </c>
      <c r="CP46">
        <v>198.35251796908813</v>
      </c>
      <c r="CQ46">
        <v>192.49628023441821</v>
      </c>
      <c r="CR46">
        <v>194.4761022453298</v>
      </c>
      <c r="CS46">
        <v>191.86319148785353</v>
      </c>
      <c r="CT46">
        <v>195.41164475501361</v>
      </c>
      <c r="CU46">
        <v>194.21280700789083</v>
      </c>
      <c r="CV46">
        <v>0</v>
      </c>
      <c r="CW46">
        <v>0</v>
      </c>
    </row>
    <row r="47" spans="5:101" x14ac:dyDescent="0.2">
      <c r="E47">
        <v>222.13</v>
      </c>
      <c r="F47">
        <v>215.62075845009366</v>
      </c>
      <c r="G47">
        <v>219.30102263376776</v>
      </c>
      <c r="H47">
        <v>216.37360426714469</v>
      </c>
      <c r="I47">
        <v>215.89475698619918</v>
      </c>
      <c r="J47">
        <v>212.48486129794338</v>
      </c>
      <c r="K47">
        <v>223.17510941493683</v>
      </c>
      <c r="L47">
        <v>214.62229289660118</v>
      </c>
      <c r="M47">
        <v>217.60216261771902</v>
      </c>
      <c r="N47">
        <v>222.77054954093572</v>
      </c>
      <c r="O47">
        <v>216.27883551722172</v>
      </c>
      <c r="P47">
        <v>222.6650981339798</v>
      </c>
      <c r="Q47">
        <v>219.2486631553636</v>
      </c>
      <c r="R47">
        <v>214.39627258226884</v>
      </c>
      <c r="S47">
        <v>221.330536794181</v>
      </c>
      <c r="T47">
        <v>222.46572004312335</v>
      </c>
      <c r="U47">
        <v>225.1784057010554</v>
      </c>
      <c r="V47">
        <v>227.85323607439588</v>
      </c>
      <c r="W47">
        <v>227.85877192335661</v>
      </c>
      <c r="X47">
        <v>232.60376931835327</v>
      </c>
      <c r="Y47">
        <v>226.70896564823346</v>
      </c>
      <c r="Z47">
        <v>236.41408411852177</v>
      </c>
      <c r="AA47">
        <v>238.51259103364143</v>
      </c>
      <c r="AB47">
        <v>240.33078312983747</v>
      </c>
      <c r="AC47">
        <v>244.21148250617671</v>
      </c>
      <c r="AD47">
        <v>237.79975632112362</v>
      </c>
      <c r="AE47">
        <v>251.18349665623793</v>
      </c>
      <c r="AF47">
        <v>256.47339568763249</v>
      </c>
      <c r="AG47">
        <v>259.06404521068845</v>
      </c>
      <c r="AH47">
        <v>263.26434293237213</v>
      </c>
      <c r="AI47">
        <v>258.38610547194486</v>
      </c>
      <c r="AJ47">
        <v>258.40157462993437</v>
      </c>
      <c r="AK47">
        <v>274.25540322518719</v>
      </c>
      <c r="AL47">
        <v>263.76077970223037</v>
      </c>
      <c r="AM47">
        <v>255.93849924201473</v>
      </c>
      <c r="AN47">
        <v>249.12010784091382</v>
      </c>
      <c r="AO47">
        <v>254.58433778920079</v>
      </c>
      <c r="AP47">
        <v>249.10294868533302</v>
      </c>
      <c r="AQ47">
        <v>255.62607882137013</v>
      </c>
      <c r="AR47">
        <v>260.45830031648171</v>
      </c>
      <c r="AS47">
        <v>268.48345775397695</v>
      </c>
      <c r="AT47">
        <v>261.99169044919921</v>
      </c>
      <c r="AU47">
        <v>273.96767256796181</v>
      </c>
      <c r="AV47">
        <v>267.89276669338898</v>
      </c>
      <c r="AW47">
        <v>264.76015433028221</v>
      </c>
      <c r="AX47">
        <v>259.35850684146027</v>
      </c>
      <c r="AY47">
        <v>267.34380037417128</v>
      </c>
      <c r="AZ47">
        <v>273.776576851556</v>
      </c>
      <c r="BA47">
        <v>266.89218173212618</v>
      </c>
      <c r="BB47">
        <v>264.1828049328098</v>
      </c>
      <c r="BC47">
        <v>256.98219221506514</v>
      </c>
      <c r="BD47">
        <v>250.97248142454808</v>
      </c>
      <c r="BE47">
        <v>248.95414195735538</v>
      </c>
      <c r="BF47">
        <v>250.37723225181153</v>
      </c>
      <c r="BG47">
        <v>247.99840735585806</v>
      </c>
      <c r="BH47">
        <v>245.04802521527756</v>
      </c>
      <c r="BI47">
        <v>246.37716919778066</v>
      </c>
      <c r="BJ47">
        <v>244.52923875892392</v>
      </c>
      <c r="BK47">
        <v>233.57630993264769</v>
      </c>
      <c r="BL47">
        <v>232.6594254949751</v>
      </c>
      <c r="BM47">
        <v>236.28000363049583</v>
      </c>
      <c r="BN47">
        <v>231.64625415884032</v>
      </c>
      <c r="BO47">
        <v>235.51416133281475</v>
      </c>
      <c r="BP47">
        <v>235.81082961641894</v>
      </c>
      <c r="BQ47">
        <v>239.00328558352828</v>
      </c>
      <c r="BR47">
        <v>229.5278554912864</v>
      </c>
      <c r="BS47">
        <v>236.53127839341542</v>
      </c>
      <c r="BT47">
        <v>232.26646267458881</v>
      </c>
      <c r="BU47">
        <v>224.3450688877422</v>
      </c>
      <c r="BV47">
        <v>220.57988531229896</v>
      </c>
      <c r="BW47">
        <v>229.68044482761579</v>
      </c>
      <c r="BX47">
        <v>238.5118563196126</v>
      </c>
      <c r="BY47">
        <v>233.47688153456875</v>
      </c>
      <c r="BZ47">
        <v>229.29715731360758</v>
      </c>
      <c r="CA47">
        <v>230.66127764608839</v>
      </c>
      <c r="CB47">
        <v>234.77747918211784</v>
      </c>
      <c r="CC47">
        <v>233.61657497130645</v>
      </c>
      <c r="CD47">
        <v>231.78891751307469</v>
      </c>
      <c r="CE47">
        <v>236.02422781104167</v>
      </c>
      <c r="CF47">
        <v>229.23442489758546</v>
      </c>
      <c r="CG47">
        <v>235.99587597359945</v>
      </c>
      <c r="CH47">
        <v>233.50881798686513</v>
      </c>
      <c r="CI47">
        <v>230.1836333740637</v>
      </c>
      <c r="CJ47">
        <v>232.13407677270652</v>
      </c>
      <c r="CK47">
        <v>222.07979425072938</v>
      </c>
      <c r="CL47">
        <v>213.33390458606939</v>
      </c>
      <c r="CM47">
        <v>223.06380805402827</v>
      </c>
      <c r="CN47">
        <v>223.57888386813778</v>
      </c>
      <c r="CO47">
        <v>223.41672093695539</v>
      </c>
      <c r="CP47">
        <v>222.42531139172766</v>
      </c>
      <c r="CQ47">
        <v>227.61131148105636</v>
      </c>
      <c r="CR47">
        <v>231.53477558677056</v>
      </c>
      <c r="CS47">
        <v>235.28265417166136</v>
      </c>
      <c r="CT47">
        <v>228.80197250925318</v>
      </c>
      <c r="CU47">
        <v>228.17877025782408</v>
      </c>
      <c r="CV47">
        <v>8.178770257824084</v>
      </c>
      <c r="CW47">
        <v>7.8635722046980359</v>
      </c>
    </row>
    <row r="48" spans="5:101" x14ac:dyDescent="0.2">
      <c r="E48">
        <v>222.13</v>
      </c>
      <c r="F48">
        <v>218.05350118490219</v>
      </c>
      <c r="G48">
        <v>227.75861277762169</v>
      </c>
      <c r="H48">
        <v>223.92774461971425</v>
      </c>
      <c r="I48">
        <v>226.51608454254682</v>
      </c>
      <c r="J48">
        <v>230.52433055966765</v>
      </c>
      <c r="K48">
        <v>233.29874500332431</v>
      </c>
      <c r="L48">
        <v>235.31333012129926</v>
      </c>
      <c r="M48">
        <v>239.32954396863008</v>
      </c>
      <c r="N48">
        <v>250.77420271373677</v>
      </c>
      <c r="O48">
        <v>252.47488226758307</v>
      </c>
      <c r="P48">
        <v>248.57757562823227</v>
      </c>
      <c r="Q48">
        <v>252.94492214043564</v>
      </c>
      <c r="R48">
        <v>263.1390943153433</v>
      </c>
      <c r="S48">
        <v>258.26517069244744</v>
      </c>
      <c r="T48">
        <v>258.95801728071638</v>
      </c>
      <c r="U48">
        <v>254.81537854206209</v>
      </c>
      <c r="V48">
        <v>258.93138139523631</v>
      </c>
      <c r="W48">
        <v>257.07438099469886</v>
      </c>
      <c r="X48">
        <v>265.63761407988198</v>
      </c>
      <c r="Y48">
        <v>253.14944075281514</v>
      </c>
      <c r="Z48">
        <v>260.03006573117443</v>
      </c>
      <c r="AA48">
        <v>265.88911096542063</v>
      </c>
      <c r="AB48">
        <v>270.5109563956218</v>
      </c>
      <c r="AC48">
        <v>275.39329842965225</v>
      </c>
      <c r="AD48">
        <v>269.91263878260469</v>
      </c>
      <c r="AE48">
        <v>256.98255941351943</v>
      </c>
      <c r="AF48">
        <v>257.31233158178884</v>
      </c>
      <c r="AG48">
        <v>261.17260309228868</v>
      </c>
      <c r="AH48">
        <v>261.70153344465848</v>
      </c>
      <c r="AI48">
        <v>261.33991005904556</v>
      </c>
      <c r="AJ48">
        <v>263.69081921218105</v>
      </c>
      <c r="AK48">
        <v>270.17860529955044</v>
      </c>
      <c r="AL48">
        <v>282.10330149525117</v>
      </c>
      <c r="AM48">
        <v>293.57768352855231</v>
      </c>
      <c r="AN48">
        <v>296.42333291669075</v>
      </c>
      <c r="AO48">
        <v>300.8424079886056</v>
      </c>
      <c r="AP48">
        <v>292.59726731439724</v>
      </c>
      <c r="AQ48">
        <v>289.44951942794415</v>
      </c>
      <c r="AR48">
        <v>289.40032727846409</v>
      </c>
      <c r="AS48">
        <v>292.13406591071833</v>
      </c>
      <c r="AT48">
        <v>287.26629613223832</v>
      </c>
      <c r="AU48">
        <v>295.34734345717902</v>
      </c>
      <c r="AV48">
        <v>301.65856162594059</v>
      </c>
      <c r="AW48">
        <v>302.47039492488881</v>
      </c>
      <c r="AX48">
        <v>306.49603916306251</v>
      </c>
      <c r="AY48">
        <v>298.36863279671564</v>
      </c>
      <c r="AZ48">
        <v>299.32220570228225</v>
      </c>
      <c r="BA48">
        <v>288.93752415260423</v>
      </c>
      <c r="BB48">
        <v>283.02677391117271</v>
      </c>
      <c r="BC48">
        <v>279.14122982783567</v>
      </c>
      <c r="BD48">
        <v>280.57840010001354</v>
      </c>
      <c r="BE48">
        <v>294.14822805878327</v>
      </c>
      <c r="BF48">
        <v>294.20959048142589</v>
      </c>
      <c r="BG48">
        <v>294.07223608817213</v>
      </c>
      <c r="BH48">
        <v>287.99452202593272</v>
      </c>
      <c r="BI48">
        <v>293.38795813470398</v>
      </c>
      <c r="BJ48">
        <v>295.42069205750795</v>
      </c>
      <c r="BK48">
        <v>283.24293345458779</v>
      </c>
      <c r="BL48">
        <v>285.17316804115899</v>
      </c>
      <c r="BM48">
        <v>277.98027159096256</v>
      </c>
      <c r="BN48">
        <v>279.06911115849891</v>
      </c>
      <c r="BO48">
        <v>282.46735554832981</v>
      </c>
      <c r="BP48">
        <v>282.68140875668416</v>
      </c>
      <c r="BQ48">
        <v>276.00139679004053</v>
      </c>
      <c r="BR48">
        <v>274.40474490495581</v>
      </c>
      <c r="BS48">
        <v>268.36394691566215</v>
      </c>
      <c r="BT48">
        <v>274.29172116821263</v>
      </c>
      <c r="BU48">
        <v>269.64364254685108</v>
      </c>
      <c r="BV48">
        <v>280.80685635264052</v>
      </c>
      <c r="BW48">
        <v>264.8650955085613</v>
      </c>
      <c r="BX48">
        <v>267.0668483364023</v>
      </c>
      <c r="BY48">
        <v>263.75259073131258</v>
      </c>
      <c r="BZ48">
        <v>264.38894865024679</v>
      </c>
      <c r="CA48">
        <v>267.11147831485442</v>
      </c>
      <c r="CB48">
        <v>270.78987007278749</v>
      </c>
      <c r="CC48">
        <v>272.58996137278831</v>
      </c>
      <c r="CD48">
        <v>262.89944497380435</v>
      </c>
      <c r="CE48">
        <v>267.69865290059982</v>
      </c>
      <c r="CF48">
        <v>270.36404219392642</v>
      </c>
      <c r="CG48">
        <v>270.72360032908711</v>
      </c>
      <c r="CH48">
        <v>268.56773761673048</v>
      </c>
      <c r="CI48">
        <v>266.92486242270405</v>
      </c>
      <c r="CJ48">
        <v>265.26260289339473</v>
      </c>
      <c r="CK48">
        <v>263.11558303144949</v>
      </c>
      <c r="CL48">
        <v>261.95030279377761</v>
      </c>
      <c r="CM48">
        <v>260.10026336379474</v>
      </c>
      <c r="CN48">
        <v>273.32230095699617</v>
      </c>
      <c r="CO48">
        <v>281.85889487641077</v>
      </c>
      <c r="CP48">
        <v>284.868027785702</v>
      </c>
      <c r="CQ48">
        <v>284.60405797372795</v>
      </c>
      <c r="CR48">
        <v>285.1996975891816</v>
      </c>
      <c r="CS48">
        <v>276.11340970716873</v>
      </c>
      <c r="CT48">
        <v>282.39425320906577</v>
      </c>
      <c r="CU48">
        <v>282.33759049376681</v>
      </c>
      <c r="CV48">
        <v>62.337590493766811</v>
      </c>
      <c r="CW48">
        <v>59.9351893331024</v>
      </c>
    </row>
    <row r="49" spans="5:101" x14ac:dyDescent="0.2">
      <c r="E49">
        <v>222.13</v>
      </c>
      <c r="F49">
        <v>222.80078293182052</v>
      </c>
      <c r="G49">
        <v>225.52825875169984</v>
      </c>
      <c r="H49">
        <v>224.0848295653976</v>
      </c>
      <c r="I49">
        <v>225.42486052881867</v>
      </c>
      <c r="J49">
        <v>230.31275848002178</v>
      </c>
      <c r="K49">
        <v>229.63032783461352</v>
      </c>
      <c r="L49">
        <v>235.35267860131944</v>
      </c>
      <c r="M49">
        <v>240.82806307323202</v>
      </c>
      <c r="N49">
        <v>237.63365559379386</v>
      </c>
      <c r="O49">
        <v>240.48820927460019</v>
      </c>
      <c r="P49">
        <v>249.06077456778047</v>
      </c>
      <c r="Q49">
        <v>267.06782884987967</v>
      </c>
      <c r="R49">
        <v>266.91454805233121</v>
      </c>
      <c r="S49">
        <v>267.61583939280831</v>
      </c>
      <c r="T49">
        <v>256.31015135079434</v>
      </c>
      <c r="U49">
        <v>263.58185570897626</v>
      </c>
      <c r="V49">
        <v>265.49399498555766</v>
      </c>
      <c r="W49">
        <v>266.44786951765371</v>
      </c>
      <c r="X49">
        <v>254.97411441525389</v>
      </c>
      <c r="Y49">
        <v>250.03668445699932</v>
      </c>
      <c r="Z49">
        <v>262.42078921346319</v>
      </c>
      <c r="AA49">
        <v>268.50431358038713</v>
      </c>
      <c r="AB49">
        <v>263.19846304565272</v>
      </c>
      <c r="AC49">
        <v>259.61110451958177</v>
      </c>
      <c r="AD49">
        <v>259.28968167663044</v>
      </c>
      <c r="AE49">
        <v>259.33806030215612</v>
      </c>
      <c r="AF49">
        <v>267.80727174789655</v>
      </c>
      <c r="AG49">
        <v>262.19922469766141</v>
      </c>
      <c r="AH49">
        <v>264.28890903128041</v>
      </c>
      <c r="AI49">
        <v>274.79535032579673</v>
      </c>
      <c r="AJ49">
        <v>269.72506869735105</v>
      </c>
      <c r="AK49">
        <v>264.49762479025225</v>
      </c>
      <c r="AL49">
        <v>269.32427448497782</v>
      </c>
      <c r="AM49">
        <v>267.64450136137242</v>
      </c>
      <c r="AN49">
        <v>266.65186633723192</v>
      </c>
      <c r="AO49">
        <v>266.59740415982736</v>
      </c>
      <c r="AP49">
        <v>266.30860873184565</v>
      </c>
      <c r="AQ49">
        <v>263.23312711150788</v>
      </c>
      <c r="AR49">
        <v>256.28414285060745</v>
      </c>
      <c r="AS49">
        <v>254.96809731334926</v>
      </c>
      <c r="AT49">
        <v>249.79663162931007</v>
      </c>
      <c r="AU49">
        <v>248.44737579899805</v>
      </c>
      <c r="AV49">
        <v>254.71153229428361</v>
      </c>
      <c r="AW49">
        <v>249.69062782068286</v>
      </c>
      <c r="AX49">
        <v>252.87219742323418</v>
      </c>
      <c r="AY49">
        <v>250.08729541567527</v>
      </c>
      <c r="AZ49">
        <v>243.74600138185184</v>
      </c>
      <c r="BA49">
        <v>233.64802043975041</v>
      </c>
      <c r="BB49">
        <v>230.31731035949275</v>
      </c>
      <c r="BC49">
        <v>231.34262969800309</v>
      </c>
      <c r="BD49">
        <v>239.23589018078252</v>
      </c>
      <c r="BE49">
        <v>228.41281128499281</v>
      </c>
      <c r="BF49">
        <v>229.90669779674593</v>
      </c>
      <c r="BG49">
        <v>221.23136979445169</v>
      </c>
      <c r="BH49">
        <v>222.22257055649726</v>
      </c>
      <c r="BI49">
        <v>217.48382406053727</v>
      </c>
      <c r="BJ49">
        <v>219.139333167015</v>
      </c>
      <c r="BK49">
        <v>218.27226608980553</v>
      </c>
      <c r="BL49">
        <v>225.23127430020631</v>
      </c>
      <c r="BM49">
        <v>212.77259028856088</v>
      </c>
      <c r="BN49">
        <v>209.76842986164488</v>
      </c>
      <c r="BO49">
        <v>209.88063596872757</v>
      </c>
      <c r="BP49">
        <v>208.66918070363761</v>
      </c>
      <c r="BQ49">
        <v>214.21135925658456</v>
      </c>
      <c r="BR49">
        <v>213.17326713270262</v>
      </c>
      <c r="BS49">
        <v>218.16122191156779</v>
      </c>
      <c r="BT49">
        <v>221.87801119588255</v>
      </c>
      <c r="BU49">
        <v>222.56895427294819</v>
      </c>
      <c r="BV49">
        <v>223.70087638338248</v>
      </c>
      <c r="BW49">
        <v>224.07481952210154</v>
      </c>
      <c r="BX49">
        <v>224.42620989950413</v>
      </c>
      <c r="BY49">
        <v>227.39081852317892</v>
      </c>
      <c r="BZ49">
        <v>217.90038188036718</v>
      </c>
      <c r="CA49">
        <v>234.73999719931783</v>
      </c>
      <c r="CB49">
        <v>235.53286052669267</v>
      </c>
      <c r="CC49">
        <v>233.60274567714936</v>
      </c>
      <c r="CD49">
        <v>232.29336059881302</v>
      </c>
      <c r="CE49">
        <v>239.04721917140003</v>
      </c>
      <c r="CF49">
        <v>229.79810873458328</v>
      </c>
      <c r="CG49">
        <v>231.60062827079193</v>
      </c>
      <c r="CH49">
        <v>224.40220194757342</v>
      </c>
      <c r="CI49">
        <v>215.61432896751728</v>
      </c>
      <c r="CJ49">
        <v>213.32795435156666</v>
      </c>
      <c r="CK49">
        <v>220.16008413738135</v>
      </c>
      <c r="CL49">
        <v>224.72847208644063</v>
      </c>
      <c r="CM49">
        <v>226.40618816800256</v>
      </c>
      <c r="CN49">
        <v>220.68127898046833</v>
      </c>
      <c r="CO49">
        <v>220.12669232383092</v>
      </c>
      <c r="CP49">
        <v>226.38280367800002</v>
      </c>
      <c r="CQ49">
        <v>225.98617941060303</v>
      </c>
      <c r="CR49">
        <v>223.62623243990782</v>
      </c>
      <c r="CS49">
        <v>227.56362951129037</v>
      </c>
      <c r="CT49">
        <v>234.76003155028238</v>
      </c>
      <c r="CU49">
        <v>239.76661201978669</v>
      </c>
      <c r="CV49">
        <v>19.766612019786692</v>
      </c>
      <c r="CW49">
        <v>19.004835196483153</v>
      </c>
    </row>
    <row r="50" spans="5:101" x14ac:dyDescent="0.2">
      <c r="E50">
        <v>222.13</v>
      </c>
      <c r="F50">
        <v>227.82118951684413</v>
      </c>
      <c r="G50">
        <v>225.88860964394172</v>
      </c>
      <c r="H50">
        <v>222.23870768331355</v>
      </c>
      <c r="I50">
        <v>222.34712855062656</v>
      </c>
      <c r="J50">
        <v>226.29276036637461</v>
      </c>
      <c r="K50">
        <v>221.43604818818261</v>
      </c>
      <c r="L50">
        <v>222.55103428690123</v>
      </c>
      <c r="M50">
        <v>222.53966440410071</v>
      </c>
      <c r="N50">
        <v>216.73935417611841</v>
      </c>
      <c r="O50">
        <v>215.29821222254037</v>
      </c>
      <c r="P50">
        <v>215.75599982521101</v>
      </c>
      <c r="Q50">
        <v>208.24439333981744</v>
      </c>
      <c r="R50">
        <v>204.06606586519436</v>
      </c>
      <c r="S50">
        <v>204.9231835000061</v>
      </c>
      <c r="T50">
        <v>195.24506530874831</v>
      </c>
      <c r="U50">
        <v>193.14133142248994</v>
      </c>
      <c r="V50">
        <v>191.903867881542</v>
      </c>
      <c r="W50">
        <v>194.82899863721258</v>
      </c>
      <c r="X50">
        <v>192.18255191664332</v>
      </c>
      <c r="Y50">
        <v>194.90042087542545</v>
      </c>
      <c r="Z50">
        <v>190.00084099524642</v>
      </c>
      <c r="AA50">
        <v>185.62826968092543</v>
      </c>
      <c r="AB50">
        <v>191.17207580747504</v>
      </c>
      <c r="AC50">
        <v>189.56923107701289</v>
      </c>
      <c r="AD50">
        <v>192.24642392859226</v>
      </c>
      <c r="AE50">
        <v>191.90453251705088</v>
      </c>
      <c r="AF50">
        <v>186.35367987177597</v>
      </c>
      <c r="AG50">
        <v>188.08067440742522</v>
      </c>
      <c r="AH50">
        <v>183.88486033912491</v>
      </c>
      <c r="AI50">
        <v>190.18932564418884</v>
      </c>
      <c r="AJ50">
        <v>186.90187751607925</v>
      </c>
      <c r="AK50">
        <v>186.48781842100868</v>
      </c>
      <c r="AL50">
        <v>194.24108616884948</v>
      </c>
      <c r="AM50">
        <v>192.22700265625573</v>
      </c>
      <c r="AN50">
        <v>189.11427539554111</v>
      </c>
      <c r="AO50">
        <v>187.7281495635095</v>
      </c>
      <c r="AP50">
        <v>190.69953050750067</v>
      </c>
      <c r="AQ50">
        <v>184.20832195660967</v>
      </c>
      <c r="AR50">
        <v>184.56394773800582</v>
      </c>
      <c r="AS50">
        <v>190.32038565376706</v>
      </c>
      <c r="AT50">
        <v>182.10991010917223</v>
      </c>
      <c r="AU50">
        <v>179.21251434328914</v>
      </c>
      <c r="AV50">
        <v>181.14779881341093</v>
      </c>
      <c r="AW50">
        <v>180.03540448295684</v>
      </c>
      <c r="AX50">
        <v>185.33914790678438</v>
      </c>
      <c r="AY50">
        <v>178.44551708436396</v>
      </c>
      <c r="AZ50">
        <v>177.61141017130689</v>
      </c>
      <c r="BA50">
        <v>172.04044864092495</v>
      </c>
      <c r="BB50">
        <v>172.77287993738477</v>
      </c>
      <c r="BC50">
        <v>172.84765681195861</v>
      </c>
      <c r="BD50">
        <v>166.39420886967972</v>
      </c>
      <c r="BE50">
        <v>170.14451910343706</v>
      </c>
      <c r="BF50">
        <v>174.21597334053905</v>
      </c>
      <c r="BG50">
        <v>176.04535704804906</v>
      </c>
      <c r="BH50">
        <v>177.28688023284971</v>
      </c>
      <c r="BI50">
        <v>173.56524829865108</v>
      </c>
      <c r="BJ50">
        <v>166.96119195127596</v>
      </c>
      <c r="BK50">
        <v>162.20205501570976</v>
      </c>
      <c r="BL50">
        <v>165.3026935079852</v>
      </c>
      <c r="BM50">
        <v>171.06757197889252</v>
      </c>
      <c r="BN50">
        <v>173.58989151029456</v>
      </c>
      <c r="BO50">
        <v>175.30802907528846</v>
      </c>
      <c r="BP50">
        <v>175.81927355176555</v>
      </c>
      <c r="BQ50">
        <v>177.60898884848802</v>
      </c>
      <c r="BR50">
        <v>176.58316292924826</v>
      </c>
      <c r="BS50">
        <v>183.96504114066585</v>
      </c>
      <c r="BT50">
        <v>185.19407421663053</v>
      </c>
      <c r="BU50">
        <v>187.9118472338462</v>
      </c>
      <c r="BV50">
        <v>193.4855974682481</v>
      </c>
      <c r="BW50">
        <v>200.32536708024594</v>
      </c>
      <c r="BX50">
        <v>198.45237217149182</v>
      </c>
      <c r="BY50">
        <v>198.97565296270204</v>
      </c>
      <c r="BZ50">
        <v>201.33564462881387</v>
      </c>
      <c r="CA50">
        <v>205.42206506264782</v>
      </c>
      <c r="CB50">
        <v>203.91707518127581</v>
      </c>
      <c r="CC50">
        <v>205.10328896210922</v>
      </c>
      <c r="CD50">
        <v>195.5417412465786</v>
      </c>
      <c r="CE50">
        <v>200.76320665591263</v>
      </c>
      <c r="CF50">
        <v>205.09633664563228</v>
      </c>
      <c r="CG50">
        <v>200.30784640890403</v>
      </c>
      <c r="CH50">
        <v>206.08874365444561</v>
      </c>
      <c r="CI50">
        <v>205.79416337357429</v>
      </c>
      <c r="CJ50">
        <v>202.02505244103125</v>
      </c>
      <c r="CK50">
        <v>198.74135693789796</v>
      </c>
      <c r="CL50">
        <v>196.50977421763164</v>
      </c>
      <c r="CM50">
        <v>196.41606705780191</v>
      </c>
      <c r="CN50">
        <v>187.49888285851347</v>
      </c>
      <c r="CO50">
        <v>184.74188869201961</v>
      </c>
      <c r="CP50">
        <v>191.85105636808345</v>
      </c>
      <c r="CQ50">
        <v>183.59362678441727</v>
      </c>
      <c r="CR50">
        <v>184.97562676107577</v>
      </c>
      <c r="CS50">
        <v>180.8834943268044</v>
      </c>
      <c r="CT50">
        <v>178.40860115312276</v>
      </c>
      <c r="CU50">
        <v>168.62837611799409</v>
      </c>
      <c r="CV50">
        <v>0</v>
      </c>
      <c r="CW50">
        <v>0</v>
      </c>
    </row>
    <row r="51" spans="5:101" x14ac:dyDescent="0.2">
      <c r="E51">
        <v>222.13</v>
      </c>
      <c r="F51">
        <v>223.80255821841499</v>
      </c>
      <c r="G51">
        <v>224.73341294203908</v>
      </c>
      <c r="H51">
        <v>230.98299807387107</v>
      </c>
      <c r="I51">
        <v>235.65879194841338</v>
      </c>
      <c r="J51">
        <v>229.92855862965166</v>
      </c>
      <c r="K51">
        <v>226.82787128581819</v>
      </c>
      <c r="L51">
        <v>222.34459074899104</v>
      </c>
      <c r="M51">
        <v>223.16058926731213</v>
      </c>
      <c r="N51">
        <v>218.09473502365742</v>
      </c>
      <c r="O51">
        <v>218.19139732372085</v>
      </c>
      <c r="P51">
        <v>228.47994316412871</v>
      </c>
      <c r="Q51">
        <v>228.23911335379228</v>
      </c>
      <c r="R51">
        <v>225.21038536192731</v>
      </c>
      <c r="S51">
        <v>216.44777977791247</v>
      </c>
      <c r="T51">
        <v>215.49511682777498</v>
      </c>
      <c r="U51">
        <v>213.55945705455701</v>
      </c>
      <c r="V51">
        <v>205.70428156446735</v>
      </c>
      <c r="W51">
        <v>200.86697144711104</v>
      </c>
      <c r="X51">
        <v>195.7014194521887</v>
      </c>
      <c r="Y51">
        <v>191.94570863231002</v>
      </c>
      <c r="Z51">
        <v>193.84142212293565</v>
      </c>
      <c r="AA51">
        <v>198.38147252469994</v>
      </c>
      <c r="AB51">
        <v>197.2942296075982</v>
      </c>
      <c r="AC51">
        <v>194.00591363481249</v>
      </c>
      <c r="AD51">
        <v>190.39292628899037</v>
      </c>
      <c r="AE51">
        <v>190.18233191160331</v>
      </c>
      <c r="AF51">
        <v>189.35675679313837</v>
      </c>
      <c r="AG51">
        <v>190.35106198247152</v>
      </c>
      <c r="AH51">
        <v>185.02571547424265</v>
      </c>
      <c r="AI51">
        <v>189.92746460915907</v>
      </c>
      <c r="AJ51">
        <v>194.48776854100217</v>
      </c>
      <c r="AK51">
        <v>190.65042536727771</v>
      </c>
      <c r="AL51">
        <v>189.29807045572682</v>
      </c>
      <c r="AM51">
        <v>194.75410133130839</v>
      </c>
      <c r="AN51">
        <v>189.06050195663832</v>
      </c>
      <c r="AO51">
        <v>198.14828276244705</v>
      </c>
      <c r="AP51">
        <v>196.60679153780151</v>
      </c>
      <c r="AQ51">
        <v>205.19724055301739</v>
      </c>
      <c r="AR51">
        <v>209.82202589129088</v>
      </c>
      <c r="AS51">
        <v>206.21162396227834</v>
      </c>
      <c r="AT51">
        <v>205.73123937672153</v>
      </c>
      <c r="AU51">
        <v>205.98904296575523</v>
      </c>
      <c r="AV51">
        <v>204.48748102921166</v>
      </c>
      <c r="AW51">
        <v>205.90401561490944</v>
      </c>
      <c r="AX51">
        <v>202.66229068478304</v>
      </c>
      <c r="AY51">
        <v>193.58969331032219</v>
      </c>
      <c r="AZ51">
        <v>192.99968231943862</v>
      </c>
      <c r="BA51">
        <v>199.03672893126432</v>
      </c>
      <c r="BB51">
        <v>196.50930691048683</v>
      </c>
      <c r="BC51">
        <v>196.82351382996646</v>
      </c>
      <c r="BD51">
        <v>199.75590535380351</v>
      </c>
      <c r="BE51">
        <v>207.65310919201218</v>
      </c>
      <c r="BF51">
        <v>210.53286850859436</v>
      </c>
      <c r="BG51">
        <v>213.95664880155763</v>
      </c>
      <c r="BH51">
        <v>209.81729439083875</v>
      </c>
      <c r="BI51">
        <v>216.12231724695889</v>
      </c>
      <c r="BJ51">
        <v>220.54821867159052</v>
      </c>
      <c r="BK51">
        <v>223.15263084370534</v>
      </c>
      <c r="BL51">
        <v>222.54815208357164</v>
      </c>
      <c r="BM51">
        <v>231.81505439267431</v>
      </c>
      <c r="BN51">
        <v>232.44490545716042</v>
      </c>
      <c r="BO51">
        <v>236.13477146466809</v>
      </c>
      <c r="BP51">
        <v>238.85611785368536</v>
      </c>
      <c r="BQ51">
        <v>233.43526220975872</v>
      </c>
      <c r="BR51">
        <v>233.71357338211479</v>
      </c>
      <c r="BS51">
        <v>232.19136059966357</v>
      </c>
      <c r="BT51">
        <v>228.05841914768297</v>
      </c>
      <c r="BU51">
        <v>220.34625986747847</v>
      </c>
      <c r="BV51">
        <v>216.72771251071777</v>
      </c>
      <c r="BW51">
        <v>220.68930402470531</v>
      </c>
      <c r="BX51">
        <v>225.01380515985383</v>
      </c>
      <c r="BY51">
        <v>228.74544950489863</v>
      </c>
      <c r="BZ51">
        <v>236.99581129779227</v>
      </c>
      <c r="CA51">
        <v>248.17781964302043</v>
      </c>
      <c r="CB51">
        <v>253.9011689267181</v>
      </c>
      <c r="CC51">
        <v>251.21680571452538</v>
      </c>
      <c r="CD51">
        <v>257.50069576241236</v>
      </c>
      <c r="CE51">
        <v>263.34197455476055</v>
      </c>
      <c r="CF51">
        <v>267.58005366743737</v>
      </c>
      <c r="CG51">
        <v>272.62633719808616</v>
      </c>
      <c r="CH51">
        <v>274.02993187564402</v>
      </c>
      <c r="CI51">
        <v>277.48890495758258</v>
      </c>
      <c r="CJ51">
        <v>274.00891874563672</v>
      </c>
      <c r="CK51">
        <v>278.36945044184358</v>
      </c>
      <c r="CL51">
        <v>283.22795727274251</v>
      </c>
      <c r="CM51">
        <v>289.65462383440115</v>
      </c>
      <c r="CN51">
        <v>279.70529153022051</v>
      </c>
      <c r="CO51">
        <v>286.23544717150099</v>
      </c>
      <c r="CP51">
        <v>282.35735915968422</v>
      </c>
      <c r="CQ51">
        <v>283.53429019765582</v>
      </c>
      <c r="CR51">
        <v>282.07581720165996</v>
      </c>
      <c r="CS51">
        <v>282.60860469622804</v>
      </c>
      <c r="CT51">
        <v>285.21829636663676</v>
      </c>
      <c r="CU51">
        <v>283.16468749251351</v>
      </c>
      <c r="CV51">
        <v>63.164687492513508</v>
      </c>
      <c r="CW51">
        <v>60.730411202027234</v>
      </c>
    </row>
    <row r="52" spans="5:101" x14ac:dyDescent="0.2">
      <c r="E52">
        <v>222.13</v>
      </c>
      <c r="F52">
        <v>220.58623643807266</v>
      </c>
      <c r="G52">
        <v>224.41299318379643</v>
      </c>
      <c r="H52">
        <v>225.24241946685422</v>
      </c>
      <c r="I52">
        <v>226.69816776304651</v>
      </c>
      <c r="J52">
        <v>224.63368222645553</v>
      </c>
      <c r="K52">
        <v>228.64737475559556</v>
      </c>
      <c r="L52">
        <v>228.33353080852604</v>
      </c>
      <c r="M52">
        <v>223.31880780987328</v>
      </c>
      <c r="N52">
        <v>219.68433498089769</v>
      </c>
      <c r="O52">
        <v>216.51617556945766</v>
      </c>
      <c r="P52">
        <v>217.15308385662772</v>
      </c>
      <c r="Q52">
        <v>222.55115680305499</v>
      </c>
      <c r="R52">
        <v>221.7831254911693</v>
      </c>
      <c r="S52">
        <v>227.43790222149141</v>
      </c>
      <c r="T52">
        <v>229.35980539969157</v>
      </c>
      <c r="U52">
        <v>227.23474028829364</v>
      </c>
      <c r="V52">
        <v>223.81217351910939</v>
      </c>
      <c r="W52">
        <v>213.3685322244109</v>
      </c>
      <c r="X52">
        <v>219.09845664452098</v>
      </c>
      <c r="Y52">
        <v>210.51076552830111</v>
      </c>
      <c r="Z52">
        <v>211.72063330468899</v>
      </c>
      <c r="AA52">
        <v>210.42998571809161</v>
      </c>
      <c r="AB52">
        <v>212.17115553506994</v>
      </c>
      <c r="AC52">
        <v>214.80254107971672</v>
      </c>
      <c r="AD52">
        <v>214.11371291151414</v>
      </c>
      <c r="AE52">
        <v>220.09810242238339</v>
      </c>
      <c r="AF52">
        <v>217.54844351152909</v>
      </c>
      <c r="AG52">
        <v>212.63238912387354</v>
      </c>
      <c r="AH52">
        <v>222.62274909202017</v>
      </c>
      <c r="AI52">
        <v>221.83354867779428</v>
      </c>
      <c r="AJ52">
        <v>223.46348897532093</v>
      </c>
      <c r="AK52">
        <v>215.10317854047327</v>
      </c>
      <c r="AL52">
        <v>214.80592940708721</v>
      </c>
      <c r="AM52">
        <v>212.76224287057298</v>
      </c>
      <c r="AN52">
        <v>211.49016966412714</v>
      </c>
      <c r="AO52">
        <v>198.13781566235721</v>
      </c>
      <c r="AP52">
        <v>191.52124660864391</v>
      </c>
      <c r="AQ52">
        <v>189.2250005866203</v>
      </c>
      <c r="AR52">
        <v>184.05967722119399</v>
      </c>
      <c r="AS52">
        <v>191.21947739296115</v>
      </c>
      <c r="AT52">
        <v>196.56579244347029</v>
      </c>
      <c r="AU52">
        <v>195.79588721504845</v>
      </c>
      <c r="AV52">
        <v>193.63836076886511</v>
      </c>
      <c r="AW52">
        <v>195.0377486766167</v>
      </c>
      <c r="AX52">
        <v>188.19715867462125</v>
      </c>
      <c r="AY52">
        <v>196.94272534734597</v>
      </c>
      <c r="AZ52">
        <v>195.18522321490352</v>
      </c>
      <c r="BA52">
        <v>193.69238662329573</v>
      </c>
      <c r="BB52">
        <v>193.27207581836171</v>
      </c>
      <c r="BC52">
        <v>187.56639734882754</v>
      </c>
      <c r="BD52">
        <v>187.57312421342758</v>
      </c>
      <c r="BE52">
        <v>188.61583303186691</v>
      </c>
      <c r="BF52">
        <v>189.16784458575111</v>
      </c>
      <c r="BG52">
        <v>195.29132725954597</v>
      </c>
      <c r="BH52">
        <v>189.489127354891</v>
      </c>
      <c r="BI52">
        <v>190.88113911086998</v>
      </c>
      <c r="BJ52">
        <v>193.83549506054777</v>
      </c>
      <c r="BK52">
        <v>188.20821686874305</v>
      </c>
      <c r="BL52">
        <v>193.08177371187003</v>
      </c>
      <c r="BM52">
        <v>194.53599052946123</v>
      </c>
      <c r="BN52">
        <v>196.27331789164188</v>
      </c>
      <c r="BO52">
        <v>195.06607120420441</v>
      </c>
      <c r="BP52">
        <v>188.68874761881989</v>
      </c>
      <c r="BQ52">
        <v>190.27088797879472</v>
      </c>
      <c r="BR52">
        <v>183.1401606102423</v>
      </c>
      <c r="BS52">
        <v>183.85307718995543</v>
      </c>
      <c r="BT52">
        <v>181.23398550864164</v>
      </c>
      <c r="BU52">
        <v>179.44327330416866</v>
      </c>
      <c r="BV52">
        <v>181.25542960078573</v>
      </c>
      <c r="BW52">
        <v>173.16482725391847</v>
      </c>
      <c r="BX52">
        <v>162.8351686064203</v>
      </c>
      <c r="BY52">
        <v>161.67772716022284</v>
      </c>
      <c r="BZ52">
        <v>158.75295361939121</v>
      </c>
      <c r="CA52">
        <v>160.27174297183109</v>
      </c>
      <c r="CB52">
        <v>154.75569686390349</v>
      </c>
      <c r="CC52">
        <v>156.38284518511026</v>
      </c>
      <c r="CD52">
        <v>158.56976890391132</v>
      </c>
      <c r="CE52">
        <v>161.2915108898095</v>
      </c>
      <c r="CF52">
        <v>159.41710605624877</v>
      </c>
      <c r="CG52">
        <v>157.88492784346849</v>
      </c>
      <c r="CH52">
        <v>160.01916765241654</v>
      </c>
      <c r="CI52">
        <v>156.65954352678182</v>
      </c>
      <c r="CJ52">
        <v>162.96033929298881</v>
      </c>
      <c r="CK52">
        <v>159.3219696447122</v>
      </c>
      <c r="CL52">
        <v>159.8592766951478</v>
      </c>
      <c r="CM52">
        <v>160.44288175634853</v>
      </c>
      <c r="CN52">
        <v>158.71946658582698</v>
      </c>
      <c r="CO52">
        <v>151.98722120916304</v>
      </c>
      <c r="CP52">
        <v>150.09461206841476</v>
      </c>
      <c r="CQ52">
        <v>146.90091618314565</v>
      </c>
      <c r="CR52">
        <v>151.16721248231056</v>
      </c>
      <c r="CS52">
        <v>154.80557741800754</v>
      </c>
      <c r="CT52">
        <v>153.8693135532337</v>
      </c>
      <c r="CU52">
        <v>147.56389399638425</v>
      </c>
      <c r="CV52">
        <v>0</v>
      </c>
      <c r="CW52">
        <v>0</v>
      </c>
    </row>
    <row r="53" spans="5:101" x14ac:dyDescent="0.2">
      <c r="E53">
        <v>222.13</v>
      </c>
      <c r="F53">
        <v>218.00695087830795</v>
      </c>
      <c r="G53">
        <v>208.62779821753446</v>
      </c>
      <c r="H53">
        <v>210.32595728736894</v>
      </c>
      <c r="I53">
        <v>206.93599330416623</v>
      </c>
      <c r="J53">
        <v>210.13956211105483</v>
      </c>
      <c r="K53">
        <v>211.66144142133101</v>
      </c>
      <c r="L53">
        <v>218.78026921305516</v>
      </c>
      <c r="M53">
        <v>216.94973044547893</v>
      </c>
      <c r="N53">
        <v>211.59042338185859</v>
      </c>
      <c r="O53">
        <v>209.39238573825844</v>
      </c>
      <c r="P53">
        <v>208.21228155412999</v>
      </c>
      <c r="Q53">
        <v>215.17084282517931</v>
      </c>
      <c r="R53">
        <v>214.79589862679785</v>
      </c>
      <c r="S53">
        <v>219.93395386202997</v>
      </c>
      <c r="T53">
        <v>217.17764204753996</v>
      </c>
      <c r="U53">
        <v>217.30080825742718</v>
      </c>
      <c r="V53">
        <v>213.11200667817482</v>
      </c>
      <c r="W53">
        <v>208.49668460200877</v>
      </c>
      <c r="X53">
        <v>215.73134128430885</v>
      </c>
      <c r="Y53">
        <v>215.42657847648741</v>
      </c>
      <c r="Z53">
        <v>224.57768052084441</v>
      </c>
      <c r="AA53">
        <v>225.35928829751077</v>
      </c>
      <c r="AB53">
        <v>227.76711957352617</v>
      </c>
      <c r="AC53">
        <v>228.77954077132202</v>
      </c>
      <c r="AD53">
        <v>224.76875243936945</v>
      </c>
      <c r="AE53">
        <v>228.85077473397814</v>
      </c>
      <c r="AF53">
        <v>228.42039895213833</v>
      </c>
      <c r="AG53">
        <v>220.97240550080147</v>
      </c>
      <c r="AH53">
        <v>226.62490091608109</v>
      </c>
      <c r="AI53">
        <v>224.0852687719433</v>
      </c>
      <c r="AJ53">
        <v>221.28979504823539</v>
      </c>
      <c r="AK53">
        <v>220.66355705658745</v>
      </c>
      <c r="AL53">
        <v>213.59498734540438</v>
      </c>
      <c r="AM53">
        <v>214.51920691120958</v>
      </c>
      <c r="AN53">
        <v>214.42578959439999</v>
      </c>
      <c r="AO53">
        <v>211.48822825436977</v>
      </c>
      <c r="AP53">
        <v>206.89093443808201</v>
      </c>
      <c r="AQ53">
        <v>207.39531127746724</v>
      </c>
      <c r="AR53">
        <v>198.22684839369759</v>
      </c>
      <c r="AS53">
        <v>204.88172065079698</v>
      </c>
      <c r="AT53">
        <v>199.95256029677475</v>
      </c>
      <c r="AU53">
        <v>198.13758669543819</v>
      </c>
      <c r="AV53">
        <v>197.39218404770119</v>
      </c>
      <c r="AW53">
        <v>199.31999510848195</v>
      </c>
      <c r="AX53">
        <v>201.8757055007265</v>
      </c>
      <c r="AY53">
        <v>202.54330446083617</v>
      </c>
      <c r="AZ53">
        <v>205.43679081666014</v>
      </c>
      <c r="BA53">
        <v>217.92811939229472</v>
      </c>
      <c r="BB53">
        <v>220.04795990189518</v>
      </c>
      <c r="BC53">
        <v>224.17196805451044</v>
      </c>
      <c r="BD53">
        <v>222.61032017161281</v>
      </c>
      <c r="BE53">
        <v>210.38340122577725</v>
      </c>
      <c r="BF53">
        <v>208.87365832425013</v>
      </c>
      <c r="BG53">
        <v>208.17173286369652</v>
      </c>
      <c r="BH53">
        <v>212.06735167859813</v>
      </c>
      <c r="BI53">
        <v>214.27278651816113</v>
      </c>
      <c r="BJ53">
        <v>210.03000038381944</v>
      </c>
      <c r="BK53">
        <v>208.08996593972091</v>
      </c>
      <c r="BL53">
        <v>205.1408777861466</v>
      </c>
      <c r="BM53">
        <v>214.58670518655626</v>
      </c>
      <c r="BN53">
        <v>213.83620339285801</v>
      </c>
      <c r="BO53">
        <v>215.6340806247434</v>
      </c>
      <c r="BP53">
        <v>217.13013525334148</v>
      </c>
      <c r="BQ53">
        <v>219.9902277367357</v>
      </c>
      <c r="BR53">
        <v>216.11139417982051</v>
      </c>
      <c r="BS53">
        <v>221.34778475998016</v>
      </c>
      <c r="BT53">
        <v>217.00067398698914</v>
      </c>
      <c r="BU53">
        <v>215.96642270238701</v>
      </c>
      <c r="BV53">
        <v>217.50876620622338</v>
      </c>
      <c r="BW53">
        <v>213.95413815331437</v>
      </c>
      <c r="BX53">
        <v>214.50023653935398</v>
      </c>
      <c r="BY53">
        <v>209.05561420149306</v>
      </c>
      <c r="BZ53">
        <v>202.19449438159145</v>
      </c>
      <c r="CA53">
        <v>196.81619105670319</v>
      </c>
      <c r="CB53">
        <v>194.59952336293625</v>
      </c>
      <c r="CC53">
        <v>191.07182859427658</v>
      </c>
      <c r="CD53">
        <v>188.81791722386279</v>
      </c>
      <c r="CE53">
        <v>183.27202837799294</v>
      </c>
      <c r="CF53">
        <v>183.36946722482028</v>
      </c>
      <c r="CG53">
        <v>181.448697164451</v>
      </c>
      <c r="CH53">
        <v>187.40245167789442</v>
      </c>
      <c r="CI53">
        <v>190.68704612253512</v>
      </c>
      <c r="CJ53">
        <v>187.51872568977137</v>
      </c>
      <c r="CK53">
        <v>184.84230197462512</v>
      </c>
      <c r="CL53">
        <v>181.57808598423398</v>
      </c>
      <c r="CM53">
        <v>173.45198858331523</v>
      </c>
      <c r="CN53">
        <v>173.25048358007646</v>
      </c>
      <c r="CO53">
        <v>168.63312455747291</v>
      </c>
      <c r="CP53">
        <v>168.71645288794733</v>
      </c>
      <c r="CQ53">
        <v>163.80659692841917</v>
      </c>
      <c r="CR53">
        <v>163.79030121837769</v>
      </c>
      <c r="CS53">
        <v>164.70876476836958</v>
      </c>
      <c r="CT53">
        <v>165.83865156663083</v>
      </c>
      <c r="CU53">
        <v>166.96293617728406</v>
      </c>
      <c r="CV53">
        <v>0</v>
      </c>
      <c r="CW53">
        <v>0</v>
      </c>
    </row>
    <row r="54" spans="5:101" x14ac:dyDescent="0.2">
      <c r="E54">
        <v>222.13</v>
      </c>
      <c r="F54">
        <v>230.48543173576397</v>
      </c>
      <c r="G54">
        <v>232.02175596497409</v>
      </c>
      <c r="H54">
        <v>218.65172199534365</v>
      </c>
      <c r="I54">
        <v>214.06664993335943</v>
      </c>
      <c r="J54">
        <v>208.39454927794509</v>
      </c>
      <c r="K54">
        <v>214.23903131092243</v>
      </c>
      <c r="L54">
        <v>215.6689977023436</v>
      </c>
      <c r="M54">
        <v>217.87928896706907</v>
      </c>
      <c r="N54">
        <v>223.91725880817259</v>
      </c>
      <c r="O54">
        <v>228.67135971477867</v>
      </c>
      <c r="P54">
        <v>236.80153157207641</v>
      </c>
      <c r="Q54">
        <v>235.44767182153129</v>
      </c>
      <c r="R54">
        <v>239.88243995095624</v>
      </c>
      <c r="S54">
        <v>246.19655986833655</v>
      </c>
      <c r="T54">
        <v>248.93924371706404</v>
      </c>
      <c r="U54">
        <v>238.19570483258249</v>
      </c>
      <c r="V54">
        <v>245.48949472614655</v>
      </c>
      <c r="W54">
        <v>253.53597785742707</v>
      </c>
      <c r="X54">
        <v>242.37720671620605</v>
      </c>
      <c r="Y54">
        <v>238.34700917437161</v>
      </c>
      <c r="Z54">
        <v>237.5207035907334</v>
      </c>
      <c r="AA54">
        <v>235.84384932352484</v>
      </c>
      <c r="AB54">
        <v>226.99734025570717</v>
      </c>
      <c r="AC54">
        <v>220.38664176173236</v>
      </c>
      <c r="AD54">
        <v>218.12989029311714</v>
      </c>
      <c r="AE54">
        <v>207.64356761560205</v>
      </c>
      <c r="AF54">
        <v>208.09361604391245</v>
      </c>
      <c r="AG54">
        <v>202.90532467502777</v>
      </c>
      <c r="AH54">
        <v>196.71968667166669</v>
      </c>
      <c r="AI54">
        <v>197.43562052661127</v>
      </c>
      <c r="AJ54">
        <v>202.93658491703698</v>
      </c>
      <c r="AK54">
        <v>199.05469914989126</v>
      </c>
      <c r="AL54">
        <v>197.68325638727907</v>
      </c>
      <c r="AM54">
        <v>198.03561784556592</v>
      </c>
      <c r="AN54">
        <v>190.44802771262201</v>
      </c>
      <c r="AO54">
        <v>194.05719331120633</v>
      </c>
      <c r="AP54">
        <v>191.42723522844776</v>
      </c>
      <c r="AQ54">
        <v>193.87224484694349</v>
      </c>
      <c r="AR54">
        <v>193.54903080885643</v>
      </c>
      <c r="AS54">
        <v>195.33070486697196</v>
      </c>
      <c r="AT54">
        <v>190.94356630129587</v>
      </c>
      <c r="AU54">
        <v>189.41822238931061</v>
      </c>
      <c r="AV54">
        <v>185.81832957879098</v>
      </c>
      <c r="AW54">
        <v>185.20070165439324</v>
      </c>
      <c r="AX54">
        <v>186.47306190472924</v>
      </c>
      <c r="AY54">
        <v>180.4075527270063</v>
      </c>
      <c r="AZ54">
        <v>191.24633155810716</v>
      </c>
      <c r="BA54">
        <v>193.72500423517423</v>
      </c>
      <c r="BB54">
        <v>193.15330344583603</v>
      </c>
      <c r="BC54">
        <v>186.247656011944</v>
      </c>
      <c r="BD54">
        <v>183.13374331075414</v>
      </c>
      <c r="BE54">
        <v>189.02879738267652</v>
      </c>
      <c r="BF54">
        <v>187.71131356122817</v>
      </c>
      <c r="BG54">
        <v>188.99692989834423</v>
      </c>
      <c r="BH54">
        <v>199.03985450129289</v>
      </c>
      <c r="BI54">
        <v>206.39240518988524</v>
      </c>
      <c r="BJ54">
        <v>208.87586656760377</v>
      </c>
      <c r="BK54">
        <v>208.84637613106608</v>
      </c>
      <c r="BL54">
        <v>208.91559234592958</v>
      </c>
      <c r="BM54">
        <v>215.59469545652667</v>
      </c>
      <c r="BN54">
        <v>213.29775675442428</v>
      </c>
      <c r="BO54">
        <v>217.27062000809207</v>
      </c>
      <c r="BP54">
        <v>220.51472168504489</v>
      </c>
      <c r="BQ54">
        <v>218.68379513990195</v>
      </c>
      <c r="BR54">
        <v>212.64686249923872</v>
      </c>
      <c r="BS54">
        <v>209.87154368205267</v>
      </c>
      <c r="BT54">
        <v>209.07915830828333</v>
      </c>
      <c r="BU54">
        <v>199.02509120718537</v>
      </c>
      <c r="BV54">
        <v>196.63150470885995</v>
      </c>
      <c r="BW54">
        <v>203.05837064917631</v>
      </c>
      <c r="BX54">
        <v>199.43980549619596</v>
      </c>
      <c r="BY54">
        <v>192.4915981408287</v>
      </c>
      <c r="BZ54">
        <v>196.34453061666301</v>
      </c>
      <c r="CA54">
        <v>203.83251299505218</v>
      </c>
      <c r="CB54">
        <v>201.34583749416987</v>
      </c>
      <c r="CC54">
        <v>202.73033288422295</v>
      </c>
      <c r="CD54">
        <v>205.68553974198093</v>
      </c>
      <c r="CE54">
        <v>197.8143255899154</v>
      </c>
      <c r="CF54">
        <v>204.15504291855572</v>
      </c>
      <c r="CG54">
        <v>200.62581558955051</v>
      </c>
      <c r="CH54">
        <v>194.37237962468726</v>
      </c>
      <c r="CI54">
        <v>191.32423796673984</v>
      </c>
      <c r="CJ54">
        <v>187.75190415740153</v>
      </c>
      <c r="CK54">
        <v>188.66380177615162</v>
      </c>
      <c r="CL54">
        <v>182.30211248774739</v>
      </c>
      <c r="CM54">
        <v>179.39507444655072</v>
      </c>
      <c r="CN54">
        <v>186.72629803405007</v>
      </c>
      <c r="CO54">
        <v>182.62685346718965</v>
      </c>
      <c r="CP54">
        <v>180.97527915446412</v>
      </c>
      <c r="CQ54">
        <v>186.08140929214017</v>
      </c>
      <c r="CR54">
        <v>186.84570304230888</v>
      </c>
      <c r="CS54">
        <v>180.54663551791643</v>
      </c>
      <c r="CT54">
        <v>179.75982945676651</v>
      </c>
      <c r="CU54">
        <v>174.13243101709128</v>
      </c>
      <c r="CV54">
        <v>0</v>
      </c>
      <c r="CW54">
        <v>0</v>
      </c>
    </row>
    <row r="55" spans="5:101" x14ac:dyDescent="0.2">
      <c r="E55">
        <v>222.13</v>
      </c>
      <c r="F55">
        <v>217.37209817680809</v>
      </c>
      <c r="G55">
        <v>222.95282583678303</v>
      </c>
      <c r="H55">
        <v>224.90675061893651</v>
      </c>
      <c r="I55">
        <v>223.86154652479246</v>
      </c>
      <c r="J55">
        <v>221.51269479336071</v>
      </c>
      <c r="K55">
        <v>226.7807002245402</v>
      </c>
      <c r="L55">
        <v>218.48289918048502</v>
      </c>
      <c r="M55">
        <v>222.52354358769622</v>
      </c>
      <c r="N55">
        <v>222.68495621377733</v>
      </c>
      <c r="O55">
        <v>221.69964748477832</v>
      </c>
      <c r="P55">
        <v>223.01077605479381</v>
      </c>
      <c r="Q55">
        <v>220.8608138252566</v>
      </c>
      <c r="R55">
        <v>222.16706868560982</v>
      </c>
      <c r="S55">
        <v>224.08569750653373</v>
      </c>
      <c r="T55">
        <v>223.52543990691757</v>
      </c>
      <c r="U55">
        <v>230.26149302816856</v>
      </c>
      <c r="V55">
        <v>226.04189959188733</v>
      </c>
      <c r="W55">
        <v>222.19304659109758</v>
      </c>
      <c r="X55">
        <v>220.82500512564886</v>
      </c>
      <c r="Y55">
        <v>227.9889632000756</v>
      </c>
      <c r="Z55">
        <v>231.76553498041784</v>
      </c>
      <c r="AA55">
        <v>227.87062115603763</v>
      </c>
      <c r="AB55">
        <v>226.6556363458223</v>
      </c>
      <c r="AC55">
        <v>223.77810063506374</v>
      </c>
      <c r="AD55">
        <v>213.44643395352131</v>
      </c>
      <c r="AE55">
        <v>219.20247211671966</v>
      </c>
      <c r="AF55">
        <v>217.42482616070222</v>
      </c>
      <c r="AG55">
        <v>219.3607572183561</v>
      </c>
      <c r="AH55">
        <v>224.52165226058196</v>
      </c>
      <c r="AI55">
        <v>225.25485700301508</v>
      </c>
      <c r="AJ55">
        <v>224.8693213016814</v>
      </c>
      <c r="AK55">
        <v>222.62369652163915</v>
      </c>
      <c r="AL55">
        <v>217.41339554628524</v>
      </c>
      <c r="AM55">
        <v>215.91144867382184</v>
      </c>
      <c r="AN55">
        <v>221.80255396748967</v>
      </c>
      <c r="AO55">
        <v>226.39878664035365</v>
      </c>
      <c r="AP55">
        <v>222.41500356807805</v>
      </c>
      <c r="AQ55">
        <v>219.3379540353308</v>
      </c>
      <c r="AR55">
        <v>220.78813318621192</v>
      </c>
      <c r="AS55">
        <v>221.88209919418262</v>
      </c>
      <c r="AT55">
        <v>219.07854317176484</v>
      </c>
      <c r="AU55">
        <v>220.374132468688</v>
      </c>
      <c r="AV55">
        <v>221.50211806666061</v>
      </c>
      <c r="AW55">
        <v>220.45175337863307</v>
      </c>
      <c r="AX55">
        <v>222.24427675905858</v>
      </c>
      <c r="AY55">
        <v>221.01802211014814</v>
      </c>
      <c r="AZ55">
        <v>219.95931827807058</v>
      </c>
      <c r="BA55">
        <v>221.96656528075255</v>
      </c>
      <c r="BB55">
        <v>220.6559720691414</v>
      </c>
      <c r="BC55">
        <v>219.85294554510287</v>
      </c>
      <c r="BD55">
        <v>219.27933696897901</v>
      </c>
      <c r="BE55">
        <v>220.25850504322418</v>
      </c>
      <c r="BF55">
        <v>213.88670347750821</v>
      </c>
      <c r="BG55">
        <v>220.24308802377962</v>
      </c>
      <c r="BH55">
        <v>225.8667339916266</v>
      </c>
      <c r="BI55">
        <v>231.19186398605126</v>
      </c>
      <c r="BJ55">
        <v>227.943872860151</v>
      </c>
      <c r="BK55">
        <v>236.3504988296049</v>
      </c>
      <c r="BL55">
        <v>235.04340104392298</v>
      </c>
      <c r="BM55">
        <v>242.74122889019503</v>
      </c>
      <c r="BN55">
        <v>246.84342095825139</v>
      </c>
      <c r="BO55">
        <v>241.83179069325146</v>
      </c>
      <c r="BP55">
        <v>237.49717505751798</v>
      </c>
      <c r="BQ55">
        <v>239.06021558761768</v>
      </c>
      <c r="BR55">
        <v>234.31677408113686</v>
      </c>
      <c r="BS55">
        <v>240.50713060817625</v>
      </c>
      <c r="BT55">
        <v>241.67634236042497</v>
      </c>
      <c r="BU55">
        <v>230.15054858177126</v>
      </c>
      <c r="BV55">
        <v>237.46843314830326</v>
      </c>
      <c r="BW55">
        <v>237.75675450657261</v>
      </c>
      <c r="BX55">
        <v>239.68461249029059</v>
      </c>
      <c r="BY55">
        <v>240.07562673923752</v>
      </c>
      <c r="BZ55">
        <v>251.94929078552093</v>
      </c>
      <c r="CA55">
        <v>245.16947786066257</v>
      </c>
      <c r="CB55">
        <v>250.52002381009223</v>
      </c>
      <c r="CC55">
        <v>252.10111350440502</v>
      </c>
      <c r="CD55">
        <v>247.21923143633305</v>
      </c>
      <c r="CE55">
        <v>243.12417969951935</v>
      </c>
      <c r="CF55">
        <v>240.85308840127308</v>
      </c>
      <c r="CG55">
        <v>231.62048098330283</v>
      </c>
      <c r="CH55">
        <v>233.43968543083716</v>
      </c>
      <c r="CI55">
        <v>233.72012612361769</v>
      </c>
      <c r="CJ55">
        <v>236.28448293782839</v>
      </c>
      <c r="CK55">
        <v>236.87572504831076</v>
      </c>
      <c r="CL55">
        <v>236.11610600448753</v>
      </c>
      <c r="CM55">
        <v>235.71578415645646</v>
      </c>
      <c r="CN55">
        <v>235.96131861172361</v>
      </c>
      <c r="CO55">
        <v>236.50207922337091</v>
      </c>
      <c r="CP55">
        <v>247.85968493196842</v>
      </c>
      <c r="CQ55">
        <v>249.35928217753502</v>
      </c>
      <c r="CR55">
        <v>249.96479923266341</v>
      </c>
      <c r="CS55">
        <v>254.63193137050538</v>
      </c>
      <c r="CT55">
        <v>248.19599690191581</v>
      </c>
      <c r="CU55">
        <v>259.48801823906081</v>
      </c>
      <c r="CV55">
        <v>39.488018239060807</v>
      </c>
      <c r="CW55">
        <v>37.966206759046308</v>
      </c>
    </row>
    <row r="56" spans="5:101" x14ac:dyDescent="0.2">
      <c r="E56">
        <v>222.13</v>
      </c>
      <c r="F56">
        <v>220.33079433586036</v>
      </c>
      <c r="G56">
        <v>225.64308930124929</v>
      </c>
      <c r="H56">
        <v>228.34588929967103</v>
      </c>
      <c r="I56">
        <v>227.47279791245776</v>
      </c>
      <c r="J56">
        <v>233.59077010372229</v>
      </c>
      <c r="K56">
        <v>244.19504967766366</v>
      </c>
      <c r="L56">
        <v>251.02469178947669</v>
      </c>
      <c r="M56">
        <v>245.58967196008669</v>
      </c>
      <c r="N56">
        <v>238.01695347375548</v>
      </c>
      <c r="O56">
        <v>236.10740511914241</v>
      </c>
      <c r="P56">
        <v>236.95911809511173</v>
      </c>
      <c r="Q56">
        <v>237.71975884867834</v>
      </c>
      <c r="R56">
        <v>230.92109514693135</v>
      </c>
      <c r="S56">
        <v>238.27307232992055</v>
      </c>
      <c r="T56">
        <v>236.61654947254465</v>
      </c>
      <c r="U56">
        <v>245.25251226862568</v>
      </c>
      <c r="V56">
        <v>247.24445790765986</v>
      </c>
      <c r="W56">
        <v>253.07313089362003</v>
      </c>
      <c r="X56">
        <v>245.17828317181997</v>
      </c>
      <c r="Y56">
        <v>246.44834910342954</v>
      </c>
      <c r="Z56">
        <v>250.37898933628924</v>
      </c>
      <c r="AA56">
        <v>246.55753929657234</v>
      </c>
      <c r="AB56">
        <v>245.14595256106276</v>
      </c>
      <c r="AC56">
        <v>246.79681018913482</v>
      </c>
      <c r="AD56">
        <v>248.98287170300344</v>
      </c>
      <c r="AE56">
        <v>244.85274102788046</v>
      </c>
      <c r="AF56">
        <v>239.30374336396974</v>
      </c>
      <c r="AG56">
        <v>244.97416303456399</v>
      </c>
      <c r="AH56">
        <v>251.64450845276326</v>
      </c>
      <c r="AI56">
        <v>259.36564752337063</v>
      </c>
      <c r="AJ56">
        <v>264.22745439284125</v>
      </c>
      <c r="AK56">
        <v>253.87927100058536</v>
      </c>
      <c r="AL56">
        <v>248.51018749859873</v>
      </c>
      <c r="AM56">
        <v>266.0927637755517</v>
      </c>
      <c r="AN56">
        <v>265.81658480453751</v>
      </c>
      <c r="AO56">
        <v>260.93425765007709</v>
      </c>
      <c r="AP56">
        <v>262.91527700107497</v>
      </c>
      <c r="AQ56">
        <v>275.14850318067352</v>
      </c>
      <c r="AR56">
        <v>288.75554667144752</v>
      </c>
      <c r="AS56">
        <v>296.02321976774374</v>
      </c>
      <c r="AT56">
        <v>297.58110081778739</v>
      </c>
      <c r="AU56">
        <v>297.21804383172508</v>
      </c>
      <c r="AV56">
        <v>303.24992503249536</v>
      </c>
      <c r="AW56">
        <v>307.10694915065653</v>
      </c>
      <c r="AX56">
        <v>295.02274855568857</v>
      </c>
      <c r="AY56">
        <v>298.86203708884108</v>
      </c>
      <c r="AZ56">
        <v>301.68894921120943</v>
      </c>
      <c r="BA56">
        <v>290.00189917704853</v>
      </c>
      <c r="BB56">
        <v>289.11027801268403</v>
      </c>
      <c r="BC56">
        <v>286.1191430921919</v>
      </c>
      <c r="BD56">
        <v>281.46096386780999</v>
      </c>
      <c r="BE56">
        <v>301.46971597459117</v>
      </c>
      <c r="BF56">
        <v>298.83294113856266</v>
      </c>
      <c r="BG56">
        <v>315.71430029973084</v>
      </c>
      <c r="BH56">
        <v>315.60161663227609</v>
      </c>
      <c r="BI56">
        <v>313.07301789182009</v>
      </c>
      <c r="BJ56">
        <v>316.74613730948721</v>
      </c>
      <c r="BK56">
        <v>311.78266853527589</v>
      </c>
      <c r="BL56">
        <v>311.13621346470967</v>
      </c>
      <c r="BM56">
        <v>315.3091885861167</v>
      </c>
      <c r="BN56">
        <v>328.13513179233678</v>
      </c>
      <c r="BO56">
        <v>331.43602380543507</v>
      </c>
      <c r="BP56">
        <v>327.00295609831994</v>
      </c>
      <c r="BQ56">
        <v>337.95533293323541</v>
      </c>
      <c r="BR56">
        <v>335.65094661376975</v>
      </c>
      <c r="BS56">
        <v>337.15999235351131</v>
      </c>
      <c r="BT56">
        <v>331.48090848466245</v>
      </c>
      <c r="BU56">
        <v>335.64950088601182</v>
      </c>
      <c r="BV56">
        <v>329.28409903317936</v>
      </c>
      <c r="BW56">
        <v>321.75567631098789</v>
      </c>
      <c r="BX56">
        <v>320.5696570795468</v>
      </c>
      <c r="BY56">
        <v>317.59505302363533</v>
      </c>
      <c r="BZ56">
        <v>315.4589592104445</v>
      </c>
      <c r="CA56">
        <v>316.86470009960959</v>
      </c>
      <c r="CB56">
        <v>330.18128978417712</v>
      </c>
      <c r="CC56">
        <v>316.64035976348453</v>
      </c>
      <c r="CD56">
        <v>299.83431763223268</v>
      </c>
      <c r="CE56">
        <v>307.6691281621612</v>
      </c>
      <c r="CF56">
        <v>310.26380937353571</v>
      </c>
      <c r="CG56">
        <v>300.82444642849731</v>
      </c>
      <c r="CH56">
        <v>298.30135549173696</v>
      </c>
      <c r="CI56">
        <v>306.46126725738094</v>
      </c>
      <c r="CJ56">
        <v>314.61172669910707</v>
      </c>
      <c r="CK56">
        <v>317.78634134888864</v>
      </c>
      <c r="CL56">
        <v>326.33575415548097</v>
      </c>
      <c r="CM56">
        <v>327.50665115391735</v>
      </c>
      <c r="CN56">
        <v>322.76155647568618</v>
      </c>
      <c r="CO56">
        <v>328.91792950382995</v>
      </c>
      <c r="CP56">
        <v>332.0744447616832</v>
      </c>
      <c r="CQ56">
        <v>331.8261082327453</v>
      </c>
      <c r="CR56">
        <v>317.80314540954936</v>
      </c>
      <c r="CS56">
        <v>319.21390697124093</v>
      </c>
      <c r="CT56">
        <v>323.29727596779657</v>
      </c>
      <c r="CU56">
        <v>327.83015439672744</v>
      </c>
      <c r="CV56">
        <v>107.83015439672744</v>
      </c>
      <c r="CW56">
        <v>103.67453519448665</v>
      </c>
    </row>
    <row r="57" spans="5:101" x14ac:dyDescent="0.2">
      <c r="E57">
        <v>222.13</v>
      </c>
      <c r="F57">
        <v>224.27452771199987</v>
      </c>
      <c r="G57">
        <v>211.27771769697341</v>
      </c>
      <c r="H57">
        <v>213.49043115324704</v>
      </c>
      <c r="I57">
        <v>217.768116951747</v>
      </c>
      <c r="J57">
        <v>218.27498809696934</v>
      </c>
      <c r="K57">
        <v>223.15401606866465</v>
      </c>
      <c r="L57">
        <v>223.28555899359179</v>
      </c>
      <c r="M57">
        <v>215.96575571385384</v>
      </c>
      <c r="N57">
        <v>199.68547824379337</v>
      </c>
      <c r="O57">
        <v>202.0296223715427</v>
      </c>
      <c r="P57">
        <v>202.15754453725745</v>
      </c>
      <c r="Q57">
        <v>198.18087223367388</v>
      </c>
      <c r="R57">
        <v>200.74543755558582</v>
      </c>
      <c r="S57">
        <v>209.32876943037206</v>
      </c>
      <c r="T57">
        <v>204.60116713148972</v>
      </c>
      <c r="U57">
        <v>211.91124965702221</v>
      </c>
      <c r="V57">
        <v>213.62651047297146</v>
      </c>
      <c r="W57">
        <v>210.82325828427207</v>
      </c>
      <c r="X57">
        <v>208.94468150353774</v>
      </c>
      <c r="Y57">
        <v>212.44435236920651</v>
      </c>
      <c r="Z57">
        <v>207.68060766696925</v>
      </c>
      <c r="AA57">
        <v>199.88990329822357</v>
      </c>
      <c r="AB57">
        <v>194.91241020899616</v>
      </c>
      <c r="AC57">
        <v>185.39063356949495</v>
      </c>
      <c r="AD57">
        <v>178.88656423717603</v>
      </c>
      <c r="AE57">
        <v>176.50896428765063</v>
      </c>
      <c r="AF57">
        <v>174.94344797942836</v>
      </c>
      <c r="AG57">
        <v>170.39901551347353</v>
      </c>
      <c r="AH57">
        <v>169.43918664942271</v>
      </c>
      <c r="AI57">
        <v>163.49020982052485</v>
      </c>
      <c r="AJ57">
        <v>163.28993388626961</v>
      </c>
      <c r="AK57">
        <v>164.54829556490043</v>
      </c>
      <c r="AL57">
        <v>164.21459703850269</v>
      </c>
      <c r="AM57">
        <v>166.71434341552481</v>
      </c>
      <c r="AN57">
        <v>169.34535095587933</v>
      </c>
      <c r="AO57">
        <v>172.05775353140814</v>
      </c>
      <c r="AP57">
        <v>169.90300332738312</v>
      </c>
      <c r="AQ57">
        <v>167.05324035682526</v>
      </c>
      <c r="AR57">
        <v>165.87019360101584</v>
      </c>
      <c r="AS57">
        <v>169.93006758708981</v>
      </c>
      <c r="AT57">
        <v>172.5659120533854</v>
      </c>
      <c r="AU57">
        <v>172.56219351450167</v>
      </c>
      <c r="AV57">
        <v>166.6419783887518</v>
      </c>
      <c r="AW57">
        <v>168.95640500574382</v>
      </c>
      <c r="AX57">
        <v>164.17085638048761</v>
      </c>
      <c r="AY57">
        <v>159.86644076857397</v>
      </c>
      <c r="AZ57">
        <v>154.54249769461151</v>
      </c>
      <c r="BA57">
        <v>159.06025925035803</v>
      </c>
      <c r="BB57">
        <v>158.43142582567162</v>
      </c>
      <c r="BC57">
        <v>163.1967948159963</v>
      </c>
      <c r="BD57">
        <v>164.94425688608862</v>
      </c>
      <c r="BE57">
        <v>166.21562623254087</v>
      </c>
      <c r="BF57">
        <v>161.52194795540959</v>
      </c>
      <c r="BG57">
        <v>162.27792220477912</v>
      </c>
      <c r="BH57">
        <v>166.80229622103138</v>
      </c>
      <c r="BI57">
        <v>166.39305609558406</v>
      </c>
      <c r="BJ57">
        <v>168.19825982386038</v>
      </c>
      <c r="BK57">
        <v>172.97236023859605</v>
      </c>
      <c r="BL57">
        <v>171.34733637326187</v>
      </c>
      <c r="BM57">
        <v>174.40170291545488</v>
      </c>
      <c r="BN57">
        <v>179.83561448073192</v>
      </c>
      <c r="BO57">
        <v>175.3934801351208</v>
      </c>
      <c r="BP57">
        <v>169.91376384747596</v>
      </c>
      <c r="BQ57">
        <v>173.02768548665074</v>
      </c>
      <c r="BR57">
        <v>175.47954911195822</v>
      </c>
      <c r="BS57">
        <v>173.52597849624857</v>
      </c>
      <c r="BT57">
        <v>177.52253908716841</v>
      </c>
      <c r="BU57">
        <v>174.70248795100119</v>
      </c>
      <c r="BV57">
        <v>178.10165254078834</v>
      </c>
      <c r="BW57">
        <v>184.01279122824587</v>
      </c>
      <c r="BX57">
        <v>188.88924509912829</v>
      </c>
      <c r="BY57">
        <v>187.850665162079</v>
      </c>
      <c r="BZ57">
        <v>193.83371121150697</v>
      </c>
      <c r="CA57">
        <v>195.06275388195129</v>
      </c>
      <c r="CB57">
        <v>188.06816768613348</v>
      </c>
      <c r="CC57">
        <v>189.38069127207442</v>
      </c>
      <c r="CD57">
        <v>192.86944016678069</v>
      </c>
      <c r="CE57">
        <v>199.77338820826606</v>
      </c>
      <c r="CF57">
        <v>200.74325090189456</v>
      </c>
      <c r="CG57">
        <v>194.06118036063154</v>
      </c>
      <c r="CH57">
        <v>194.34546010245975</v>
      </c>
      <c r="CI57">
        <v>199.47492468861307</v>
      </c>
      <c r="CJ57">
        <v>198.16163667405704</v>
      </c>
      <c r="CK57">
        <v>200.2271733887687</v>
      </c>
      <c r="CL57">
        <v>196.03565516366675</v>
      </c>
      <c r="CM57">
        <v>203.68675318746145</v>
      </c>
      <c r="CN57">
        <v>199.351190945567</v>
      </c>
      <c r="CO57">
        <v>195.05894727579266</v>
      </c>
      <c r="CP57">
        <v>190.96098202899719</v>
      </c>
      <c r="CQ57">
        <v>184.50578633527149</v>
      </c>
      <c r="CR57">
        <v>184.72672064949322</v>
      </c>
      <c r="CS57">
        <v>190.25512368256128</v>
      </c>
      <c r="CT57">
        <v>191.22965125049643</v>
      </c>
      <c r="CU57">
        <v>199.93263069959977</v>
      </c>
      <c r="CV57">
        <v>0</v>
      </c>
      <c r="CW57">
        <v>0</v>
      </c>
    </row>
    <row r="58" spans="5:101" x14ac:dyDescent="0.2">
      <c r="E58">
        <v>222.13</v>
      </c>
      <c r="F58">
        <v>221.64992392786209</v>
      </c>
      <c r="G58">
        <v>228.24705913253536</v>
      </c>
      <c r="H58">
        <v>226.66730506695779</v>
      </c>
      <c r="I58">
        <v>221.35611726402857</v>
      </c>
      <c r="J58">
        <v>225.3339791728265</v>
      </c>
      <c r="K58">
        <v>222.08569204351377</v>
      </c>
      <c r="L58">
        <v>219.63920895692706</v>
      </c>
      <c r="M58">
        <v>218.63253665809114</v>
      </c>
      <c r="N58">
        <v>217.22329885866142</v>
      </c>
      <c r="O58">
        <v>209.54078328863224</v>
      </c>
      <c r="P58">
        <v>211.62528368789447</v>
      </c>
      <c r="Q58">
        <v>208.75937259599604</v>
      </c>
      <c r="R58">
        <v>209.69887218390457</v>
      </c>
      <c r="S58">
        <v>217.62292109563614</v>
      </c>
      <c r="T58">
        <v>220.08963398737868</v>
      </c>
      <c r="U58">
        <v>217.59491769958549</v>
      </c>
      <c r="V58">
        <v>214.65809166746948</v>
      </c>
      <c r="W58">
        <v>215.43593544794217</v>
      </c>
      <c r="X58">
        <v>215.38652042747611</v>
      </c>
      <c r="Y58">
        <v>220.5722663498174</v>
      </c>
      <c r="Z58">
        <v>214.28801230975984</v>
      </c>
      <c r="AA58">
        <v>213.05080591101998</v>
      </c>
      <c r="AB58">
        <v>211.34343187872531</v>
      </c>
      <c r="AC58">
        <v>212.29578356143236</v>
      </c>
      <c r="AD58">
        <v>216.09688819487249</v>
      </c>
      <c r="AE58">
        <v>215.67904369278858</v>
      </c>
      <c r="AF58">
        <v>208.1631817165254</v>
      </c>
      <c r="AG58">
        <v>209.00511636426145</v>
      </c>
      <c r="AH58">
        <v>204.41825678941206</v>
      </c>
      <c r="AI58">
        <v>210.75582186422085</v>
      </c>
      <c r="AJ58">
        <v>223.32799637650027</v>
      </c>
      <c r="AK58">
        <v>221.4303437658983</v>
      </c>
      <c r="AL58">
        <v>226.35727832207755</v>
      </c>
      <c r="AM58">
        <v>229.02260819732732</v>
      </c>
      <c r="AN58">
        <v>234.91731352134852</v>
      </c>
      <c r="AO58">
        <v>234.84047331855604</v>
      </c>
      <c r="AP58">
        <v>232.99631688040148</v>
      </c>
      <c r="AQ58">
        <v>239.79959803145971</v>
      </c>
      <c r="AR58">
        <v>240.4018396073152</v>
      </c>
      <c r="AS58">
        <v>245.32347930852498</v>
      </c>
      <c r="AT58">
        <v>237.32773338387651</v>
      </c>
      <c r="AU58">
        <v>241.30205732910915</v>
      </c>
      <c r="AV58">
        <v>248.88287170774552</v>
      </c>
      <c r="AW58">
        <v>244.38659666519567</v>
      </c>
      <c r="AX58">
        <v>236.70612562593371</v>
      </c>
      <c r="AY58">
        <v>241.77538278508547</v>
      </c>
      <c r="AZ58">
        <v>235.20836043787423</v>
      </c>
      <c r="BA58">
        <v>232.46926815080411</v>
      </c>
      <c r="BB58">
        <v>232.92622352160797</v>
      </c>
      <c r="BC58">
        <v>237.33598931237705</v>
      </c>
      <c r="BD58">
        <v>237.12080838717549</v>
      </c>
      <c r="BE58">
        <v>240.38083168172878</v>
      </c>
      <c r="BF58">
        <v>252.26456202151823</v>
      </c>
      <c r="BG58">
        <v>246.53554598958647</v>
      </c>
      <c r="BH58">
        <v>248.536401893099</v>
      </c>
      <c r="BI58">
        <v>254.89281745053523</v>
      </c>
      <c r="BJ58">
        <v>257.25207764923903</v>
      </c>
      <c r="BK58">
        <v>253.02103678873794</v>
      </c>
      <c r="BL58">
        <v>255.82910244521241</v>
      </c>
      <c r="BM58">
        <v>257.9733263914618</v>
      </c>
      <c r="BN58">
        <v>247.71088321391463</v>
      </c>
      <c r="BO58">
        <v>243.27149039176646</v>
      </c>
      <c r="BP58">
        <v>244.44652056380073</v>
      </c>
      <c r="BQ58">
        <v>254.59357223518523</v>
      </c>
      <c r="BR58">
        <v>258.15235568944212</v>
      </c>
      <c r="BS58">
        <v>263.55193360620268</v>
      </c>
      <c r="BT58">
        <v>254.55466212807102</v>
      </c>
      <c r="BU58">
        <v>239.96013846221572</v>
      </c>
      <c r="BV58">
        <v>247.74208744624036</v>
      </c>
      <c r="BW58">
        <v>249.80691567492772</v>
      </c>
      <c r="BX58">
        <v>250.61205537071226</v>
      </c>
      <c r="BY58">
        <v>255.67032653371245</v>
      </c>
      <c r="BZ58">
        <v>252.35082526949608</v>
      </c>
      <c r="CA58">
        <v>251.04891742990694</v>
      </c>
      <c r="CB58">
        <v>258.20214924556973</v>
      </c>
      <c r="CC58">
        <v>257.92935340226359</v>
      </c>
      <c r="CD58">
        <v>250.67258822741735</v>
      </c>
      <c r="CE58">
        <v>248.16990422668047</v>
      </c>
      <c r="CF58">
        <v>236.94644534971738</v>
      </c>
      <c r="CG58">
        <v>234.00928814756179</v>
      </c>
      <c r="CH58">
        <v>227.09772151129761</v>
      </c>
      <c r="CI58">
        <v>232.92015701409179</v>
      </c>
      <c r="CJ58">
        <v>239.06464791327923</v>
      </c>
      <c r="CK58">
        <v>237.74725093185552</v>
      </c>
      <c r="CL58">
        <v>237.49025616313136</v>
      </c>
      <c r="CM58">
        <v>243.84792602782238</v>
      </c>
      <c r="CN58">
        <v>250.86252071836637</v>
      </c>
      <c r="CO58">
        <v>259.59847494487053</v>
      </c>
      <c r="CP58">
        <v>256.85482929129034</v>
      </c>
      <c r="CQ58">
        <v>268.21337349971532</v>
      </c>
      <c r="CR58">
        <v>266.29379303317717</v>
      </c>
      <c r="CS58">
        <v>254.40488726866784</v>
      </c>
      <c r="CT58">
        <v>265.72076178985685</v>
      </c>
      <c r="CU58">
        <v>270.78264630591815</v>
      </c>
      <c r="CV58">
        <v>50.782646305918149</v>
      </c>
      <c r="CW58">
        <v>48.825556090197558</v>
      </c>
    </row>
    <row r="59" spans="5:101" x14ac:dyDescent="0.2">
      <c r="E59">
        <v>222.13</v>
      </c>
      <c r="F59">
        <v>223.35904205904396</v>
      </c>
      <c r="G59">
        <v>221.34074891371887</v>
      </c>
      <c r="H59">
        <v>221.77564394948925</v>
      </c>
      <c r="I59">
        <v>214.34365840134603</v>
      </c>
      <c r="J59">
        <v>217.95967387025712</v>
      </c>
      <c r="K59">
        <v>218.67362888856567</v>
      </c>
      <c r="L59">
        <v>218.44410319937319</v>
      </c>
      <c r="M59">
        <v>217.23551280709677</v>
      </c>
      <c r="N59">
        <v>218.65867087790684</v>
      </c>
      <c r="O59">
        <v>221.71169432357448</v>
      </c>
      <c r="P59">
        <v>225.07879056760919</v>
      </c>
      <c r="Q59">
        <v>218.79658607611665</v>
      </c>
      <c r="R59">
        <v>214.57089499136555</v>
      </c>
      <c r="S59">
        <v>217.28735370468263</v>
      </c>
      <c r="T59">
        <v>227.84509299838308</v>
      </c>
      <c r="U59">
        <v>215.50736561426055</v>
      </c>
      <c r="V59">
        <v>212.97782919703857</v>
      </c>
      <c r="W59">
        <v>224.25641235476698</v>
      </c>
      <c r="X59">
        <v>212.7844807561226</v>
      </c>
      <c r="Y59">
        <v>209.15401436991485</v>
      </c>
      <c r="Z59">
        <v>206.24246207520454</v>
      </c>
      <c r="AA59">
        <v>208.73636634354042</v>
      </c>
      <c r="AB59">
        <v>207.03422532198738</v>
      </c>
      <c r="AC59">
        <v>199.28298218171977</v>
      </c>
      <c r="AD59">
        <v>187.38657634502636</v>
      </c>
      <c r="AE59">
        <v>182.76139692646515</v>
      </c>
      <c r="AF59">
        <v>183.67883817280838</v>
      </c>
      <c r="AG59">
        <v>191.1986730714049</v>
      </c>
      <c r="AH59">
        <v>198.65863095234585</v>
      </c>
      <c r="AI59">
        <v>200.47158278262481</v>
      </c>
      <c r="AJ59">
        <v>203.84681047663582</v>
      </c>
      <c r="AK59">
        <v>199.04948451991731</v>
      </c>
      <c r="AL59">
        <v>197.70377790601449</v>
      </c>
      <c r="AM59">
        <v>198.3948470340824</v>
      </c>
      <c r="AN59">
        <v>200.99506826087227</v>
      </c>
      <c r="AO59">
        <v>201.61945701915354</v>
      </c>
      <c r="AP59">
        <v>207.25806610907622</v>
      </c>
      <c r="AQ59">
        <v>215.9565740772679</v>
      </c>
      <c r="AR59">
        <v>217.34338242022861</v>
      </c>
      <c r="AS59">
        <v>214.79507562160464</v>
      </c>
      <c r="AT59">
        <v>220.76735752200696</v>
      </c>
      <c r="AU59">
        <v>218.37010501341297</v>
      </c>
      <c r="AV59">
        <v>208.85869360913253</v>
      </c>
      <c r="AW59">
        <v>210.59578299729887</v>
      </c>
      <c r="AX59">
        <v>204.7633769678576</v>
      </c>
      <c r="AY59">
        <v>204.59905957060471</v>
      </c>
      <c r="AZ59">
        <v>211.91093086678509</v>
      </c>
      <c r="BA59">
        <v>213.74644403779575</v>
      </c>
      <c r="BB59">
        <v>215.1950795919856</v>
      </c>
      <c r="BC59">
        <v>212.28772065045786</v>
      </c>
      <c r="BD59">
        <v>213.98874088623865</v>
      </c>
      <c r="BE59">
        <v>208.15879564786579</v>
      </c>
      <c r="BF59">
        <v>202.58350389524117</v>
      </c>
      <c r="BG59">
        <v>201.60904531700356</v>
      </c>
      <c r="BH59">
        <v>203.91620146178187</v>
      </c>
      <c r="BI59">
        <v>204.29340217198651</v>
      </c>
      <c r="BJ59">
        <v>204.35783763783408</v>
      </c>
      <c r="BK59">
        <v>212.11135389424058</v>
      </c>
      <c r="BL59">
        <v>214.16459360652848</v>
      </c>
      <c r="BM59">
        <v>213.13667147203708</v>
      </c>
      <c r="BN59">
        <v>221.4343274685024</v>
      </c>
      <c r="BO59">
        <v>227.52928563290132</v>
      </c>
      <c r="BP59">
        <v>225.12784780629761</v>
      </c>
      <c r="BQ59">
        <v>217.67127684363356</v>
      </c>
      <c r="BR59">
        <v>224.57611927558929</v>
      </c>
      <c r="BS59">
        <v>217.41201075798526</v>
      </c>
      <c r="BT59">
        <v>215.97357479325078</v>
      </c>
      <c r="BU59">
        <v>222.83798108254922</v>
      </c>
      <c r="BV59">
        <v>222.04847796230953</v>
      </c>
      <c r="BW59">
        <v>221.42452027994818</v>
      </c>
      <c r="BX59">
        <v>220.46525026619338</v>
      </c>
      <c r="BY59">
        <v>221.01020548530084</v>
      </c>
      <c r="BZ59">
        <v>222.6600607294196</v>
      </c>
      <c r="CA59">
        <v>213.68505508621939</v>
      </c>
      <c r="CB59">
        <v>217.17581304801382</v>
      </c>
      <c r="CC59">
        <v>214.16324633217712</v>
      </c>
      <c r="CD59">
        <v>217.66087986276744</v>
      </c>
      <c r="CE59">
        <v>213.88733161976469</v>
      </c>
      <c r="CF59">
        <v>214.52037419436692</v>
      </c>
      <c r="CG59">
        <v>211.23971425085819</v>
      </c>
      <c r="CH59">
        <v>207.91514842448242</v>
      </c>
      <c r="CI59">
        <v>204.26109494355552</v>
      </c>
      <c r="CJ59">
        <v>199.86010759542063</v>
      </c>
      <c r="CK59">
        <v>196.64901721665262</v>
      </c>
      <c r="CL59">
        <v>192.31231609037712</v>
      </c>
      <c r="CM59">
        <v>190.94658100800007</v>
      </c>
      <c r="CN59">
        <v>192.13192178804752</v>
      </c>
      <c r="CO59">
        <v>197.78804454730573</v>
      </c>
      <c r="CP59">
        <v>194.0281208699117</v>
      </c>
      <c r="CQ59">
        <v>189.9485479445089</v>
      </c>
      <c r="CR59">
        <v>193.09157574293522</v>
      </c>
      <c r="CS59">
        <v>189.51272583826645</v>
      </c>
      <c r="CT59">
        <v>186.61356681787032</v>
      </c>
      <c r="CU59">
        <v>180.13385252579542</v>
      </c>
      <c r="CV59">
        <v>0</v>
      </c>
      <c r="CW59">
        <v>0</v>
      </c>
    </row>
    <row r="60" spans="5:101" x14ac:dyDescent="0.2">
      <c r="E60">
        <v>222.13</v>
      </c>
      <c r="F60">
        <v>219.95419766930323</v>
      </c>
      <c r="G60">
        <v>219.02539773249993</v>
      </c>
      <c r="H60">
        <v>223.05204004723015</v>
      </c>
      <c r="I60">
        <v>226.49583911697994</v>
      </c>
      <c r="J60">
        <v>231.74074113542349</v>
      </c>
      <c r="K60">
        <v>227.99299752012092</v>
      </c>
      <c r="L60">
        <v>230.76191734208686</v>
      </c>
      <c r="M60">
        <v>230.34126648782956</v>
      </c>
      <c r="N60">
        <v>238.93002163327674</v>
      </c>
      <c r="O60">
        <v>237.33023063730656</v>
      </c>
      <c r="P60">
        <v>237.80013454942883</v>
      </c>
      <c r="Q60">
        <v>235.91425617654883</v>
      </c>
      <c r="R60">
        <v>234.01395679663992</v>
      </c>
      <c r="S60">
        <v>226.49901481819856</v>
      </c>
      <c r="T60">
        <v>230.90557748939167</v>
      </c>
      <c r="U60">
        <v>241.15187826424918</v>
      </c>
      <c r="V60">
        <v>236.91438996449259</v>
      </c>
      <c r="W60">
        <v>231.66584037193513</v>
      </c>
      <c r="X60">
        <v>234.8437615067555</v>
      </c>
      <c r="Y60">
        <v>241.55727032667201</v>
      </c>
      <c r="Z60">
        <v>237.40896762511289</v>
      </c>
      <c r="AA60">
        <v>236.47837232420648</v>
      </c>
      <c r="AB60">
        <v>234.73754564951756</v>
      </c>
      <c r="AC60">
        <v>240.27348595793603</v>
      </c>
      <c r="AD60">
        <v>244.72608085708589</v>
      </c>
      <c r="AE60">
        <v>236.92544420159444</v>
      </c>
      <c r="AF60">
        <v>238.9273295963238</v>
      </c>
      <c r="AG60">
        <v>235.46833443145599</v>
      </c>
      <c r="AH60">
        <v>231.49322242938524</v>
      </c>
      <c r="AI60">
        <v>232.35950272419956</v>
      </c>
      <c r="AJ60">
        <v>242.22664039910515</v>
      </c>
      <c r="AK60">
        <v>234.92531777999349</v>
      </c>
      <c r="AL60">
        <v>231.09499282717084</v>
      </c>
      <c r="AM60">
        <v>232.51870467171912</v>
      </c>
      <c r="AN60">
        <v>233.71096079185713</v>
      </c>
      <c r="AO60">
        <v>221.64348406244346</v>
      </c>
      <c r="AP60">
        <v>219.74609089841945</v>
      </c>
      <c r="AQ60">
        <v>225.41843600859548</v>
      </c>
      <c r="AR60">
        <v>222.51417047030307</v>
      </c>
      <c r="AS60">
        <v>229.47280356397121</v>
      </c>
      <c r="AT60">
        <v>231.89024653183591</v>
      </c>
      <c r="AU60">
        <v>231.1682175909749</v>
      </c>
      <c r="AV60">
        <v>226.61983962619698</v>
      </c>
      <c r="AW60">
        <v>225.12196794749974</v>
      </c>
      <c r="AX60">
        <v>223.97903271184572</v>
      </c>
      <c r="AY60">
        <v>221.48149227389979</v>
      </c>
      <c r="AZ60">
        <v>238.76528594399355</v>
      </c>
      <c r="BA60">
        <v>234.57905826895913</v>
      </c>
      <c r="BB60">
        <v>229.53668233672761</v>
      </c>
      <c r="BC60">
        <v>233.92406672387213</v>
      </c>
      <c r="BD60">
        <v>231.1118672738142</v>
      </c>
      <c r="BE60">
        <v>231.08359303093687</v>
      </c>
      <c r="BF60">
        <v>227.74933857892808</v>
      </c>
      <c r="BG60">
        <v>228.58834281297609</v>
      </c>
      <c r="BH60">
        <v>230.59912703872999</v>
      </c>
      <c r="BI60">
        <v>228.16497339153935</v>
      </c>
      <c r="BJ60">
        <v>227.51336625533276</v>
      </c>
      <c r="BK60">
        <v>228.23191542777963</v>
      </c>
      <c r="BL60">
        <v>233.52309308825787</v>
      </c>
      <c r="BM60">
        <v>234.51570758878742</v>
      </c>
      <c r="BN60">
        <v>229.01744600990597</v>
      </c>
      <c r="BO60">
        <v>237.86251465437113</v>
      </c>
      <c r="BP60">
        <v>238.79316832582836</v>
      </c>
      <c r="BQ60">
        <v>235.74891759435167</v>
      </c>
      <c r="BR60">
        <v>242.03816714321246</v>
      </c>
      <c r="BS60">
        <v>240.82560665321785</v>
      </c>
      <c r="BT60">
        <v>237.64400799034166</v>
      </c>
      <c r="BU60">
        <v>240.86306519804015</v>
      </c>
      <c r="BV60">
        <v>243.05014751148093</v>
      </c>
      <c r="BW60">
        <v>242.33960208074123</v>
      </c>
      <c r="BX60">
        <v>238.32167101393983</v>
      </c>
      <c r="BY60">
        <v>243.19007299402841</v>
      </c>
      <c r="BZ60">
        <v>235.0102266862674</v>
      </c>
      <c r="CA60">
        <v>232.5432254564698</v>
      </c>
      <c r="CB60">
        <v>233.60808316140242</v>
      </c>
      <c r="CC60">
        <v>226.89901716143967</v>
      </c>
      <c r="CD60">
        <v>227.64745636546766</v>
      </c>
      <c r="CE60">
        <v>227.18251858259035</v>
      </c>
      <c r="CF60">
        <v>224.05019455416479</v>
      </c>
      <c r="CG60">
        <v>232.58554376451067</v>
      </c>
      <c r="CH60">
        <v>234.36102655396064</v>
      </c>
      <c r="CI60">
        <v>234.72449631291173</v>
      </c>
      <c r="CJ60">
        <v>238.26906091696017</v>
      </c>
      <c r="CK60">
        <v>242.28326384087634</v>
      </c>
      <c r="CL60">
        <v>233.84183060503491</v>
      </c>
      <c r="CM60">
        <v>226.28457800650278</v>
      </c>
      <c r="CN60">
        <v>229.96640404523123</v>
      </c>
      <c r="CO60">
        <v>238.1234698975465</v>
      </c>
      <c r="CP60">
        <v>243.952938853772</v>
      </c>
      <c r="CQ60">
        <v>245.83765481848516</v>
      </c>
      <c r="CR60">
        <v>251.54693284601569</v>
      </c>
      <c r="CS60">
        <v>255.22264975536478</v>
      </c>
      <c r="CT60">
        <v>258.57049296262886</v>
      </c>
      <c r="CU60">
        <v>252.71395375318028</v>
      </c>
      <c r="CV60">
        <v>32.713953753180277</v>
      </c>
      <c r="CW60">
        <v>31.453204984354819</v>
      </c>
    </row>
    <row r="61" spans="5:101" x14ac:dyDescent="0.2">
      <c r="E61">
        <v>222.13</v>
      </c>
      <c r="F61">
        <v>220.92476013554327</v>
      </c>
      <c r="G61">
        <v>220.26096116514091</v>
      </c>
      <c r="H61">
        <v>221.76912179636074</v>
      </c>
      <c r="I61">
        <v>225.10015199530829</v>
      </c>
      <c r="J61">
        <v>223.56057020625775</v>
      </c>
      <c r="K61">
        <v>216.09368401054667</v>
      </c>
      <c r="L61">
        <v>211.14897367308413</v>
      </c>
      <c r="M61">
        <v>212.01380908876502</v>
      </c>
      <c r="N61">
        <v>213.01632012018686</v>
      </c>
      <c r="O61">
        <v>209.643483816171</v>
      </c>
      <c r="P61">
        <v>212.39054703517894</v>
      </c>
      <c r="Q61">
        <v>208.28848377267647</v>
      </c>
      <c r="R61">
        <v>202.85311036448746</v>
      </c>
      <c r="S61">
        <v>203.46468844776655</v>
      </c>
      <c r="T61">
        <v>193.55264522977387</v>
      </c>
      <c r="U61">
        <v>194.83096309510202</v>
      </c>
      <c r="V61">
        <v>199.13827892101421</v>
      </c>
      <c r="W61">
        <v>201.55419024912959</v>
      </c>
      <c r="X61">
        <v>197.12827651339001</v>
      </c>
      <c r="Y61">
        <v>193.88262268484078</v>
      </c>
      <c r="Z61">
        <v>184.56647122502343</v>
      </c>
      <c r="AA61">
        <v>179.43140443615349</v>
      </c>
      <c r="AB61">
        <v>188.96967626591388</v>
      </c>
      <c r="AC61">
        <v>181.75976453690052</v>
      </c>
      <c r="AD61">
        <v>190.75456358116978</v>
      </c>
      <c r="AE61">
        <v>193.62676365442462</v>
      </c>
      <c r="AF61">
        <v>198.5388638463196</v>
      </c>
      <c r="AG61">
        <v>196.78924326875008</v>
      </c>
      <c r="AH61">
        <v>199.46410985097765</v>
      </c>
      <c r="AI61">
        <v>196.24930447439769</v>
      </c>
      <c r="AJ61">
        <v>187.89120421070348</v>
      </c>
      <c r="AK61">
        <v>191.06537225771939</v>
      </c>
      <c r="AL61">
        <v>189.69712081188737</v>
      </c>
      <c r="AM61">
        <v>196.78977446221111</v>
      </c>
      <c r="AN61">
        <v>194.31012236793669</v>
      </c>
      <c r="AO61">
        <v>187.96132195386389</v>
      </c>
      <c r="AP61">
        <v>186.84550967966663</v>
      </c>
      <c r="AQ61">
        <v>187.81153432402658</v>
      </c>
      <c r="AR61">
        <v>195.25942715536829</v>
      </c>
      <c r="AS61">
        <v>193.3020203644941</v>
      </c>
      <c r="AT61">
        <v>195.45404650606847</v>
      </c>
      <c r="AU61">
        <v>187.79504897933614</v>
      </c>
      <c r="AV61">
        <v>190.9959333424751</v>
      </c>
      <c r="AW61">
        <v>187.40110015491126</v>
      </c>
      <c r="AX61">
        <v>193.0747741180179</v>
      </c>
      <c r="AY61">
        <v>194.77999688361629</v>
      </c>
      <c r="AZ61">
        <v>201.50199966810311</v>
      </c>
      <c r="BA61">
        <v>200.31782934148805</v>
      </c>
      <c r="BB61">
        <v>203.79732458707346</v>
      </c>
      <c r="BC61">
        <v>202.97980957617611</v>
      </c>
      <c r="BD61">
        <v>207.44276669219653</v>
      </c>
      <c r="BE61">
        <v>212.00009739387212</v>
      </c>
      <c r="BF61">
        <v>213.37667196243439</v>
      </c>
      <c r="BG61">
        <v>208.3985972136243</v>
      </c>
      <c r="BH61">
        <v>209.70936534057097</v>
      </c>
      <c r="BI61">
        <v>204.89817975231443</v>
      </c>
      <c r="BJ61">
        <v>208.17455531157125</v>
      </c>
      <c r="BK61">
        <v>201.82308517194019</v>
      </c>
      <c r="BL61">
        <v>193.89059207016822</v>
      </c>
      <c r="BM61">
        <v>196.36459048441085</v>
      </c>
      <c r="BN61">
        <v>192.12315821176097</v>
      </c>
      <c r="BO61">
        <v>195.09023797283797</v>
      </c>
      <c r="BP61">
        <v>188.94022251920438</v>
      </c>
      <c r="BQ61">
        <v>184.52212656632921</v>
      </c>
      <c r="BR61">
        <v>182.31027792834749</v>
      </c>
      <c r="BS61">
        <v>183.98037543650955</v>
      </c>
      <c r="BT61">
        <v>176.34234977170198</v>
      </c>
      <c r="BU61">
        <v>176.06406164160347</v>
      </c>
      <c r="BV61">
        <v>175.48344627450288</v>
      </c>
      <c r="BW61">
        <v>176.55832153760988</v>
      </c>
      <c r="BX61">
        <v>176.56974945478112</v>
      </c>
      <c r="BY61">
        <v>174.51975825385301</v>
      </c>
      <c r="BZ61">
        <v>186.87980398226071</v>
      </c>
      <c r="CA61">
        <v>189.39740134877786</v>
      </c>
      <c r="CB61">
        <v>190.7757282256384</v>
      </c>
      <c r="CC61">
        <v>186.42395129185093</v>
      </c>
      <c r="CD61">
        <v>187.12806966583963</v>
      </c>
      <c r="CE61">
        <v>188.51538924281229</v>
      </c>
      <c r="CF61">
        <v>184.15448555069636</v>
      </c>
      <c r="CG61">
        <v>184.2896913942871</v>
      </c>
      <c r="CH61">
        <v>182.22465520068701</v>
      </c>
      <c r="CI61">
        <v>182.78438876680346</v>
      </c>
      <c r="CJ61">
        <v>178.84921255414594</v>
      </c>
      <c r="CK61">
        <v>175.79142554202488</v>
      </c>
      <c r="CL61">
        <v>181.04715452279009</v>
      </c>
      <c r="CM61">
        <v>172.52558069478573</v>
      </c>
      <c r="CN61">
        <v>169.68144518691224</v>
      </c>
      <c r="CO61">
        <v>174.9646723311804</v>
      </c>
      <c r="CP61">
        <v>170.1750420290999</v>
      </c>
      <c r="CQ61">
        <v>165.49262412657606</v>
      </c>
      <c r="CR61">
        <v>168.56530656580694</v>
      </c>
      <c r="CS61">
        <v>166.40411101289402</v>
      </c>
      <c r="CT61">
        <v>173.8687619632876</v>
      </c>
      <c r="CU61">
        <v>176.75751190119138</v>
      </c>
      <c r="CV61">
        <v>0</v>
      </c>
      <c r="CW61">
        <v>0</v>
      </c>
    </row>
    <row r="62" spans="5:101" x14ac:dyDescent="0.2">
      <c r="E62">
        <v>222.13</v>
      </c>
      <c r="F62">
        <v>217.09100357609</v>
      </c>
      <c r="G62">
        <v>226.94660502552171</v>
      </c>
      <c r="H62">
        <v>227.5496449923489</v>
      </c>
      <c r="I62">
        <v>222.75935034357724</v>
      </c>
      <c r="J62">
        <v>236.39677486444006</v>
      </c>
      <c r="K62">
        <v>247.86315457820965</v>
      </c>
      <c r="L62">
        <v>257.35930295684739</v>
      </c>
      <c r="M62">
        <v>258.58487053765032</v>
      </c>
      <c r="N62">
        <v>261.50774776760971</v>
      </c>
      <c r="O62">
        <v>263.3597080340532</v>
      </c>
      <c r="P62">
        <v>266.00671690153109</v>
      </c>
      <c r="Q62">
        <v>276.14855258146963</v>
      </c>
      <c r="R62">
        <v>268.69798598079831</v>
      </c>
      <c r="S62">
        <v>263.16858387382734</v>
      </c>
      <c r="T62">
        <v>262.98246553137824</v>
      </c>
      <c r="U62">
        <v>255.58953535220334</v>
      </c>
      <c r="V62">
        <v>256.46861483090026</v>
      </c>
      <c r="W62">
        <v>266.62637208610067</v>
      </c>
      <c r="X62">
        <v>272.28764201985325</v>
      </c>
      <c r="Y62">
        <v>269.55478276615952</v>
      </c>
      <c r="Z62">
        <v>262.97812340848361</v>
      </c>
      <c r="AA62">
        <v>273.08747046620482</v>
      </c>
      <c r="AB62">
        <v>291.30191504424749</v>
      </c>
      <c r="AC62">
        <v>292.89829065370571</v>
      </c>
      <c r="AD62">
        <v>298.69749727809142</v>
      </c>
      <c r="AE62">
        <v>287.91656367505459</v>
      </c>
      <c r="AF62">
        <v>293.83403617368811</v>
      </c>
      <c r="AG62">
        <v>290.57445558014444</v>
      </c>
      <c r="AH62">
        <v>285.71005681481347</v>
      </c>
      <c r="AI62">
        <v>287.64755125005399</v>
      </c>
      <c r="AJ62">
        <v>295.44946656215393</v>
      </c>
      <c r="AK62">
        <v>284.96698781129419</v>
      </c>
      <c r="AL62">
        <v>276.28237352677047</v>
      </c>
      <c r="AM62">
        <v>292.96933511594642</v>
      </c>
      <c r="AN62">
        <v>286.38753762268317</v>
      </c>
      <c r="AO62">
        <v>286.98174920896537</v>
      </c>
      <c r="AP62">
        <v>283.59219857486335</v>
      </c>
      <c r="AQ62">
        <v>291.82976225699531</v>
      </c>
      <c r="AR62">
        <v>283.48858256862241</v>
      </c>
      <c r="AS62">
        <v>295.1003167531025</v>
      </c>
      <c r="AT62">
        <v>299.17158773732478</v>
      </c>
      <c r="AU62">
        <v>295.59158201682004</v>
      </c>
      <c r="AV62">
        <v>292.94045768893494</v>
      </c>
      <c r="AW62">
        <v>296.89707556514799</v>
      </c>
      <c r="AX62">
        <v>297.72201946211169</v>
      </c>
      <c r="AY62">
        <v>292.56392341268969</v>
      </c>
      <c r="AZ62">
        <v>297.64539189354036</v>
      </c>
      <c r="BA62">
        <v>292.72981519632685</v>
      </c>
      <c r="BB62">
        <v>294.08793504893714</v>
      </c>
      <c r="BC62">
        <v>295.26321571298445</v>
      </c>
      <c r="BD62">
        <v>297.40598407696245</v>
      </c>
      <c r="BE62">
        <v>304.63177048982203</v>
      </c>
      <c r="BF62">
        <v>309.39596245715097</v>
      </c>
      <c r="BG62">
        <v>314.1362025042074</v>
      </c>
      <c r="BH62">
        <v>314.12619347152048</v>
      </c>
      <c r="BI62">
        <v>309.30830802580766</v>
      </c>
      <c r="BJ62">
        <v>313.61263916772509</v>
      </c>
      <c r="BK62">
        <v>317.84694741033286</v>
      </c>
      <c r="BL62">
        <v>312.71764099078428</v>
      </c>
      <c r="BM62">
        <v>317.14739494773784</v>
      </c>
      <c r="BN62">
        <v>313.52828997545669</v>
      </c>
      <c r="BO62">
        <v>316.09058108015756</v>
      </c>
      <c r="BP62">
        <v>325.57212070255224</v>
      </c>
      <c r="BQ62">
        <v>319.55844660222169</v>
      </c>
      <c r="BR62">
        <v>313.51060997773453</v>
      </c>
      <c r="BS62">
        <v>307.31526190431902</v>
      </c>
      <c r="BT62">
        <v>307.54105062028719</v>
      </c>
      <c r="BU62">
        <v>320.83268003081787</v>
      </c>
      <c r="BV62">
        <v>310.55943229820411</v>
      </c>
      <c r="BW62">
        <v>315.46502469368357</v>
      </c>
      <c r="BX62">
        <v>321.91936275972387</v>
      </c>
      <c r="BY62">
        <v>319.84712896546813</v>
      </c>
      <c r="BZ62">
        <v>323.10942947316528</v>
      </c>
      <c r="CA62">
        <v>314.9929997102094</v>
      </c>
      <c r="CB62">
        <v>306.27922569070722</v>
      </c>
      <c r="CC62">
        <v>314.49516002778552</v>
      </c>
      <c r="CD62">
        <v>314.57755235993102</v>
      </c>
      <c r="CE62">
        <v>309.43112052602589</v>
      </c>
      <c r="CF62">
        <v>307.63789557184697</v>
      </c>
      <c r="CG62">
        <v>313.75485223462402</v>
      </c>
      <c r="CH62">
        <v>317.98999558773977</v>
      </c>
      <c r="CI62">
        <v>322.2751709300075</v>
      </c>
      <c r="CJ62">
        <v>332.76950336522754</v>
      </c>
      <c r="CK62">
        <v>333.04088705472583</v>
      </c>
      <c r="CL62">
        <v>331.46163975079401</v>
      </c>
      <c r="CM62">
        <v>337.72106310431866</v>
      </c>
      <c r="CN62">
        <v>341.66166989121911</v>
      </c>
      <c r="CO62">
        <v>337.18381377793673</v>
      </c>
      <c r="CP62">
        <v>341.63354511663039</v>
      </c>
      <c r="CQ62">
        <v>329.48600568472096</v>
      </c>
      <c r="CR62">
        <v>331.45288440617657</v>
      </c>
      <c r="CS62">
        <v>339.72173652141271</v>
      </c>
      <c r="CT62">
        <v>331.49693162337297</v>
      </c>
      <c r="CU62">
        <v>330.92782865784926</v>
      </c>
      <c r="CV62">
        <v>110.92782865784926</v>
      </c>
      <c r="CW62">
        <v>106.6528295408358</v>
      </c>
    </row>
    <row r="63" spans="5:101" x14ac:dyDescent="0.2">
      <c r="E63">
        <v>222.13</v>
      </c>
      <c r="F63">
        <v>217.97684581156111</v>
      </c>
      <c r="G63">
        <v>215.62691209175085</v>
      </c>
      <c r="H63">
        <v>225.54517787729856</v>
      </c>
      <c r="I63">
        <v>225.65716106291373</v>
      </c>
      <c r="J63">
        <v>221.68583982340181</v>
      </c>
      <c r="K63">
        <v>222.46294817676946</v>
      </c>
      <c r="L63">
        <v>220.2978552196285</v>
      </c>
      <c r="M63">
        <v>210.59521212726466</v>
      </c>
      <c r="N63">
        <v>208.76587897429999</v>
      </c>
      <c r="O63">
        <v>209.0275858801877</v>
      </c>
      <c r="P63">
        <v>207.17648285328872</v>
      </c>
      <c r="Q63">
        <v>203.06904803906627</v>
      </c>
      <c r="R63">
        <v>200.72415320201273</v>
      </c>
      <c r="S63">
        <v>200.10678567156765</v>
      </c>
      <c r="T63">
        <v>200.77191191605439</v>
      </c>
      <c r="U63">
        <v>205.19946701888884</v>
      </c>
      <c r="V63">
        <v>202.06064183781368</v>
      </c>
      <c r="W63">
        <v>200.42664919402162</v>
      </c>
      <c r="X63">
        <v>198.26201855162017</v>
      </c>
      <c r="Y63">
        <v>197.05024938831519</v>
      </c>
      <c r="Z63">
        <v>203.50716793761126</v>
      </c>
      <c r="AA63">
        <v>199.00974162143467</v>
      </c>
      <c r="AB63">
        <v>196.65165432541718</v>
      </c>
      <c r="AC63">
        <v>196.57291602296056</v>
      </c>
      <c r="AD63">
        <v>196.3335915095642</v>
      </c>
      <c r="AE63">
        <v>189.26539717126857</v>
      </c>
      <c r="AF63">
        <v>184.26010964406851</v>
      </c>
      <c r="AG63">
        <v>180.57783368180949</v>
      </c>
      <c r="AH63">
        <v>176.80986856898744</v>
      </c>
      <c r="AI63">
        <v>179.41985489742979</v>
      </c>
      <c r="AJ63">
        <v>184.92793487448506</v>
      </c>
      <c r="AK63">
        <v>183.34494048484635</v>
      </c>
      <c r="AL63">
        <v>183.67178219723365</v>
      </c>
      <c r="AM63">
        <v>178.69712397213306</v>
      </c>
      <c r="AN63">
        <v>179.47696456617774</v>
      </c>
      <c r="AO63">
        <v>167.27156291913707</v>
      </c>
      <c r="AP63">
        <v>165.97448804193627</v>
      </c>
      <c r="AQ63">
        <v>171.23361749383352</v>
      </c>
      <c r="AR63">
        <v>167.89889383273612</v>
      </c>
      <c r="AS63">
        <v>167.19134881540091</v>
      </c>
      <c r="AT63">
        <v>165.93659404949776</v>
      </c>
      <c r="AU63">
        <v>163.6486152932674</v>
      </c>
      <c r="AV63">
        <v>165.40971944061124</v>
      </c>
      <c r="AW63">
        <v>166.63402003547691</v>
      </c>
      <c r="AX63">
        <v>169.22622590032745</v>
      </c>
      <c r="AY63">
        <v>165.76606902300787</v>
      </c>
      <c r="AZ63">
        <v>165.2104095930703</v>
      </c>
      <c r="BA63">
        <v>164.16025155015643</v>
      </c>
      <c r="BB63">
        <v>162.13184043304085</v>
      </c>
      <c r="BC63">
        <v>167.1440059005607</v>
      </c>
      <c r="BD63">
        <v>169.05925704823883</v>
      </c>
      <c r="BE63">
        <v>170.04822189036003</v>
      </c>
      <c r="BF63">
        <v>168.57499834691956</v>
      </c>
      <c r="BG63">
        <v>167.25394289125791</v>
      </c>
      <c r="BH63">
        <v>166.65081597707714</v>
      </c>
      <c r="BI63">
        <v>163.36220595558189</v>
      </c>
      <c r="BJ63">
        <v>161.16984385378882</v>
      </c>
      <c r="BK63">
        <v>163.59352464862096</v>
      </c>
      <c r="BL63">
        <v>162.45176224186241</v>
      </c>
      <c r="BM63">
        <v>159.56577041066015</v>
      </c>
      <c r="BN63">
        <v>161.98565020060985</v>
      </c>
      <c r="BO63">
        <v>161.09960721480334</v>
      </c>
      <c r="BP63">
        <v>150.54013983468735</v>
      </c>
      <c r="BQ63">
        <v>155.76271588334035</v>
      </c>
      <c r="BR63">
        <v>150.38271084472638</v>
      </c>
      <c r="BS63">
        <v>148.6600327005311</v>
      </c>
      <c r="BT63">
        <v>146.04070516541191</v>
      </c>
      <c r="BU63">
        <v>148.12413645179771</v>
      </c>
      <c r="BV63">
        <v>150.56039218577166</v>
      </c>
      <c r="BW63">
        <v>146.08452692241656</v>
      </c>
      <c r="BX63">
        <v>151.16066776764109</v>
      </c>
      <c r="BY63">
        <v>149.91725150825945</v>
      </c>
      <c r="BZ63">
        <v>154.18462022360453</v>
      </c>
      <c r="CA63">
        <v>159.50276107464083</v>
      </c>
      <c r="CB63">
        <v>160.76299204975447</v>
      </c>
      <c r="CC63">
        <v>160.88596785894867</v>
      </c>
      <c r="CD63">
        <v>150.64619529392797</v>
      </c>
      <c r="CE63">
        <v>151.41707742214322</v>
      </c>
      <c r="CF63">
        <v>155.20511745097883</v>
      </c>
      <c r="CG63">
        <v>158.89909010838207</v>
      </c>
      <c r="CH63">
        <v>164.06784520496953</v>
      </c>
      <c r="CI63">
        <v>160.14278876193129</v>
      </c>
      <c r="CJ63">
        <v>157.24563011579167</v>
      </c>
      <c r="CK63">
        <v>161.20906136233285</v>
      </c>
      <c r="CL63">
        <v>166.41214492276001</v>
      </c>
      <c r="CM63">
        <v>161.63355857320346</v>
      </c>
      <c r="CN63">
        <v>159.97450392339351</v>
      </c>
      <c r="CO63">
        <v>159.88772458227305</v>
      </c>
      <c r="CP63">
        <v>155.21050209538754</v>
      </c>
      <c r="CQ63">
        <v>151.40792328029593</v>
      </c>
      <c r="CR63">
        <v>151.16686595082365</v>
      </c>
      <c r="CS63">
        <v>156.93804083380226</v>
      </c>
      <c r="CT63">
        <v>156.36768229264518</v>
      </c>
      <c r="CU63">
        <v>162.94446357591414</v>
      </c>
      <c r="CV63">
        <v>0</v>
      </c>
      <c r="CW63">
        <v>0</v>
      </c>
    </row>
    <row r="64" spans="5:101" x14ac:dyDescent="0.2">
      <c r="E64">
        <v>222.13</v>
      </c>
      <c r="F64">
        <v>214.04805613005428</v>
      </c>
      <c r="G64">
        <v>218.90376197366226</v>
      </c>
      <c r="H64">
        <v>214.59707562910617</v>
      </c>
      <c r="I64">
        <v>228.29954340154279</v>
      </c>
      <c r="J64">
        <v>231.023033590967</v>
      </c>
      <c r="K64">
        <v>230.57751573108942</v>
      </c>
      <c r="L64">
        <v>225.46439665318005</v>
      </c>
      <c r="M64">
        <v>231.47068330802168</v>
      </c>
      <c r="N64">
        <v>223.82565641424571</v>
      </c>
      <c r="O64">
        <v>220.68129171062742</v>
      </c>
      <c r="P64">
        <v>218.79419546557568</v>
      </c>
      <c r="Q64">
        <v>217.676738171897</v>
      </c>
      <c r="R64">
        <v>212.41510714629996</v>
      </c>
      <c r="S64">
        <v>213.7674653803075</v>
      </c>
      <c r="T64">
        <v>212.88782062734234</v>
      </c>
      <c r="U64">
        <v>213.05525237685126</v>
      </c>
      <c r="V64">
        <v>208.40469093128647</v>
      </c>
      <c r="W64">
        <v>204.99488288676562</v>
      </c>
      <c r="X64">
        <v>210.88780912535253</v>
      </c>
      <c r="Y64">
        <v>209.47268332697936</v>
      </c>
      <c r="Z64">
        <v>205.15666234018491</v>
      </c>
      <c r="AA64">
        <v>206.57392256474679</v>
      </c>
      <c r="AB64">
        <v>202.6731139270025</v>
      </c>
      <c r="AC64">
        <v>205.08694100362368</v>
      </c>
      <c r="AD64">
        <v>203.00262124475344</v>
      </c>
      <c r="AE64">
        <v>206.06542885449915</v>
      </c>
      <c r="AF64">
        <v>200.91202167934102</v>
      </c>
      <c r="AG64">
        <v>199.15787282995942</v>
      </c>
      <c r="AH64">
        <v>200.85882642315298</v>
      </c>
      <c r="AI64">
        <v>188.09254681627667</v>
      </c>
      <c r="AJ64">
        <v>181.93173184956279</v>
      </c>
      <c r="AK64">
        <v>185.63775495809284</v>
      </c>
      <c r="AL64">
        <v>188.16558331804708</v>
      </c>
      <c r="AM64">
        <v>189.34717772078164</v>
      </c>
      <c r="AN64">
        <v>187.47895556235295</v>
      </c>
      <c r="AO64">
        <v>187.66033979580516</v>
      </c>
      <c r="AP64">
        <v>184.99728644133836</v>
      </c>
      <c r="AQ64">
        <v>183.80403819371824</v>
      </c>
      <c r="AR64">
        <v>177.33374290365171</v>
      </c>
      <c r="AS64">
        <v>180.50513057397617</v>
      </c>
      <c r="AT64">
        <v>176.96193142875089</v>
      </c>
      <c r="AU64">
        <v>174.46170462404481</v>
      </c>
      <c r="AV64">
        <v>167.88232909992507</v>
      </c>
      <c r="AW64">
        <v>168.76497906740957</v>
      </c>
      <c r="AX64">
        <v>168.40112610520211</v>
      </c>
      <c r="AY64">
        <v>167.51816431965477</v>
      </c>
      <c r="AZ64">
        <v>169.52114440299681</v>
      </c>
      <c r="BA64">
        <v>168.85956210746681</v>
      </c>
      <c r="BB64">
        <v>170.88394483335628</v>
      </c>
      <c r="BC64">
        <v>167.35055767211395</v>
      </c>
      <c r="BD64">
        <v>165.35785344699354</v>
      </c>
      <c r="BE64">
        <v>163.93977468530895</v>
      </c>
      <c r="BF64">
        <v>166.43548172020559</v>
      </c>
      <c r="BG64">
        <v>175.14029363114761</v>
      </c>
      <c r="BH64">
        <v>167.94061467463814</v>
      </c>
      <c r="BI64">
        <v>170.56952126386679</v>
      </c>
      <c r="BJ64">
        <v>164.77522433670006</v>
      </c>
      <c r="BK64">
        <v>164.63239946942338</v>
      </c>
      <c r="BL64">
        <v>162.01026205058534</v>
      </c>
      <c r="BM64">
        <v>165.1673213877007</v>
      </c>
      <c r="BN64">
        <v>167.34011812021311</v>
      </c>
      <c r="BO64">
        <v>170.97345483313492</v>
      </c>
      <c r="BP64">
        <v>165.26382869097836</v>
      </c>
      <c r="BQ64">
        <v>163.91794146538021</v>
      </c>
      <c r="BR64">
        <v>164.57721066576678</v>
      </c>
      <c r="BS64">
        <v>162.52004232409203</v>
      </c>
      <c r="BT64">
        <v>166.43101784964946</v>
      </c>
      <c r="BU64">
        <v>163.33939312891067</v>
      </c>
      <c r="BV64">
        <v>161.32109014766445</v>
      </c>
      <c r="BW64">
        <v>164.08705666833231</v>
      </c>
      <c r="BX64">
        <v>160.71138311369663</v>
      </c>
      <c r="BY64">
        <v>157.92227464446475</v>
      </c>
      <c r="BZ64">
        <v>159.54474442892331</v>
      </c>
      <c r="CA64">
        <v>157.62454173080167</v>
      </c>
      <c r="CB64">
        <v>156.69551333106577</v>
      </c>
      <c r="CC64">
        <v>154.5621364035415</v>
      </c>
      <c r="CD64">
        <v>151.52246807802453</v>
      </c>
      <c r="CE64">
        <v>151.89126724505235</v>
      </c>
      <c r="CF64">
        <v>148.0952050722268</v>
      </c>
      <c r="CG64">
        <v>150.37116544696522</v>
      </c>
      <c r="CH64">
        <v>154.02579340512355</v>
      </c>
      <c r="CI64">
        <v>156.2786597795359</v>
      </c>
      <c r="CJ64">
        <v>159.06098684922708</v>
      </c>
      <c r="CK64">
        <v>163.10687170189743</v>
      </c>
      <c r="CL64">
        <v>168.51355647888911</v>
      </c>
      <c r="CM64">
        <v>166.5981522416651</v>
      </c>
      <c r="CN64">
        <v>165.16586419145287</v>
      </c>
      <c r="CO64">
        <v>158.92501872301219</v>
      </c>
      <c r="CP64">
        <v>157.0307035114588</v>
      </c>
      <c r="CQ64">
        <v>154.77016105595013</v>
      </c>
      <c r="CR64">
        <v>154.7354551289414</v>
      </c>
      <c r="CS64">
        <v>151.75720197270616</v>
      </c>
      <c r="CT64">
        <v>149.52297209836331</v>
      </c>
      <c r="CU64">
        <v>153.77876286222198</v>
      </c>
      <c r="CV64">
        <v>0</v>
      </c>
      <c r="CW64">
        <v>0</v>
      </c>
    </row>
    <row r="65" spans="5:101" x14ac:dyDescent="0.2">
      <c r="E65">
        <v>222.13</v>
      </c>
      <c r="F65">
        <v>222.67643723017352</v>
      </c>
      <c r="G65">
        <v>222.09828458657793</v>
      </c>
      <c r="H65">
        <v>216.7863410894297</v>
      </c>
      <c r="I65">
        <v>220.60170278910451</v>
      </c>
      <c r="J65">
        <v>218.34601868011518</v>
      </c>
      <c r="K65">
        <v>208.94352111386664</v>
      </c>
      <c r="L65">
        <v>208.59828572023071</v>
      </c>
      <c r="M65">
        <v>215.70922503683889</v>
      </c>
      <c r="N65">
        <v>219.45586709457251</v>
      </c>
      <c r="O65">
        <v>213.8217824200529</v>
      </c>
      <c r="P65">
        <v>214.5831034258855</v>
      </c>
      <c r="Q65">
        <v>219.38324935503991</v>
      </c>
      <c r="R65">
        <v>220.2989835116195</v>
      </c>
      <c r="S65">
        <v>214.86455260459337</v>
      </c>
      <c r="T65">
        <v>224.51207656343675</v>
      </c>
      <c r="U65">
        <v>220.92161066432607</v>
      </c>
      <c r="V65">
        <v>217.51778382865973</v>
      </c>
      <c r="W65">
        <v>214.11749962468329</v>
      </c>
      <c r="X65">
        <v>207.66247081319293</v>
      </c>
      <c r="Y65">
        <v>214.57894844759781</v>
      </c>
      <c r="Z65">
        <v>210.23270977248373</v>
      </c>
      <c r="AA65">
        <v>211.56084201447837</v>
      </c>
      <c r="AB65">
        <v>218.2292414883166</v>
      </c>
      <c r="AC65">
        <v>222.73686673620989</v>
      </c>
      <c r="AD65">
        <v>225.87259956496726</v>
      </c>
      <c r="AE65">
        <v>236.0498573732059</v>
      </c>
      <c r="AF65">
        <v>230.33790176093868</v>
      </c>
      <c r="AG65">
        <v>230.76944865224755</v>
      </c>
      <c r="AH65">
        <v>229.88011497436662</v>
      </c>
      <c r="AI65">
        <v>231.72710856760131</v>
      </c>
      <c r="AJ65">
        <v>222.16869201335382</v>
      </c>
      <c r="AK65">
        <v>228.86534640562283</v>
      </c>
      <c r="AL65">
        <v>228.40646544905161</v>
      </c>
      <c r="AM65">
        <v>226.99652654294857</v>
      </c>
      <c r="AN65">
        <v>212.49431217404143</v>
      </c>
      <c r="AO65">
        <v>209.73609715450002</v>
      </c>
      <c r="AP65">
        <v>207.26848205242024</v>
      </c>
      <c r="AQ65">
        <v>208.57563256695747</v>
      </c>
      <c r="AR65">
        <v>223.24467873798764</v>
      </c>
      <c r="AS65">
        <v>234.67897879476084</v>
      </c>
      <c r="AT65">
        <v>238.58210455644831</v>
      </c>
      <c r="AU65">
        <v>245.68175157962469</v>
      </c>
      <c r="AV65">
        <v>250.42710763621295</v>
      </c>
      <c r="AW65">
        <v>242.07779438296532</v>
      </c>
      <c r="AX65">
        <v>239.13861676399594</v>
      </c>
      <c r="AY65">
        <v>228.59119983084454</v>
      </c>
      <c r="AZ65">
        <v>230.52141251593147</v>
      </c>
      <c r="BA65">
        <v>229.77357908261834</v>
      </c>
      <c r="BB65">
        <v>232.17549448304294</v>
      </c>
      <c r="BC65">
        <v>222.00007408610284</v>
      </c>
      <c r="BD65">
        <v>226.89359473389243</v>
      </c>
      <c r="BE65">
        <v>231.76968066244385</v>
      </c>
      <c r="BF65">
        <v>235.11873497913578</v>
      </c>
      <c r="BG65">
        <v>232.61582179790693</v>
      </c>
      <c r="BH65">
        <v>225.33060221232978</v>
      </c>
      <c r="BI65">
        <v>230.28330355343329</v>
      </c>
      <c r="BJ65">
        <v>222.5525427885978</v>
      </c>
      <c r="BK65">
        <v>229.53424399737352</v>
      </c>
      <c r="BL65">
        <v>231.73615677932452</v>
      </c>
      <c r="BM65">
        <v>233.27733999974214</v>
      </c>
      <c r="BN65">
        <v>239.78042067253833</v>
      </c>
      <c r="BO65">
        <v>233.34027637657687</v>
      </c>
      <c r="BP65">
        <v>232.87764084877358</v>
      </c>
      <c r="BQ65">
        <v>235.96760452454751</v>
      </c>
      <c r="BR65">
        <v>233.25344505159731</v>
      </c>
      <c r="BS65">
        <v>235.23587805184064</v>
      </c>
      <c r="BT65">
        <v>239.19739561117311</v>
      </c>
      <c r="BU65">
        <v>233.69421588997571</v>
      </c>
      <c r="BV65">
        <v>219.1448576698991</v>
      </c>
      <c r="BW65">
        <v>221.28973429103928</v>
      </c>
      <c r="BX65">
        <v>215.98210770138385</v>
      </c>
      <c r="BY65">
        <v>217.29074541478195</v>
      </c>
      <c r="BZ65">
        <v>213.36948450777894</v>
      </c>
      <c r="CA65">
        <v>209.43140598261846</v>
      </c>
      <c r="CB65">
        <v>214.25456148292722</v>
      </c>
      <c r="CC65">
        <v>216.64181291023948</v>
      </c>
      <c r="CD65">
        <v>210.43226354827306</v>
      </c>
      <c r="CE65">
        <v>211.23369556530213</v>
      </c>
      <c r="CF65">
        <v>214.54615100756334</v>
      </c>
      <c r="CG65">
        <v>209.44281301714489</v>
      </c>
      <c r="CH65">
        <v>210.49368449928036</v>
      </c>
      <c r="CI65">
        <v>215.17240019891503</v>
      </c>
      <c r="CJ65">
        <v>202.79482653965238</v>
      </c>
      <c r="CK65">
        <v>199.96302092160417</v>
      </c>
      <c r="CL65">
        <v>199.27124462449066</v>
      </c>
      <c r="CM65">
        <v>192.79503109936454</v>
      </c>
      <c r="CN65">
        <v>188.54157127649339</v>
      </c>
      <c r="CO65">
        <v>185.71330791632698</v>
      </c>
      <c r="CP65">
        <v>188.51464795878525</v>
      </c>
      <c r="CQ65">
        <v>186.9152092653041</v>
      </c>
      <c r="CR65">
        <v>188.99555997057274</v>
      </c>
      <c r="CS65">
        <v>190.842496912315</v>
      </c>
      <c r="CT65">
        <v>194.95341521927079</v>
      </c>
      <c r="CU65">
        <v>199.29343158726564</v>
      </c>
      <c r="CV65">
        <v>0</v>
      </c>
      <c r="CW65">
        <v>0</v>
      </c>
    </row>
    <row r="66" spans="5:101" x14ac:dyDescent="0.2">
      <c r="E66">
        <v>222.13</v>
      </c>
      <c r="F66">
        <v>224.36072068352743</v>
      </c>
      <c r="G66">
        <v>223.29069998521743</v>
      </c>
      <c r="H66">
        <v>222.88848104981773</v>
      </c>
      <c r="I66">
        <v>223.13316042119686</v>
      </c>
      <c r="J66">
        <v>218.10307944216004</v>
      </c>
      <c r="K66">
        <v>221.54340191636993</v>
      </c>
      <c r="L66">
        <v>225.06401618765605</v>
      </c>
      <c r="M66">
        <v>230.47095008539068</v>
      </c>
      <c r="N66">
        <v>236.0134237101351</v>
      </c>
      <c r="O66">
        <v>226.23454666379652</v>
      </c>
      <c r="P66">
        <v>224.41480012879612</v>
      </c>
      <c r="Q66">
        <v>220.49650170471742</v>
      </c>
      <c r="R66">
        <v>224.81529643160138</v>
      </c>
      <c r="S66">
        <v>229.09852406857195</v>
      </c>
      <c r="T66">
        <v>233.47650833956408</v>
      </c>
      <c r="U66">
        <v>236.69575262780199</v>
      </c>
      <c r="V66">
        <v>239.22864135134449</v>
      </c>
      <c r="W66">
        <v>241.95195007953851</v>
      </c>
      <c r="X66">
        <v>240.05542941338447</v>
      </c>
      <c r="Y66">
        <v>241.99932296097478</v>
      </c>
      <c r="Z66">
        <v>242.32588056414579</v>
      </c>
      <c r="AA66">
        <v>238.99025312657199</v>
      </c>
      <c r="AB66">
        <v>238.48420974868091</v>
      </c>
      <c r="AC66">
        <v>237.14586154890114</v>
      </c>
      <c r="AD66">
        <v>248.57735090867865</v>
      </c>
      <c r="AE66">
        <v>248.67669093551459</v>
      </c>
      <c r="AF66">
        <v>256.89941582070571</v>
      </c>
      <c r="AG66">
        <v>251.0635584066095</v>
      </c>
      <c r="AH66">
        <v>253.42150353853242</v>
      </c>
      <c r="AI66">
        <v>250.00761966761257</v>
      </c>
      <c r="AJ66">
        <v>258.91633636488626</v>
      </c>
      <c r="AK66">
        <v>259.17669975528617</v>
      </c>
      <c r="AL66">
        <v>253.18478716905011</v>
      </c>
      <c r="AM66">
        <v>256.34612027710688</v>
      </c>
      <c r="AN66">
        <v>258.14763081715739</v>
      </c>
      <c r="AO66">
        <v>260.58678240910575</v>
      </c>
      <c r="AP66">
        <v>257.01517947625041</v>
      </c>
      <c r="AQ66">
        <v>258.56672266679936</v>
      </c>
      <c r="AR66">
        <v>251.32692924111979</v>
      </c>
      <c r="AS66">
        <v>257.73452574212229</v>
      </c>
      <c r="AT66">
        <v>262.83333117265141</v>
      </c>
      <c r="AU66">
        <v>264.2949932787966</v>
      </c>
      <c r="AV66">
        <v>255.1406349747129</v>
      </c>
      <c r="AW66">
        <v>260.32844851572088</v>
      </c>
      <c r="AX66">
        <v>270.9094745827885</v>
      </c>
      <c r="AY66">
        <v>262.05659265241667</v>
      </c>
      <c r="AZ66">
        <v>260.20676205111414</v>
      </c>
      <c r="BA66">
        <v>250.18135809788265</v>
      </c>
      <c r="BB66">
        <v>251.48357998715252</v>
      </c>
      <c r="BC66">
        <v>244.68760329702832</v>
      </c>
      <c r="BD66">
        <v>237.10546357771514</v>
      </c>
      <c r="BE66">
        <v>236.7227754358432</v>
      </c>
      <c r="BF66">
        <v>244.52612763065468</v>
      </c>
      <c r="BG66">
        <v>240.6593854599009</v>
      </c>
      <c r="BH66">
        <v>242.79303724920823</v>
      </c>
      <c r="BI66">
        <v>238.1783183555205</v>
      </c>
      <c r="BJ66">
        <v>228.58284208359285</v>
      </c>
      <c r="BK66">
        <v>228.99490222181643</v>
      </c>
      <c r="BL66">
        <v>225.9386381855671</v>
      </c>
      <c r="BM66">
        <v>228.86780928512175</v>
      </c>
      <c r="BN66">
        <v>232.34301645647736</v>
      </c>
      <c r="BO66">
        <v>238.10689381482428</v>
      </c>
      <c r="BP66">
        <v>235.55262866936579</v>
      </c>
      <c r="BQ66">
        <v>226.94546922638068</v>
      </c>
      <c r="BR66">
        <v>228.79541302114225</v>
      </c>
      <c r="BS66">
        <v>226.2750057525478</v>
      </c>
      <c r="BT66">
        <v>213.56571263983963</v>
      </c>
      <c r="BU66">
        <v>217.47262464330333</v>
      </c>
      <c r="BV66">
        <v>214.47502565364198</v>
      </c>
      <c r="BW66">
        <v>211.08932388862124</v>
      </c>
      <c r="BX66">
        <v>217.13993394985999</v>
      </c>
      <c r="BY66">
        <v>220.94297162335164</v>
      </c>
      <c r="BZ66">
        <v>223.39871180747122</v>
      </c>
      <c r="CA66">
        <v>232.98416346932419</v>
      </c>
      <c r="CB66">
        <v>233.2256541686217</v>
      </c>
      <c r="CC66">
        <v>237.08653342544432</v>
      </c>
      <c r="CD66">
        <v>246.42909597742897</v>
      </c>
      <c r="CE66">
        <v>254.08601787565956</v>
      </c>
      <c r="CF66">
        <v>251.70344589393471</v>
      </c>
      <c r="CG66">
        <v>247.05138241280568</v>
      </c>
      <c r="CH66">
        <v>248.72884558176693</v>
      </c>
      <c r="CI66">
        <v>248.04899398791918</v>
      </c>
      <c r="CJ66">
        <v>258.22765834576984</v>
      </c>
      <c r="CK66">
        <v>252.12782675361967</v>
      </c>
      <c r="CL66">
        <v>248.49557020171326</v>
      </c>
      <c r="CM66">
        <v>247.17603032348703</v>
      </c>
      <c r="CN66">
        <v>248.79000512671087</v>
      </c>
      <c r="CO66">
        <v>257.56527887857845</v>
      </c>
      <c r="CP66">
        <v>259.05962646929606</v>
      </c>
      <c r="CQ66">
        <v>265.64593972396239</v>
      </c>
      <c r="CR66">
        <v>272.53552061326525</v>
      </c>
      <c r="CS66">
        <v>283.84069312357838</v>
      </c>
      <c r="CT66">
        <v>282.26330664644775</v>
      </c>
      <c r="CU66">
        <v>276.03862876045008</v>
      </c>
      <c r="CV66">
        <v>56.038628760450081</v>
      </c>
      <c r="CW66">
        <v>53.878980533597158</v>
      </c>
    </row>
    <row r="67" spans="5:101" x14ac:dyDescent="0.2">
      <c r="E67">
        <v>222.13</v>
      </c>
      <c r="F67">
        <v>232.06985128163001</v>
      </c>
      <c r="G67">
        <v>231.49526816589574</v>
      </c>
      <c r="H67">
        <v>230.69115212249181</v>
      </c>
      <c r="I67">
        <v>232.05712986665415</v>
      </c>
      <c r="J67">
        <v>227.7280869424234</v>
      </c>
      <c r="K67">
        <v>242.27511045075525</v>
      </c>
      <c r="L67">
        <v>248.22945796016248</v>
      </c>
      <c r="M67">
        <v>240.85226461697872</v>
      </c>
      <c r="N67">
        <v>247.5880715522309</v>
      </c>
      <c r="O67">
        <v>252.71046375712444</v>
      </c>
      <c r="P67">
        <v>260.48220849020504</v>
      </c>
      <c r="Q67">
        <v>244.89706986407316</v>
      </c>
      <c r="R67">
        <v>246.94591207948179</v>
      </c>
      <c r="S67">
        <v>252.33047436842369</v>
      </c>
      <c r="T67">
        <v>249.74432387043925</v>
      </c>
      <c r="U67">
        <v>261.94017830566486</v>
      </c>
      <c r="V67">
        <v>266.70798809058465</v>
      </c>
      <c r="W67">
        <v>263.06503398756928</v>
      </c>
      <c r="X67">
        <v>257.37051430410924</v>
      </c>
      <c r="Y67">
        <v>261.54068170148446</v>
      </c>
      <c r="Z67">
        <v>267.18888118473808</v>
      </c>
      <c r="AA67">
        <v>262.79151856439591</v>
      </c>
      <c r="AB67">
        <v>269.3768941756926</v>
      </c>
      <c r="AC67">
        <v>269.54133602667565</v>
      </c>
      <c r="AD67">
        <v>279.09016017437978</v>
      </c>
      <c r="AE67">
        <v>283.44776532077162</v>
      </c>
      <c r="AF67">
        <v>292.50654348879641</v>
      </c>
      <c r="AG67">
        <v>293.23656763424754</v>
      </c>
      <c r="AH67">
        <v>298.94790875194929</v>
      </c>
      <c r="AI67">
        <v>308.50597722073917</v>
      </c>
      <c r="AJ67">
        <v>300.3127933552052</v>
      </c>
      <c r="AK67">
        <v>300.66686718185656</v>
      </c>
      <c r="AL67">
        <v>298.41991942474294</v>
      </c>
      <c r="AM67">
        <v>294.44227764514608</v>
      </c>
      <c r="AN67">
        <v>304.47250860379296</v>
      </c>
      <c r="AO67">
        <v>313.95362557691186</v>
      </c>
      <c r="AP67">
        <v>303.39197283392355</v>
      </c>
      <c r="AQ67">
        <v>284.71784360440932</v>
      </c>
      <c r="AR67">
        <v>275.39034764965731</v>
      </c>
      <c r="AS67">
        <v>269.96774146705201</v>
      </c>
      <c r="AT67">
        <v>269.75384488002248</v>
      </c>
      <c r="AU67">
        <v>286.00240738917182</v>
      </c>
      <c r="AV67">
        <v>289.5453340620254</v>
      </c>
      <c r="AW67">
        <v>296.57773284846002</v>
      </c>
      <c r="AX67">
        <v>292.62256381657505</v>
      </c>
      <c r="AY67">
        <v>291.59183268486601</v>
      </c>
      <c r="AZ67">
        <v>294.7608769338425</v>
      </c>
      <c r="BA67">
        <v>295.53785011910588</v>
      </c>
      <c r="BB67">
        <v>288.96328737924665</v>
      </c>
      <c r="BC67">
        <v>289.21970348624194</v>
      </c>
      <c r="BD67">
        <v>289.87937470857906</v>
      </c>
      <c r="BE67">
        <v>289.00411087717379</v>
      </c>
      <c r="BF67">
        <v>288.2805495781472</v>
      </c>
      <c r="BG67">
        <v>269.26402749807102</v>
      </c>
      <c r="BH67">
        <v>273.46261952509866</v>
      </c>
      <c r="BI67">
        <v>278.22793545939135</v>
      </c>
      <c r="BJ67">
        <v>278.64005788934276</v>
      </c>
      <c r="BK67">
        <v>277.77857358919044</v>
      </c>
      <c r="BL67">
        <v>275.79881868806905</v>
      </c>
      <c r="BM67">
        <v>276.4908916608486</v>
      </c>
      <c r="BN67">
        <v>279.65860213073125</v>
      </c>
      <c r="BO67">
        <v>275.07008477669945</v>
      </c>
      <c r="BP67">
        <v>268.07837343233888</v>
      </c>
      <c r="BQ67">
        <v>255.46262812518913</v>
      </c>
      <c r="BR67">
        <v>264.16773810803488</v>
      </c>
      <c r="BS67">
        <v>261.78028826731014</v>
      </c>
      <c r="BT67">
        <v>275.39107562580222</v>
      </c>
      <c r="BU67">
        <v>284.14853401256534</v>
      </c>
      <c r="BV67">
        <v>284.89461276867257</v>
      </c>
      <c r="BW67">
        <v>289.58970194071475</v>
      </c>
      <c r="BX67">
        <v>273.12890886225853</v>
      </c>
      <c r="BY67">
        <v>272.39205347105815</v>
      </c>
      <c r="BZ67">
        <v>277.93085575805759</v>
      </c>
      <c r="CA67">
        <v>289.21258779452194</v>
      </c>
      <c r="CB67">
        <v>285.68732839891658</v>
      </c>
      <c r="CC67">
        <v>271.25025326216939</v>
      </c>
      <c r="CD67">
        <v>263.01101598505284</v>
      </c>
      <c r="CE67">
        <v>253.15480961218634</v>
      </c>
      <c r="CF67">
        <v>257.33655402179454</v>
      </c>
      <c r="CG67">
        <v>264.38084236021621</v>
      </c>
      <c r="CH67">
        <v>261.13479819286431</v>
      </c>
      <c r="CI67">
        <v>251.64823935769894</v>
      </c>
      <c r="CJ67">
        <v>260.33646372435976</v>
      </c>
      <c r="CK67">
        <v>266.11703603719161</v>
      </c>
      <c r="CL67">
        <v>266.42881650512288</v>
      </c>
      <c r="CM67">
        <v>263.35945337592136</v>
      </c>
      <c r="CN67">
        <v>267.73170004458194</v>
      </c>
      <c r="CO67">
        <v>274.662699950074</v>
      </c>
      <c r="CP67">
        <v>274.78380707213353</v>
      </c>
      <c r="CQ67">
        <v>274.83345450079872</v>
      </c>
      <c r="CR67">
        <v>276.3933323087229</v>
      </c>
      <c r="CS67">
        <v>270.89328726632306</v>
      </c>
      <c r="CT67">
        <v>272.9968896630744</v>
      </c>
      <c r="CU67">
        <v>267.18560806883647</v>
      </c>
      <c r="CV67">
        <v>47.185608068836473</v>
      </c>
      <c r="CW67">
        <v>45.367142537953249</v>
      </c>
    </row>
    <row r="68" spans="5:101" x14ac:dyDescent="0.2">
      <c r="E68">
        <v>222.13</v>
      </c>
      <c r="F68">
        <v>230.11982438419096</v>
      </c>
      <c r="G68">
        <v>231.21996102313773</v>
      </c>
      <c r="H68">
        <v>234.53634518450289</v>
      </c>
      <c r="I68">
        <v>237.42295599366062</v>
      </c>
      <c r="J68">
        <v>233.81820930883453</v>
      </c>
      <c r="K68">
        <v>234.10063929539641</v>
      </c>
      <c r="L68">
        <v>236.3242591152142</v>
      </c>
      <c r="M68">
        <v>233.71629337031135</v>
      </c>
      <c r="N68">
        <v>236.90682187437704</v>
      </c>
      <c r="O68">
        <v>244.89255369272186</v>
      </c>
      <c r="P68">
        <v>250.13937819334203</v>
      </c>
      <c r="Q68">
        <v>249.72951555228471</v>
      </c>
      <c r="R68">
        <v>253.52248488601501</v>
      </c>
      <c r="S68">
        <v>257.50302801561475</v>
      </c>
      <c r="T68">
        <v>258.69956206932443</v>
      </c>
      <c r="U68">
        <v>257.35348130850878</v>
      </c>
      <c r="V68">
        <v>256.29229301541682</v>
      </c>
      <c r="W68">
        <v>258.9645561392274</v>
      </c>
      <c r="X68">
        <v>273.0273056315898</v>
      </c>
      <c r="Y68">
        <v>258.13677660107987</v>
      </c>
      <c r="Z68">
        <v>247.10815011231111</v>
      </c>
      <c r="AA68">
        <v>240.92866206466778</v>
      </c>
      <c r="AB68">
        <v>245.80611580196191</v>
      </c>
      <c r="AC68">
        <v>238.02693096271105</v>
      </c>
      <c r="AD68">
        <v>239.33896056958309</v>
      </c>
      <c r="AE68">
        <v>246.94981127528959</v>
      </c>
      <c r="AF68">
        <v>244.42318426188982</v>
      </c>
      <c r="AG68">
        <v>232.7831520217795</v>
      </c>
      <c r="AH68">
        <v>237.68186287797863</v>
      </c>
      <c r="AI68">
        <v>243.67159326327021</v>
      </c>
      <c r="AJ68">
        <v>246.97291364827856</v>
      </c>
      <c r="AK68">
        <v>240.13864220662984</v>
      </c>
      <c r="AL68">
        <v>241.07461963396648</v>
      </c>
      <c r="AM68">
        <v>234.04881973933388</v>
      </c>
      <c r="AN68">
        <v>220.99562541996326</v>
      </c>
      <c r="AO68">
        <v>221.88375278065661</v>
      </c>
      <c r="AP68">
        <v>227.27495454709035</v>
      </c>
      <c r="AQ68">
        <v>219.42121456923337</v>
      </c>
      <c r="AR68">
        <v>222.05624379759493</v>
      </c>
      <c r="AS68">
        <v>235.43201842948875</v>
      </c>
      <c r="AT68">
        <v>243.98464587559215</v>
      </c>
      <c r="AU68">
        <v>252.32855098360889</v>
      </c>
      <c r="AV68">
        <v>241.12063425788918</v>
      </c>
      <c r="AW68">
        <v>248.15043471406125</v>
      </c>
      <c r="AX68">
        <v>252.99683376908393</v>
      </c>
      <c r="AY68">
        <v>263.97659878337635</v>
      </c>
      <c r="AZ68">
        <v>261.18648853811635</v>
      </c>
      <c r="BA68">
        <v>266.08773246035139</v>
      </c>
      <c r="BB68">
        <v>268.95831321612025</v>
      </c>
      <c r="BC68">
        <v>279.23399911986854</v>
      </c>
      <c r="BD68">
        <v>281.33988267253324</v>
      </c>
      <c r="BE68">
        <v>270.24463682127532</v>
      </c>
      <c r="BF68">
        <v>267.8035557646823</v>
      </c>
      <c r="BG68">
        <v>260.03494645993112</v>
      </c>
      <c r="BH68">
        <v>262.52054208971987</v>
      </c>
      <c r="BI68">
        <v>262.00704450175778</v>
      </c>
      <c r="BJ68">
        <v>264.65278785433412</v>
      </c>
      <c r="BK68">
        <v>252.4381231664386</v>
      </c>
      <c r="BL68">
        <v>260.89173939871785</v>
      </c>
      <c r="BM68">
        <v>265.41338432278462</v>
      </c>
      <c r="BN68">
        <v>259.5788310446361</v>
      </c>
      <c r="BO68">
        <v>265.21441165697775</v>
      </c>
      <c r="BP68">
        <v>270.42490368248497</v>
      </c>
      <c r="BQ68">
        <v>268.15601797188179</v>
      </c>
      <c r="BR68">
        <v>274.7825548494468</v>
      </c>
      <c r="BS68">
        <v>265.20226487715121</v>
      </c>
      <c r="BT68">
        <v>276.73001659983123</v>
      </c>
      <c r="BU68">
        <v>279.23879668495351</v>
      </c>
      <c r="BV68">
        <v>280.16220037332459</v>
      </c>
      <c r="BW68">
        <v>289.75470627862524</v>
      </c>
      <c r="BX68">
        <v>292.80558267074525</v>
      </c>
      <c r="BY68">
        <v>286.54270560376017</v>
      </c>
      <c r="BZ68">
        <v>288.11942528616305</v>
      </c>
      <c r="CA68">
        <v>294.70331458651327</v>
      </c>
      <c r="CB68">
        <v>287.69068023419629</v>
      </c>
      <c r="CC68">
        <v>281.23030889258018</v>
      </c>
      <c r="CD68">
        <v>283.7666375173456</v>
      </c>
      <c r="CE68">
        <v>291.37310041821985</v>
      </c>
      <c r="CF68">
        <v>288.42057976419483</v>
      </c>
      <c r="CG68">
        <v>293.61638627723835</v>
      </c>
      <c r="CH68">
        <v>293.74052098934618</v>
      </c>
      <c r="CI68">
        <v>296.92102162088412</v>
      </c>
      <c r="CJ68">
        <v>301.01477413494848</v>
      </c>
      <c r="CK68">
        <v>299.09894131205834</v>
      </c>
      <c r="CL68">
        <v>295.3716558832333</v>
      </c>
      <c r="CM68">
        <v>289.04276849580992</v>
      </c>
      <c r="CN68">
        <v>283.00473080486574</v>
      </c>
      <c r="CO68">
        <v>283.66718999954975</v>
      </c>
      <c r="CP68">
        <v>272.79168741619878</v>
      </c>
      <c r="CQ68">
        <v>274.28302227154944</v>
      </c>
      <c r="CR68">
        <v>269.61407534728534</v>
      </c>
      <c r="CS68">
        <v>266.50373477260678</v>
      </c>
      <c r="CT68">
        <v>264.4344041497115</v>
      </c>
      <c r="CU68">
        <v>262.32033497735023</v>
      </c>
      <c r="CV68">
        <v>42.320334977350228</v>
      </c>
      <c r="CW68">
        <v>40.689370080183423</v>
      </c>
    </row>
    <row r="69" spans="5:101" x14ac:dyDescent="0.2">
      <c r="E69">
        <v>222.13</v>
      </c>
      <c r="F69">
        <v>229.59780665960417</v>
      </c>
      <c r="G69">
        <v>232.96937645039043</v>
      </c>
      <c r="H69">
        <v>229.03055225566231</v>
      </c>
      <c r="I69">
        <v>225.56990785836513</v>
      </c>
      <c r="J69">
        <v>228.89744052660086</v>
      </c>
      <c r="K69">
        <v>230.78398937957655</v>
      </c>
      <c r="L69">
        <v>240.37928336711477</v>
      </c>
      <c r="M69">
        <v>238.22414733399745</v>
      </c>
      <c r="N69">
        <v>236.71504517634719</v>
      </c>
      <c r="O69">
        <v>233.64242346468311</v>
      </c>
      <c r="P69">
        <v>234.81218880363446</v>
      </c>
      <c r="Q69">
        <v>229.16216257933468</v>
      </c>
      <c r="R69">
        <v>230.64580664813221</v>
      </c>
      <c r="S69">
        <v>228.40460865313406</v>
      </c>
      <c r="T69">
        <v>222.1005492327601</v>
      </c>
      <c r="U69">
        <v>218.552373009181</v>
      </c>
      <c r="V69">
        <v>220.74126845147083</v>
      </c>
      <c r="W69">
        <v>221.91355663290409</v>
      </c>
      <c r="X69">
        <v>215.402313740484</v>
      </c>
      <c r="Y69">
        <v>215.485421898905</v>
      </c>
      <c r="Z69">
        <v>216.8819424487551</v>
      </c>
      <c r="AA69">
        <v>214.76842219123247</v>
      </c>
      <c r="AB69">
        <v>222.15634360084897</v>
      </c>
      <c r="AC69">
        <v>215.30306649089124</v>
      </c>
      <c r="AD69">
        <v>212.88157903727767</v>
      </c>
      <c r="AE69">
        <v>208.65290482511944</v>
      </c>
      <c r="AF69">
        <v>204.76140927660967</v>
      </c>
      <c r="AG69">
        <v>200.44033136835444</v>
      </c>
      <c r="AH69">
        <v>200.8775469122829</v>
      </c>
      <c r="AI69">
        <v>200.52866709149069</v>
      </c>
      <c r="AJ69">
        <v>196.57055601804896</v>
      </c>
      <c r="AK69">
        <v>197.36955075180509</v>
      </c>
      <c r="AL69">
        <v>199.77547699920592</v>
      </c>
      <c r="AM69">
        <v>198.46824666037097</v>
      </c>
      <c r="AN69">
        <v>200.95463457528197</v>
      </c>
      <c r="AO69">
        <v>199.98426874300608</v>
      </c>
      <c r="AP69">
        <v>190.07539804211632</v>
      </c>
      <c r="AQ69">
        <v>194.92783260020627</v>
      </c>
      <c r="AR69">
        <v>193.76532616277825</v>
      </c>
      <c r="AS69">
        <v>195.57243830616909</v>
      </c>
      <c r="AT69">
        <v>196.49703263389895</v>
      </c>
      <c r="AU69">
        <v>199.7888386738525</v>
      </c>
      <c r="AV69">
        <v>192.79498784454614</v>
      </c>
      <c r="AW69">
        <v>199.30261390340442</v>
      </c>
      <c r="AX69">
        <v>199.81453035197239</v>
      </c>
      <c r="AY69">
        <v>196.12548346277276</v>
      </c>
      <c r="AZ69">
        <v>194.77217629290075</v>
      </c>
      <c r="BA69">
        <v>192.51171072719183</v>
      </c>
      <c r="BB69">
        <v>179.69565860409335</v>
      </c>
      <c r="BC69">
        <v>178.84108943769263</v>
      </c>
      <c r="BD69">
        <v>183.25966384004943</v>
      </c>
      <c r="BE69">
        <v>184.50018235724059</v>
      </c>
      <c r="BF69">
        <v>189.11550182400441</v>
      </c>
      <c r="BG69">
        <v>191.15275182883437</v>
      </c>
      <c r="BH69">
        <v>193.23576329785928</v>
      </c>
      <c r="BI69">
        <v>195.95026927978364</v>
      </c>
      <c r="BJ69">
        <v>198.18126104498603</v>
      </c>
      <c r="BK69">
        <v>193.68244258837368</v>
      </c>
      <c r="BL69">
        <v>197.29820774127782</v>
      </c>
      <c r="BM69">
        <v>201.87130206951943</v>
      </c>
      <c r="BN69">
        <v>203.88814393455138</v>
      </c>
      <c r="BO69">
        <v>205.56634469066887</v>
      </c>
      <c r="BP69">
        <v>211.18137848198398</v>
      </c>
      <c r="BQ69">
        <v>213.17400832355753</v>
      </c>
      <c r="BR69">
        <v>215.97746637569014</v>
      </c>
      <c r="BS69">
        <v>218.47961661876741</v>
      </c>
      <c r="BT69">
        <v>219.82704249097287</v>
      </c>
      <c r="BU69">
        <v>223.53153771049978</v>
      </c>
      <c r="BV69">
        <v>229.01324230661032</v>
      </c>
      <c r="BW69">
        <v>222.28067480396905</v>
      </c>
      <c r="BX69">
        <v>215.42099255293121</v>
      </c>
      <c r="BY69">
        <v>211.76537776663005</v>
      </c>
      <c r="BZ69">
        <v>210.71195225355279</v>
      </c>
      <c r="CA69">
        <v>213.71684334092126</v>
      </c>
      <c r="CB69">
        <v>203.855312768326</v>
      </c>
      <c r="CC69">
        <v>199.72410370232737</v>
      </c>
      <c r="CD69">
        <v>203.13528993152676</v>
      </c>
      <c r="CE69">
        <v>205.0545161784236</v>
      </c>
      <c r="CF69">
        <v>205.16581220133614</v>
      </c>
      <c r="CG69">
        <v>194.34761396913819</v>
      </c>
      <c r="CH69">
        <v>192.60647812074981</v>
      </c>
      <c r="CI69">
        <v>198.0637152493716</v>
      </c>
      <c r="CJ69">
        <v>195.77664742387142</v>
      </c>
      <c r="CK69">
        <v>192.49834344585977</v>
      </c>
      <c r="CL69">
        <v>190.93466703446478</v>
      </c>
      <c r="CM69">
        <v>192.12029189400084</v>
      </c>
      <c r="CN69">
        <v>198.48203488394179</v>
      </c>
      <c r="CO69">
        <v>203.77597045383195</v>
      </c>
      <c r="CP69">
        <v>205.61928166522046</v>
      </c>
      <c r="CQ69">
        <v>213.02010128351077</v>
      </c>
      <c r="CR69">
        <v>209.4797076747908</v>
      </c>
      <c r="CS69">
        <v>207.33560841157671</v>
      </c>
      <c r="CT69">
        <v>206.00827583411973</v>
      </c>
      <c r="CU69">
        <v>203.16430953829132</v>
      </c>
      <c r="CV69">
        <v>0</v>
      </c>
      <c r="CW69">
        <v>0</v>
      </c>
    </row>
    <row r="70" spans="5:101" x14ac:dyDescent="0.2">
      <c r="E70">
        <v>222.13</v>
      </c>
      <c r="F70">
        <v>225.85416079243552</v>
      </c>
      <c r="G70">
        <v>226.13759720750193</v>
      </c>
      <c r="H70">
        <v>227.389061876271</v>
      </c>
      <c r="I70">
        <v>225.71550535923663</v>
      </c>
      <c r="J70">
        <v>219.54874961705579</v>
      </c>
      <c r="K70">
        <v>211.81905783429437</v>
      </c>
      <c r="L70">
        <v>218.37215548762563</v>
      </c>
      <c r="M70">
        <v>220.67751247214616</v>
      </c>
      <c r="N70">
        <v>232.12036929171953</v>
      </c>
      <c r="O70">
        <v>226.89485691592628</v>
      </c>
      <c r="P70">
        <v>223.58167968897851</v>
      </c>
      <c r="Q70">
        <v>220.18507887909749</v>
      </c>
      <c r="R70">
        <v>225.31444311765347</v>
      </c>
      <c r="S70">
        <v>231.33618401247904</v>
      </c>
      <c r="T70">
        <v>236.86908367364532</v>
      </c>
      <c r="U70">
        <v>227.08983536023891</v>
      </c>
      <c r="V70">
        <v>223.63206071037888</v>
      </c>
      <c r="W70">
        <v>219.46010495478578</v>
      </c>
      <c r="X70">
        <v>224.81922744328685</v>
      </c>
      <c r="Y70">
        <v>213.44685743206898</v>
      </c>
      <c r="Z70">
        <v>202.42071622103205</v>
      </c>
      <c r="AA70">
        <v>201.76303223881095</v>
      </c>
      <c r="AB70">
        <v>206.09488269787352</v>
      </c>
      <c r="AC70">
        <v>205.96315265669364</v>
      </c>
      <c r="AD70">
        <v>213.54208691280209</v>
      </c>
      <c r="AE70">
        <v>212.37846781586092</v>
      </c>
      <c r="AF70">
        <v>218.13700598157686</v>
      </c>
      <c r="AG70">
        <v>215.34525238008851</v>
      </c>
      <c r="AH70">
        <v>214.72922361199156</v>
      </c>
      <c r="AI70">
        <v>217.96843759351972</v>
      </c>
      <c r="AJ70">
        <v>215.22888201264166</v>
      </c>
      <c r="AK70">
        <v>216.96819520015976</v>
      </c>
      <c r="AL70">
        <v>212.5492123905135</v>
      </c>
      <c r="AM70">
        <v>214.31352833285879</v>
      </c>
      <c r="AN70">
        <v>221.40373287388434</v>
      </c>
      <c r="AO70">
        <v>217.33326412959457</v>
      </c>
      <c r="AP70">
        <v>217.32344332604777</v>
      </c>
      <c r="AQ70">
        <v>212.24743404332821</v>
      </c>
      <c r="AR70">
        <v>204.60151243762343</v>
      </c>
      <c r="AS70">
        <v>205.32716876387809</v>
      </c>
      <c r="AT70">
        <v>206.04068425973671</v>
      </c>
      <c r="AU70">
        <v>208.93839054086916</v>
      </c>
      <c r="AV70">
        <v>211.95487375375566</v>
      </c>
      <c r="AW70">
        <v>205.59508718476158</v>
      </c>
      <c r="AX70">
        <v>210.6517223281945</v>
      </c>
      <c r="AY70">
        <v>211.10332978454039</v>
      </c>
      <c r="AZ70">
        <v>215.61839671566634</v>
      </c>
      <c r="BA70">
        <v>215.11075301909915</v>
      </c>
      <c r="BB70">
        <v>219.52816989620786</v>
      </c>
      <c r="BC70">
        <v>217.20722124582173</v>
      </c>
      <c r="BD70">
        <v>227.19365604215218</v>
      </c>
      <c r="BE70">
        <v>234.83833463445936</v>
      </c>
      <c r="BF70">
        <v>237.71500563849253</v>
      </c>
      <c r="BG70">
        <v>248.57913815990892</v>
      </c>
      <c r="BH70">
        <v>243.71873465487997</v>
      </c>
      <c r="BI70">
        <v>242.08186888668996</v>
      </c>
      <c r="BJ70">
        <v>228.52751060044011</v>
      </c>
      <c r="BK70">
        <v>225.77572098775127</v>
      </c>
      <c r="BL70">
        <v>229.91515871254987</v>
      </c>
      <c r="BM70">
        <v>225.61661879639473</v>
      </c>
      <c r="BN70">
        <v>228.41389560700392</v>
      </c>
      <c r="BO70">
        <v>221.64831571147991</v>
      </c>
      <c r="BP70">
        <v>224.84167483644978</v>
      </c>
      <c r="BQ70">
        <v>217.85172291658395</v>
      </c>
      <c r="BR70">
        <v>213.24032526300363</v>
      </c>
      <c r="BS70">
        <v>206.53945487547136</v>
      </c>
      <c r="BT70">
        <v>201.59248358446908</v>
      </c>
      <c r="BU70">
        <v>208.34962248359756</v>
      </c>
      <c r="BV70">
        <v>209.74144165256487</v>
      </c>
      <c r="BW70">
        <v>215.17754659703547</v>
      </c>
      <c r="BX70">
        <v>218.40252033701111</v>
      </c>
      <c r="BY70">
        <v>213.42318948005058</v>
      </c>
      <c r="BZ70">
        <v>221.39681799773882</v>
      </c>
      <c r="CA70">
        <v>222.04535090962466</v>
      </c>
      <c r="CB70">
        <v>223.14539295836173</v>
      </c>
      <c r="CC70">
        <v>222.14945501524602</v>
      </c>
      <c r="CD70">
        <v>220.88431154161188</v>
      </c>
      <c r="CE70">
        <v>227.42733450451178</v>
      </c>
      <c r="CF70">
        <v>233.68265347079165</v>
      </c>
      <c r="CG70">
        <v>233.22758132984256</v>
      </c>
      <c r="CH70">
        <v>238.61164676270019</v>
      </c>
      <c r="CI70">
        <v>228.61397630740194</v>
      </c>
      <c r="CJ70">
        <v>226.01023366843538</v>
      </c>
      <c r="CK70">
        <v>224.8829183969828</v>
      </c>
      <c r="CL70">
        <v>224.67208511356495</v>
      </c>
      <c r="CM70">
        <v>225.97490522296224</v>
      </c>
      <c r="CN70">
        <v>234.37410813681393</v>
      </c>
      <c r="CO70">
        <v>235.17733893485806</v>
      </c>
      <c r="CP70">
        <v>237.54905992375001</v>
      </c>
      <c r="CQ70">
        <v>247.79639547041904</v>
      </c>
      <c r="CR70">
        <v>253.37535491347052</v>
      </c>
      <c r="CS70">
        <v>253.4300004081511</v>
      </c>
      <c r="CT70">
        <v>260.04391901669243</v>
      </c>
      <c r="CU70">
        <v>258.68257631995755</v>
      </c>
      <c r="CV70">
        <v>38.682576319957548</v>
      </c>
      <c r="CW70">
        <v>37.191805414113055</v>
      </c>
    </row>
    <row r="71" spans="5:101" x14ac:dyDescent="0.2">
      <c r="E71">
        <v>222.13</v>
      </c>
      <c r="F71">
        <v>217.67519021875563</v>
      </c>
      <c r="G71">
        <v>217.82614263415132</v>
      </c>
      <c r="H71">
        <v>219.18270409780396</v>
      </c>
      <c r="I71">
        <v>216.61490145375092</v>
      </c>
      <c r="J71">
        <v>217.93156224470493</v>
      </c>
      <c r="K71">
        <v>227.51556634128079</v>
      </c>
      <c r="L71">
        <v>226.71852758104751</v>
      </c>
      <c r="M71">
        <v>226.3853117444369</v>
      </c>
      <c r="N71">
        <v>231.23528058614582</v>
      </c>
      <c r="O71">
        <v>235.44453496741204</v>
      </c>
      <c r="P71">
        <v>232.13800285653136</v>
      </c>
      <c r="Q71">
        <v>238.3145841237216</v>
      </c>
      <c r="R71">
        <v>242.55002840109384</v>
      </c>
      <c r="S71">
        <v>239.48503281565218</v>
      </c>
      <c r="T71">
        <v>239.96318139760828</v>
      </c>
      <c r="U71">
        <v>236.78846407371847</v>
      </c>
      <c r="V71">
        <v>244.34534252256881</v>
      </c>
      <c r="W71">
        <v>246.16840753304143</v>
      </c>
      <c r="X71">
        <v>246.81840340861294</v>
      </c>
      <c r="Y71">
        <v>241.31924723858856</v>
      </c>
      <c r="Z71">
        <v>239.60298213958427</v>
      </c>
      <c r="AA71">
        <v>241.81510769137714</v>
      </c>
      <c r="AB71">
        <v>230.55103534059302</v>
      </c>
      <c r="AC71">
        <v>229.69572576801357</v>
      </c>
      <c r="AD71">
        <v>227.20501717447868</v>
      </c>
      <c r="AE71">
        <v>229.08884786854415</v>
      </c>
      <c r="AF71">
        <v>230.47171540662114</v>
      </c>
      <c r="AG71">
        <v>222.61581017556435</v>
      </c>
      <c r="AH71">
        <v>215.25111988267787</v>
      </c>
      <c r="AI71">
        <v>217.24973811404234</v>
      </c>
      <c r="AJ71">
        <v>227.68373151356317</v>
      </c>
      <c r="AK71">
        <v>228.87285268993159</v>
      </c>
      <c r="AL71">
        <v>229.25613644407625</v>
      </c>
      <c r="AM71">
        <v>228.24431496529033</v>
      </c>
      <c r="AN71">
        <v>226.50688942381569</v>
      </c>
      <c r="AO71">
        <v>225.68125908301616</v>
      </c>
      <c r="AP71">
        <v>229.99139036184144</v>
      </c>
      <c r="AQ71">
        <v>229.56083561800801</v>
      </c>
      <c r="AR71">
        <v>235.53383648094868</v>
      </c>
      <c r="AS71">
        <v>243.61354413457704</v>
      </c>
      <c r="AT71">
        <v>238.71143924403614</v>
      </c>
      <c r="AU71">
        <v>228.41311606024334</v>
      </c>
      <c r="AV71">
        <v>233.50064118185799</v>
      </c>
      <c r="AW71">
        <v>236.66547355504665</v>
      </c>
      <c r="AX71">
        <v>236.26479795812298</v>
      </c>
      <c r="AY71">
        <v>233.20571701336934</v>
      </c>
      <c r="AZ71">
        <v>240.08184568383348</v>
      </c>
      <c r="BA71">
        <v>241.77410075060172</v>
      </c>
      <c r="BB71">
        <v>241.37217981842511</v>
      </c>
      <c r="BC71">
        <v>242.96202087295671</v>
      </c>
      <c r="BD71">
        <v>241.91866692442881</v>
      </c>
      <c r="BE71">
        <v>250.79694462930337</v>
      </c>
      <c r="BF71">
        <v>240.22284170473299</v>
      </c>
      <c r="BG71">
        <v>241.40215154768742</v>
      </c>
      <c r="BH71">
        <v>236.30911826497623</v>
      </c>
      <c r="BI71">
        <v>239.44309095353202</v>
      </c>
      <c r="BJ71">
        <v>240.7303483981471</v>
      </c>
      <c r="BK71">
        <v>240.71469956517404</v>
      </c>
      <c r="BL71">
        <v>236.44864166097477</v>
      </c>
      <c r="BM71">
        <v>239.48643679951547</v>
      </c>
      <c r="BN71">
        <v>231.64132819106828</v>
      </c>
      <c r="BO71">
        <v>233.45452381022952</v>
      </c>
      <c r="BP71">
        <v>241.44155569336544</v>
      </c>
      <c r="BQ71">
        <v>241.3449153495346</v>
      </c>
      <c r="BR71">
        <v>249.46273586888984</v>
      </c>
      <c r="BS71">
        <v>249.85700582777849</v>
      </c>
      <c r="BT71">
        <v>242.71467484451938</v>
      </c>
      <c r="BU71">
        <v>242.38861058564211</v>
      </c>
      <c r="BV71">
        <v>238.93214380091129</v>
      </c>
      <c r="BW71">
        <v>231.15676208686429</v>
      </c>
      <c r="BX71">
        <v>231.23022734232663</v>
      </c>
      <c r="BY71">
        <v>238.40187253648472</v>
      </c>
      <c r="BZ71">
        <v>235.345971207291</v>
      </c>
      <c r="CA71">
        <v>235.78181255461431</v>
      </c>
      <c r="CB71">
        <v>240.66403256126156</v>
      </c>
      <c r="CC71">
        <v>242.81625681571927</v>
      </c>
      <c r="CD71">
        <v>238.17251087036703</v>
      </c>
      <c r="CE71">
        <v>238.03480458459978</v>
      </c>
      <c r="CF71">
        <v>237.53178732737723</v>
      </c>
      <c r="CG71">
        <v>237.36472451284135</v>
      </c>
      <c r="CH71">
        <v>240.28809483114634</v>
      </c>
      <c r="CI71">
        <v>238.73698249656411</v>
      </c>
      <c r="CJ71">
        <v>227.39079350731703</v>
      </c>
      <c r="CK71">
        <v>217.63795390675239</v>
      </c>
      <c r="CL71">
        <v>215.6919012861508</v>
      </c>
      <c r="CM71">
        <v>212.02665712176761</v>
      </c>
      <c r="CN71">
        <v>206.87638749012737</v>
      </c>
      <c r="CO71">
        <v>208.03160492380925</v>
      </c>
      <c r="CP71">
        <v>203.25644656256998</v>
      </c>
      <c r="CQ71">
        <v>203.86165029128506</v>
      </c>
      <c r="CR71">
        <v>198.9033929734741</v>
      </c>
      <c r="CS71">
        <v>205.29965386470022</v>
      </c>
      <c r="CT71">
        <v>197.42168554891285</v>
      </c>
      <c r="CU71">
        <v>190.40515726852209</v>
      </c>
      <c r="CV71">
        <v>0</v>
      </c>
      <c r="CW71">
        <v>0</v>
      </c>
    </row>
    <row r="72" spans="5:101" x14ac:dyDescent="0.2">
      <c r="E72">
        <v>222.13</v>
      </c>
      <c r="F72">
        <v>228.37198712849175</v>
      </c>
      <c r="G72">
        <v>230.68330996225276</v>
      </c>
      <c r="H72">
        <v>229.95838927627145</v>
      </c>
      <c r="I72">
        <v>235.64790358726481</v>
      </c>
      <c r="J72">
        <v>236.22276627075118</v>
      </c>
      <c r="K72">
        <v>242.44487278217383</v>
      </c>
      <c r="L72">
        <v>242.16600886838762</v>
      </c>
      <c r="M72">
        <v>243.2197955451002</v>
      </c>
      <c r="N72">
        <v>248.48254794855697</v>
      </c>
      <c r="O72">
        <v>244.52226116393277</v>
      </c>
      <c r="P72">
        <v>245.84269927502038</v>
      </c>
      <c r="Q72">
        <v>249.72163397113971</v>
      </c>
      <c r="R72">
        <v>241.54430232835296</v>
      </c>
      <c r="S72">
        <v>249.15517189458086</v>
      </c>
      <c r="T72">
        <v>248.69568845128876</v>
      </c>
      <c r="U72">
        <v>248.0736992504107</v>
      </c>
      <c r="V72">
        <v>245.0876939543233</v>
      </c>
      <c r="W72">
        <v>257.65506107984402</v>
      </c>
      <c r="X72">
        <v>256.63484145287543</v>
      </c>
      <c r="Y72">
        <v>252.40691512994161</v>
      </c>
      <c r="Z72">
        <v>250.27765684775062</v>
      </c>
      <c r="AA72">
        <v>254.4014473983315</v>
      </c>
      <c r="AB72">
        <v>260.52807505045945</v>
      </c>
      <c r="AC72">
        <v>260.81275123194553</v>
      </c>
      <c r="AD72">
        <v>266.939487813715</v>
      </c>
      <c r="AE72">
        <v>276.60526454776004</v>
      </c>
      <c r="AF72">
        <v>281.31190745918559</v>
      </c>
      <c r="AG72">
        <v>281.10771905196538</v>
      </c>
      <c r="AH72">
        <v>287.63890817607614</v>
      </c>
      <c r="AI72">
        <v>287.32308912328881</v>
      </c>
      <c r="AJ72">
        <v>278.52314976409855</v>
      </c>
      <c r="AK72">
        <v>276.79997825570825</v>
      </c>
      <c r="AL72">
        <v>272.27931092008657</v>
      </c>
      <c r="AM72">
        <v>261.30765283473079</v>
      </c>
      <c r="AN72">
        <v>252.97558537187334</v>
      </c>
      <c r="AO72">
        <v>262.62025488055912</v>
      </c>
      <c r="AP72">
        <v>262.50064951111301</v>
      </c>
      <c r="AQ72">
        <v>268.22917448220699</v>
      </c>
      <c r="AR72">
        <v>256.46627236381244</v>
      </c>
      <c r="AS72">
        <v>255.74559234542656</v>
      </c>
      <c r="AT72">
        <v>263.47238959190236</v>
      </c>
      <c r="AU72">
        <v>256.11979080846146</v>
      </c>
      <c r="AV72">
        <v>254.00721502827324</v>
      </c>
      <c r="AW72">
        <v>256.76932135365064</v>
      </c>
      <c r="AX72">
        <v>263.00984459311104</v>
      </c>
      <c r="AY72">
        <v>264.07258942010048</v>
      </c>
      <c r="AZ72">
        <v>258.8426781535581</v>
      </c>
      <c r="BA72">
        <v>257.69719046442765</v>
      </c>
      <c r="BB72">
        <v>267.62598052891082</v>
      </c>
      <c r="BC72">
        <v>271.93608552750237</v>
      </c>
      <c r="BD72">
        <v>272.05525932907079</v>
      </c>
      <c r="BE72">
        <v>269.02488439943687</v>
      </c>
      <c r="BF72">
        <v>275.71004292034394</v>
      </c>
      <c r="BG72">
        <v>273.1319370235509</v>
      </c>
      <c r="BH72">
        <v>265.06314790429417</v>
      </c>
      <c r="BI72">
        <v>265.16221952388247</v>
      </c>
      <c r="BJ72">
        <v>267.90062135967634</v>
      </c>
      <c r="BK72">
        <v>286.43843295978718</v>
      </c>
      <c r="BL72">
        <v>286.82216001034521</v>
      </c>
      <c r="BM72">
        <v>285.04774890745568</v>
      </c>
      <c r="BN72">
        <v>284.88094645543572</v>
      </c>
      <c r="BO72">
        <v>295.50748290921865</v>
      </c>
      <c r="BP72">
        <v>298.23077469134944</v>
      </c>
      <c r="BQ72">
        <v>291.42143139177415</v>
      </c>
      <c r="BR72">
        <v>291.04737531640353</v>
      </c>
      <c r="BS72">
        <v>289.21223009898063</v>
      </c>
      <c r="BT72">
        <v>301.39055218916388</v>
      </c>
      <c r="BU72">
        <v>293.2607874843556</v>
      </c>
      <c r="BV72">
        <v>293.18481244188609</v>
      </c>
      <c r="BW72">
        <v>295.18997388815552</v>
      </c>
      <c r="BX72">
        <v>301.66263283401531</v>
      </c>
      <c r="BY72">
        <v>308.38463338376266</v>
      </c>
      <c r="BZ72">
        <v>300.92192542744698</v>
      </c>
      <c r="CA72">
        <v>300.57313259916242</v>
      </c>
      <c r="CB72">
        <v>304.24790734682739</v>
      </c>
      <c r="CC72">
        <v>318.4255424829754</v>
      </c>
      <c r="CD72">
        <v>318.7061620472673</v>
      </c>
      <c r="CE72">
        <v>323.55305063601833</v>
      </c>
      <c r="CF72">
        <v>326.21582945691131</v>
      </c>
      <c r="CG72">
        <v>325.98999433439116</v>
      </c>
      <c r="CH72">
        <v>333.40260911150017</v>
      </c>
      <c r="CI72">
        <v>335.7862307949589</v>
      </c>
      <c r="CJ72">
        <v>334.01986118374498</v>
      </c>
      <c r="CK72">
        <v>351.78631621625306</v>
      </c>
      <c r="CL72">
        <v>360.57918528648543</v>
      </c>
      <c r="CM72">
        <v>366.32856547751118</v>
      </c>
      <c r="CN72">
        <v>361.92796019849294</v>
      </c>
      <c r="CO72">
        <v>358.47894128377777</v>
      </c>
      <c r="CP72">
        <v>354.96670529030939</v>
      </c>
      <c r="CQ72">
        <v>337.22106431107625</v>
      </c>
      <c r="CR72">
        <v>340.07056762889175</v>
      </c>
      <c r="CS72">
        <v>335.01061764590617</v>
      </c>
      <c r="CT72">
        <v>332.33979930781607</v>
      </c>
      <c r="CU72">
        <v>324.731471315291</v>
      </c>
      <c r="CV72">
        <v>104.731471315291</v>
      </c>
      <c r="CW72">
        <v>100.69527090630817</v>
      </c>
    </row>
    <row r="73" spans="5:101" x14ac:dyDescent="0.2">
      <c r="E73">
        <v>222.13</v>
      </c>
      <c r="F73">
        <v>219.226142518974</v>
      </c>
      <c r="G73">
        <v>222.01307799403591</v>
      </c>
      <c r="H73">
        <v>219.82690588020043</v>
      </c>
      <c r="I73">
        <v>211.63332117537874</v>
      </c>
      <c r="J73">
        <v>216.1178907445462</v>
      </c>
      <c r="K73">
        <v>218.25301518658168</v>
      </c>
      <c r="L73">
        <v>215.51556777507196</v>
      </c>
      <c r="M73">
        <v>218.46775780011987</v>
      </c>
      <c r="N73">
        <v>217.26408734136066</v>
      </c>
      <c r="O73">
        <v>221.21189952235059</v>
      </c>
      <c r="P73">
        <v>230.9247000407718</v>
      </c>
      <c r="Q73">
        <v>225.70831625254436</v>
      </c>
      <c r="R73">
        <v>233.45171149529321</v>
      </c>
      <c r="S73">
        <v>228.71164156922558</v>
      </c>
      <c r="T73">
        <v>225.03334514349686</v>
      </c>
      <c r="U73">
        <v>220.7664658890109</v>
      </c>
      <c r="V73">
        <v>218.13469540975439</v>
      </c>
      <c r="W73">
        <v>219.28279421530326</v>
      </c>
      <c r="X73">
        <v>211.55501947531164</v>
      </c>
      <c r="Y73">
        <v>211.91160658971427</v>
      </c>
      <c r="Z73">
        <v>212.82203382437746</v>
      </c>
      <c r="AA73">
        <v>214.42562421333241</v>
      </c>
      <c r="AB73">
        <v>219.2820708387442</v>
      </c>
      <c r="AC73">
        <v>219.79767509836168</v>
      </c>
      <c r="AD73">
        <v>217.12006892731</v>
      </c>
      <c r="AE73">
        <v>217.41438730540298</v>
      </c>
      <c r="AF73">
        <v>217.32318791385276</v>
      </c>
      <c r="AG73">
        <v>212.64009493072166</v>
      </c>
      <c r="AH73">
        <v>210.57112465476152</v>
      </c>
      <c r="AI73">
        <v>210.14045024684768</v>
      </c>
      <c r="AJ73">
        <v>204.10035706063516</v>
      </c>
      <c r="AK73">
        <v>213.0093892044226</v>
      </c>
      <c r="AL73">
        <v>208.75389372773859</v>
      </c>
      <c r="AM73">
        <v>213.60695200268876</v>
      </c>
      <c r="AN73">
        <v>215.46918677222644</v>
      </c>
      <c r="AO73">
        <v>214.64860506137373</v>
      </c>
      <c r="AP73">
        <v>220.05462778437925</v>
      </c>
      <c r="AQ73">
        <v>226.05346104209281</v>
      </c>
      <c r="AR73">
        <v>224.69732360261395</v>
      </c>
      <c r="AS73">
        <v>218.47224787461246</v>
      </c>
      <c r="AT73">
        <v>226.86931580368633</v>
      </c>
      <c r="AU73">
        <v>231.55414081415506</v>
      </c>
      <c r="AV73">
        <v>238.34955551179078</v>
      </c>
      <c r="AW73">
        <v>237.24889407168118</v>
      </c>
      <c r="AX73">
        <v>241.8864998212469</v>
      </c>
      <c r="AY73">
        <v>240.85618011218509</v>
      </c>
      <c r="AZ73">
        <v>228.41925533345614</v>
      </c>
      <c r="BA73">
        <v>228.00232011464954</v>
      </c>
      <c r="BB73">
        <v>221.34098370557302</v>
      </c>
      <c r="BC73">
        <v>223.98216357012151</v>
      </c>
      <c r="BD73">
        <v>224.24272707537787</v>
      </c>
      <c r="BE73">
        <v>221.68569325180874</v>
      </c>
      <c r="BF73">
        <v>214.03018467515159</v>
      </c>
      <c r="BG73">
        <v>216.29212653660721</v>
      </c>
      <c r="BH73">
        <v>216.72952908928235</v>
      </c>
      <c r="BI73">
        <v>224.61185693287058</v>
      </c>
      <c r="BJ73">
        <v>225.20941001022391</v>
      </c>
      <c r="BK73">
        <v>234.41341984082754</v>
      </c>
      <c r="BL73">
        <v>226.65671812830666</v>
      </c>
      <c r="BM73">
        <v>219.15795948247325</v>
      </c>
      <c r="BN73">
        <v>219.00707811439011</v>
      </c>
      <c r="BO73">
        <v>228.17731124918379</v>
      </c>
      <c r="BP73">
        <v>240.92243416166343</v>
      </c>
      <c r="BQ73">
        <v>244.75792848176118</v>
      </c>
      <c r="BR73">
        <v>247.18355891469409</v>
      </c>
      <c r="BS73">
        <v>251.80589574125653</v>
      </c>
      <c r="BT73">
        <v>251.27971482549881</v>
      </c>
      <c r="BU73">
        <v>246.37770602686194</v>
      </c>
      <c r="BV73">
        <v>244.49547100912841</v>
      </c>
      <c r="BW73">
        <v>237.12394861101123</v>
      </c>
      <c r="BX73">
        <v>237.09529751437296</v>
      </c>
      <c r="BY73">
        <v>241.15327871262724</v>
      </c>
      <c r="BZ73">
        <v>243.13222704765812</v>
      </c>
      <c r="CA73">
        <v>251.11815634000814</v>
      </c>
      <c r="CB73">
        <v>251.05942625573988</v>
      </c>
      <c r="CC73">
        <v>246.9278747865925</v>
      </c>
      <c r="CD73">
        <v>238.31125129572962</v>
      </c>
      <c r="CE73">
        <v>250.12992801053792</v>
      </c>
      <c r="CF73">
        <v>245.38121450869144</v>
      </c>
      <c r="CG73">
        <v>247.96001831858734</v>
      </c>
      <c r="CH73">
        <v>253.65212430947071</v>
      </c>
      <c r="CI73">
        <v>249.39167261186947</v>
      </c>
      <c r="CJ73">
        <v>255.90539188582579</v>
      </c>
      <c r="CK73">
        <v>243.73879599816439</v>
      </c>
      <c r="CL73">
        <v>240.39508608725069</v>
      </c>
      <c r="CM73">
        <v>234.02002633257837</v>
      </c>
      <c r="CN73">
        <v>226.08565755802289</v>
      </c>
      <c r="CO73">
        <v>227.38067908728587</v>
      </c>
      <c r="CP73">
        <v>228.54547155177227</v>
      </c>
      <c r="CQ73">
        <v>218.65546081660656</v>
      </c>
      <c r="CR73">
        <v>224.48964097668451</v>
      </c>
      <c r="CS73">
        <v>221.7179107679774</v>
      </c>
      <c r="CT73">
        <v>223.89092445825165</v>
      </c>
      <c r="CU73">
        <v>231.76668391648408</v>
      </c>
      <c r="CV73">
        <v>11.766683916484084</v>
      </c>
      <c r="CW73">
        <v>11.313212826661337</v>
      </c>
    </row>
    <row r="74" spans="5:101" x14ac:dyDescent="0.2">
      <c r="E74">
        <v>222.13</v>
      </c>
      <c r="F74">
        <v>215.96440691564541</v>
      </c>
      <c r="G74">
        <v>209.16140377159533</v>
      </c>
      <c r="H74">
        <v>205.20533563030125</v>
      </c>
      <c r="I74">
        <v>203.45152020269094</v>
      </c>
      <c r="J74">
        <v>201.97920489519785</v>
      </c>
      <c r="K74">
        <v>207.44676593313869</v>
      </c>
      <c r="L74">
        <v>208.38907256452231</v>
      </c>
      <c r="M74">
        <v>208.458277200852</v>
      </c>
      <c r="N74">
        <v>203.84677932760124</v>
      </c>
      <c r="O74">
        <v>206.63388368027671</v>
      </c>
      <c r="P74">
        <v>205.17894898532094</v>
      </c>
      <c r="Q74">
        <v>207.1577246661904</v>
      </c>
      <c r="R74">
        <v>203.8651914220294</v>
      </c>
      <c r="S74">
        <v>202.72025789829209</v>
      </c>
      <c r="T74">
        <v>209.89832383153097</v>
      </c>
      <c r="U74">
        <v>203.9431865195686</v>
      </c>
      <c r="V74">
        <v>204.92074224251081</v>
      </c>
      <c r="W74">
        <v>200.81863215349824</v>
      </c>
      <c r="X74">
        <v>199.56919541078105</v>
      </c>
      <c r="Y74">
        <v>202.24607719199389</v>
      </c>
      <c r="Z74">
        <v>211.13428785134292</v>
      </c>
      <c r="AA74">
        <v>209.16737911341619</v>
      </c>
      <c r="AB74">
        <v>211.30406713762832</v>
      </c>
      <c r="AC74">
        <v>206.52213652303291</v>
      </c>
      <c r="AD74">
        <v>205.4331012713281</v>
      </c>
      <c r="AE74">
        <v>200.06003849428609</v>
      </c>
      <c r="AF74">
        <v>198.78995186875619</v>
      </c>
      <c r="AG74">
        <v>202.07959804572113</v>
      </c>
      <c r="AH74">
        <v>203.49174655091963</v>
      </c>
      <c r="AI74">
        <v>206.41653576232756</v>
      </c>
      <c r="AJ74">
        <v>208.85184915825911</v>
      </c>
      <c r="AK74">
        <v>211.6223919449962</v>
      </c>
      <c r="AL74">
        <v>217.05452079651482</v>
      </c>
      <c r="AM74">
        <v>216.24525882599642</v>
      </c>
      <c r="AN74">
        <v>214.40413250813432</v>
      </c>
      <c r="AO74">
        <v>219.47358344330175</v>
      </c>
      <c r="AP74">
        <v>218.78650811667097</v>
      </c>
      <c r="AQ74">
        <v>224.7427884333899</v>
      </c>
      <c r="AR74">
        <v>231.6052185036865</v>
      </c>
      <c r="AS74">
        <v>231.03910193905395</v>
      </c>
      <c r="AT74">
        <v>233.92159051571696</v>
      </c>
      <c r="AU74">
        <v>231.47358440641614</v>
      </c>
      <c r="AV74">
        <v>223.20918883270306</v>
      </c>
      <c r="AW74">
        <v>224.64809136426248</v>
      </c>
      <c r="AX74">
        <v>223.29734619378863</v>
      </c>
      <c r="AY74">
        <v>217.65263622065143</v>
      </c>
      <c r="AZ74">
        <v>212.1030749764785</v>
      </c>
      <c r="BA74">
        <v>213.30960415653345</v>
      </c>
      <c r="BB74">
        <v>211.41817798233222</v>
      </c>
      <c r="BC74">
        <v>208.91303772860536</v>
      </c>
      <c r="BD74">
        <v>210.22891426446031</v>
      </c>
      <c r="BE74">
        <v>216.20556870672476</v>
      </c>
      <c r="BF74">
        <v>217.43436200124995</v>
      </c>
      <c r="BG74">
        <v>212.24344811215676</v>
      </c>
      <c r="BH74">
        <v>207.80138941447728</v>
      </c>
      <c r="BI74">
        <v>208.35747452648479</v>
      </c>
      <c r="BJ74">
        <v>203.24491185671317</v>
      </c>
      <c r="BK74">
        <v>201.417897164549</v>
      </c>
      <c r="BL74">
        <v>198.33297321504071</v>
      </c>
      <c r="BM74">
        <v>199.44389994231261</v>
      </c>
      <c r="BN74">
        <v>202.85080412088124</v>
      </c>
      <c r="BO74">
        <v>197.03993661004071</v>
      </c>
      <c r="BP74">
        <v>201.63716477541951</v>
      </c>
      <c r="BQ74">
        <v>209.52048660555076</v>
      </c>
      <c r="BR74">
        <v>211.65542744965438</v>
      </c>
      <c r="BS74">
        <v>214.08087782443957</v>
      </c>
      <c r="BT74">
        <v>214.31418750778772</v>
      </c>
      <c r="BU74">
        <v>215.79755665446461</v>
      </c>
      <c r="BV74">
        <v>221.30158395964787</v>
      </c>
      <c r="BW74">
        <v>217.44178961077975</v>
      </c>
      <c r="BX74">
        <v>215.54621702304607</v>
      </c>
      <c r="BY74">
        <v>218.69725083993734</v>
      </c>
      <c r="BZ74">
        <v>210.54449947375346</v>
      </c>
      <c r="CA74">
        <v>208.15605357194602</v>
      </c>
      <c r="CB74">
        <v>211.11693367172114</v>
      </c>
      <c r="CC74">
        <v>218.63396506563853</v>
      </c>
      <c r="CD74">
        <v>219.45849554430836</v>
      </c>
      <c r="CE74">
        <v>224.24861471172434</v>
      </c>
      <c r="CF74">
        <v>232.09908901807518</v>
      </c>
      <c r="CG74">
        <v>235.48754925978909</v>
      </c>
      <c r="CH74">
        <v>241.29539778408815</v>
      </c>
      <c r="CI74">
        <v>232.88588424717392</v>
      </c>
      <c r="CJ74">
        <v>232.58036155293604</v>
      </c>
      <c r="CK74">
        <v>240.4366543419774</v>
      </c>
      <c r="CL74">
        <v>247.75433038455608</v>
      </c>
      <c r="CM74">
        <v>248.4605111759914</v>
      </c>
      <c r="CN74">
        <v>248.24033344894465</v>
      </c>
      <c r="CO74">
        <v>245.87196363154786</v>
      </c>
      <c r="CP74">
        <v>244.99740956596611</v>
      </c>
      <c r="CQ74">
        <v>246.61772720284475</v>
      </c>
      <c r="CR74">
        <v>252.23885583325367</v>
      </c>
      <c r="CS74">
        <v>255.80336849006994</v>
      </c>
      <c r="CT74">
        <v>263.91698482098991</v>
      </c>
      <c r="CU74">
        <v>249.32261332452626</v>
      </c>
      <c r="CV74">
        <v>29.322613324526259</v>
      </c>
      <c r="CW74">
        <v>28.192561942582014</v>
      </c>
    </row>
    <row r="75" spans="5:101" x14ac:dyDescent="0.2">
      <c r="E75">
        <v>222.13</v>
      </c>
      <c r="F75">
        <v>217.8505395009293</v>
      </c>
      <c r="G75">
        <v>208.36940362402905</v>
      </c>
      <c r="H75">
        <v>204.3948056443646</v>
      </c>
      <c r="I75">
        <v>209.64583425986362</v>
      </c>
      <c r="J75">
        <v>204.73661018453168</v>
      </c>
      <c r="K75">
        <v>207.21830538634177</v>
      </c>
      <c r="L75">
        <v>206.5279994758308</v>
      </c>
      <c r="M75">
        <v>210.5420075827569</v>
      </c>
      <c r="N75">
        <v>203.78415368922293</v>
      </c>
      <c r="O75">
        <v>207.0696764993416</v>
      </c>
      <c r="P75">
        <v>207.02785331439429</v>
      </c>
      <c r="Q75">
        <v>213.13426787141498</v>
      </c>
      <c r="R75">
        <v>220.57814577843149</v>
      </c>
      <c r="S75">
        <v>221.21502223826812</v>
      </c>
      <c r="T75">
        <v>227.6649628469936</v>
      </c>
      <c r="U75">
        <v>229.92704850311006</v>
      </c>
      <c r="V75">
        <v>228.16755120813986</v>
      </c>
      <c r="W75">
        <v>226.4903068478354</v>
      </c>
      <c r="X75">
        <v>224.89740247672228</v>
      </c>
      <c r="Y75">
        <v>219.22293675123692</v>
      </c>
      <c r="Z75">
        <v>218.2750573019504</v>
      </c>
      <c r="AA75">
        <v>216.31123417518674</v>
      </c>
      <c r="AB75">
        <v>213.65647035033206</v>
      </c>
      <c r="AC75">
        <v>217.25864148371619</v>
      </c>
      <c r="AD75">
        <v>218.40482438134629</v>
      </c>
      <c r="AE75">
        <v>216.15120598910485</v>
      </c>
      <c r="AF75">
        <v>220.53718073086924</v>
      </c>
      <c r="AG75">
        <v>225.07309073043905</v>
      </c>
      <c r="AH75">
        <v>229.74955342839607</v>
      </c>
      <c r="AI75">
        <v>240.94182648828755</v>
      </c>
      <c r="AJ75">
        <v>231.71174007548348</v>
      </c>
      <c r="AK75">
        <v>229.88126989574909</v>
      </c>
      <c r="AL75">
        <v>234.88869971592578</v>
      </c>
      <c r="AM75">
        <v>238.3576099334033</v>
      </c>
      <c r="AN75">
        <v>240.24179680358876</v>
      </c>
      <c r="AO75">
        <v>242.35943233819583</v>
      </c>
      <c r="AP75">
        <v>244.17180302453372</v>
      </c>
      <c r="AQ75">
        <v>244.38520252880127</v>
      </c>
      <c r="AR75">
        <v>242.6638632248586</v>
      </c>
      <c r="AS75">
        <v>246.69744710364941</v>
      </c>
      <c r="AT75">
        <v>247.54704590869673</v>
      </c>
      <c r="AU75">
        <v>252.14789257112693</v>
      </c>
      <c r="AV75">
        <v>256.11127855397984</v>
      </c>
      <c r="AW75">
        <v>261.31866763087646</v>
      </c>
      <c r="AX75">
        <v>262.48060398876032</v>
      </c>
      <c r="AY75">
        <v>274.82034145475188</v>
      </c>
      <c r="AZ75">
        <v>274.71006610415611</v>
      </c>
      <c r="BA75">
        <v>271.04918920333103</v>
      </c>
      <c r="BB75">
        <v>271.85057821699985</v>
      </c>
      <c r="BC75">
        <v>267.08765051736151</v>
      </c>
      <c r="BD75">
        <v>267.19353447457939</v>
      </c>
      <c r="BE75">
        <v>256.07773316402552</v>
      </c>
      <c r="BF75">
        <v>253.33847503412863</v>
      </c>
      <c r="BG75">
        <v>258.67070647205838</v>
      </c>
      <c r="BH75">
        <v>265.38765659218882</v>
      </c>
      <c r="BI75">
        <v>262.87419601500852</v>
      </c>
      <c r="BJ75">
        <v>259.71307676521985</v>
      </c>
      <c r="BK75">
        <v>262.26684270960658</v>
      </c>
      <c r="BL75">
        <v>264.35642111508793</v>
      </c>
      <c r="BM75">
        <v>263.45104710388966</v>
      </c>
      <c r="BN75">
        <v>258.15789646503561</v>
      </c>
      <c r="BO75">
        <v>255.31999238134205</v>
      </c>
      <c r="BP75">
        <v>252.25257650325071</v>
      </c>
      <c r="BQ75">
        <v>253.84393855180375</v>
      </c>
      <c r="BR75">
        <v>252.52235909362417</v>
      </c>
      <c r="BS75">
        <v>245.7651788609563</v>
      </c>
      <c r="BT75">
        <v>240.00443740065663</v>
      </c>
      <c r="BU75">
        <v>238.6983036558413</v>
      </c>
      <c r="BV75">
        <v>238.86062351288282</v>
      </c>
      <c r="BW75">
        <v>235.261875636209</v>
      </c>
      <c r="BX75">
        <v>226.82345711941082</v>
      </c>
      <c r="BY75">
        <v>224.36320068920622</v>
      </c>
      <c r="BZ75">
        <v>216.99235491177311</v>
      </c>
      <c r="CA75">
        <v>219.90263880335328</v>
      </c>
      <c r="CB75">
        <v>222.83293780508296</v>
      </c>
      <c r="CC75">
        <v>220.55171005600758</v>
      </c>
      <c r="CD75">
        <v>222.90555339264182</v>
      </c>
      <c r="CE75">
        <v>212.83469841707671</v>
      </c>
      <c r="CF75">
        <v>209.52335732605519</v>
      </c>
      <c r="CG75">
        <v>212.82717981345075</v>
      </c>
      <c r="CH75">
        <v>208.17835177291175</v>
      </c>
      <c r="CI75">
        <v>205.20469674450933</v>
      </c>
      <c r="CJ75">
        <v>208.94522726427422</v>
      </c>
      <c r="CK75">
        <v>204.03926993595991</v>
      </c>
      <c r="CL75">
        <v>202.99229096171646</v>
      </c>
      <c r="CM75">
        <v>205.42386875784092</v>
      </c>
      <c r="CN75">
        <v>197.8162032804326</v>
      </c>
      <c r="CO75">
        <v>192.1845912446806</v>
      </c>
      <c r="CP75">
        <v>193.17065442756814</v>
      </c>
      <c r="CQ75">
        <v>201.08697284247285</v>
      </c>
      <c r="CR75">
        <v>207.53046755577364</v>
      </c>
      <c r="CS75">
        <v>204.92152552270278</v>
      </c>
      <c r="CT75">
        <v>207.57328087799797</v>
      </c>
      <c r="CU75">
        <v>202.62781971148047</v>
      </c>
      <c r="CV75">
        <v>0</v>
      </c>
      <c r="CW75">
        <v>0</v>
      </c>
    </row>
    <row r="76" spans="5:101" x14ac:dyDescent="0.2">
      <c r="E76">
        <v>222.13</v>
      </c>
      <c r="F76">
        <v>226.48376872394599</v>
      </c>
      <c r="G76">
        <v>229.8625226670122</v>
      </c>
      <c r="H76">
        <v>228.45789070361843</v>
      </c>
      <c r="I76">
        <v>228.36366756940052</v>
      </c>
      <c r="J76">
        <v>233.02836120655945</v>
      </c>
      <c r="K76">
        <v>236.11042338845704</v>
      </c>
      <c r="L76">
        <v>244.98695627195306</v>
      </c>
      <c r="M76">
        <v>254.38764302668781</v>
      </c>
      <c r="N76">
        <v>258.74138672366109</v>
      </c>
      <c r="O76">
        <v>269.84718640121287</v>
      </c>
      <c r="P76">
        <v>274.89057389447402</v>
      </c>
      <c r="Q76">
        <v>272.22167337688239</v>
      </c>
      <c r="R76">
        <v>261.53644718295413</v>
      </c>
      <c r="S76">
        <v>256.67125361491873</v>
      </c>
      <c r="T76">
        <v>262.30710577859145</v>
      </c>
      <c r="U76">
        <v>261.20992933022478</v>
      </c>
      <c r="V76">
        <v>254.62549095265774</v>
      </c>
      <c r="W76">
        <v>251.09028605691881</v>
      </c>
      <c r="X76">
        <v>250.76099320018713</v>
      </c>
      <c r="Y76">
        <v>259.81231119944817</v>
      </c>
      <c r="Z76">
        <v>257.06421162195198</v>
      </c>
      <c r="AA76">
        <v>265.54333306222588</v>
      </c>
      <c r="AB76">
        <v>260.89106786384292</v>
      </c>
      <c r="AC76">
        <v>245.94307813785841</v>
      </c>
      <c r="AD76">
        <v>244.75091220228154</v>
      </c>
      <c r="AE76">
        <v>239.51521139919004</v>
      </c>
      <c r="AF76">
        <v>239.79001211562274</v>
      </c>
      <c r="AG76">
        <v>240.35378416147717</v>
      </c>
      <c r="AH76">
        <v>242.87338309384683</v>
      </c>
      <c r="AI76">
        <v>241.89485656868229</v>
      </c>
      <c r="AJ76">
        <v>254.56072278232114</v>
      </c>
      <c r="AK76">
        <v>260.32399734949342</v>
      </c>
      <c r="AL76">
        <v>250.11516884088462</v>
      </c>
      <c r="AM76">
        <v>249.19503236343186</v>
      </c>
      <c r="AN76">
        <v>252.88554220174504</v>
      </c>
      <c r="AO76">
        <v>259.31269593370706</v>
      </c>
      <c r="AP76">
        <v>257.56401212309231</v>
      </c>
      <c r="AQ76">
        <v>263.08435814773878</v>
      </c>
      <c r="AR76">
        <v>270.42059438643946</v>
      </c>
      <c r="AS76">
        <v>269.57619311792791</v>
      </c>
      <c r="AT76">
        <v>280.58955508625445</v>
      </c>
      <c r="AU76">
        <v>282.25967312149385</v>
      </c>
      <c r="AV76">
        <v>272.11543682310742</v>
      </c>
      <c r="AW76">
        <v>278.02556856977935</v>
      </c>
      <c r="AX76">
        <v>276.515364641828</v>
      </c>
      <c r="AY76">
        <v>287.07148122984358</v>
      </c>
      <c r="AZ76">
        <v>290.09118482235135</v>
      </c>
      <c r="BA76">
        <v>288.31326814306232</v>
      </c>
      <c r="BB76">
        <v>291.28132009837992</v>
      </c>
      <c r="BC76">
        <v>289.56034807890273</v>
      </c>
      <c r="BD76">
        <v>294.12775702083769</v>
      </c>
      <c r="BE76">
        <v>301.21865837781621</v>
      </c>
      <c r="BF76">
        <v>298.033347688307</v>
      </c>
      <c r="BG76">
        <v>302.49627495872545</v>
      </c>
      <c r="BH76">
        <v>291.29464683806407</v>
      </c>
      <c r="BI76">
        <v>301.77123447957615</v>
      </c>
      <c r="BJ76">
        <v>309.07263000159458</v>
      </c>
      <c r="BK76">
        <v>297.75901392276467</v>
      </c>
      <c r="BL76">
        <v>293.1036077430831</v>
      </c>
      <c r="BM76">
        <v>300.25324845269193</v>
      </c>
      <c r="BN76">
        <v>296.91938297384706</v>
      </c>
      <c r="BO76">
        <v>290.9546727752786</v>
      </c>
      <c r="BP76">
        <v>284.63991050756545</v>
      </c>
      <c r="BQ76">
        <v>290.72838258267296</v>
      </c>
      <c r="BR76">
        <v>294.75694739332715</v>
      </c>
      <c r="BS76">
        <v>297.33910981393177</v>
      </c>
      <c r="BT76">
        <v>299.72553286308084</v>
      </c>
      <c r="BU76">
        <v>301.31561341480602</v>
      </c>
      <c r="BV76">
        <v>304.10672337241976</v>
      </c>
      <c r="BW76">
        <v>299.1200306779246</v>
      </c>
      <c r="BX76">
        <v>289.54025665947006</v>
      </c>
      <c r="BY76">
        <v>293.32791762721399</v>
      </c>
      <c r="BZ76">
        <v>288.61920251961249</v>
      </c>
      <c r="CA76">
        <v>287.01904897714104</v>
      </c>
      <c r="CB76">
        <v>287.90421716596023</v>
      </c>
      <c r="CC76">
        <v>284.49457714515654</v>
      </c>
      <c r="CD76">
        <v>271.49368054422411</v>
      </c>
      <c r="CE76">
        <v>275.83590179339961</v>
      </c>
      <c r="CF76">
        <v>271.64846513748097</v>
      </c>
      <c r="CG76">
        <v>268.1309316944363</v>
      </c>
      <c r="CH76">
        <v>270.61311477710802</v>
      </c>
      <c r="CI76">
        <v>279.66701285582843</v>
      </c>
      <c r="CJ76">
        <v>278.17228217626825</v>
      </c>
      <c r="CK76">
        <v>279.85364470758401</v>
      </c>
      <c r="CL76">
        <v>284.65099565011127</v>
      </c>
      <c r="CM76">
        <v>280.01719835797434</v>
      </c>
      <c r="CN76">
        <v>280.65746469454183</v>
      </c>
      <c r="CO76">
        <v>281.55193946943029</v>
      </c>
      <c r="CP76">
        <v>276.82153935001935</v>
      </c>
      <c r="CQ76">
        <v>292.73201550424193</v>
      </c>
      <c r="CR76">
        <v>292.02466008237673</v>
      </c>
      <c r="CS76">
        <v>293.77539216559734</v>
      </c>
      <c r="CT76">
        <v>296.25022277996169</v>
      </c>
      <c r="CU76">
        <v>285.22601414673886</v>
      </c>
      <c r="CV76">
        <v>65.226014146738862</v>
      </c>
      <c r="CW76">
        <v>62.712297289053978</v>
      </c>
    </row>
    <row r="77" spans="5:101" x14ac:dyDescent="0.2">
      <c r="E77">
        <v>222.13</v>
      </c>
      <c r="F77">
        <v>221.93676662878718</v>
      </c>
      <c r="G77">
        <v>221.11481125350181</v>
      </c>
      <c r="H77">
        <v>223.77750370484711</v>
      </c>
      <c r="I77">
        <v>221.81443134491687</v>
      </c>
      <c r="J77">
        <v>224.0336057404316</v>
      </c>
      <c r="K77">
        <v>230.58923354474902</v>
      </c>
      <c r="L77">
        <v>225.06391380385875</v>
      </c>
      <c r="M77">
        <v>224.20093074627587</v>
      </c>
      <c r="N77">
        <v>225.06431239004516</v>
      </c>
      <c r="O77">
        <v>231.68670403940689</v>
      </c>
      <c r="P77">
        <v>235.1005662173888</v>
      </c>
      <c r="Q77">
        <v>232.02982701071917</v>
      </c>
      <c r="R77">
        <v>227.30511708254187</v>
      </c>
      <c r="S77">
        <v>221.93964010267055</v>
      </c>
      <c r="T77">
        <v>218.44943960364782</v>
      </c>
      <c r="U77">
        <v>211.94524769945582</v>
      </c>
      <c r="V77">
        <v>211.41767008007369</v>
      </c>
      <c r="W77">
        <v>210.17134195277376</v>
      </c>
      <c r="X77">
        <v>202.64677358719374</v>
      </c>
      <c r="Y77">
        <v>206.25534931394199</v>
      </c>
      <c r="Z77">
        <v>213.11023269534547</v>
      </c>
      <c r="AA77">
        <v>208.74853781561063</v>
      </c>
      <c r="AB77">
        <v>213.27226676999476</v>
      </c>
      <c r="AC77">
        <v>208.53768246386855</v>
      </c>
      <c r="AD77">
        <v>209.88272808835112</v>
      </c>
      <c r="AE77">
        <v>215.32401609074955</v>
      </c>
      <c r="AF77">
        <v>215.92481900400966</v>
      </c>
      <c r="AG77">
        <v>223.30757529685482</v>
      </c>
      <c r="AH77">
        <v>214.47407128220323</v>
      </c>
      <c r="AI77">
        <v>212.85787519859906</v>
      </c>
      <c r="AJ77">
        <v>217.00875122013079</v>
      </c>
      <c r="AK77">
        <v>222.77760540960233</v>
      </c>
      <c r="AL77">
        <v>227.35463752289817</v>
      </c>
      <c r="AM77">
        <v>230.5478706084107</v>
      </c>
      <c r="AN77">
        <v>222.21015224420458</v>
      </c>
      <c r="AO77">
        <v>223.5010715569515</v>
      </c>
      <c r="AP77">
        <v>225.22220045413835</v>
      </c>
      <c r="AQ77">
        <v>216.62414538751781</v>
      </c>
      <c r="AR77">
        <v>219.00374501014082</v>
      </c>
      <c r="AS77">
        <v>229.25028347951022</v>
      </c>
      <c r="AT77">
        <v>238.86031205748336</v>
      </c>
      <c r="AU77">
        <v>234.87890804139636</v>
      </c>
      <c r="AV77">
        <v>235.63855330750525</v>
      </c>
      <c r="AW77">
        <v>238.65400512716005</v>
      </c>
      <c r="AX77">
        <v>238.28268092396956</v>
      </c>
      <c r="AY77">
        <v>240.01974571983951</v>
      </c>
      <c r="AZ77">
        <v>238.51960792504215</v>
      </c>
      <c r="BA77">
        <v>248.15851671365687</v>
      </c>
      <c r="BB77">
        <v>247.90850893251385</v>
      </c>
      <c r="BC77">
        <v>254.94600732324915</v>
      </c>
      <c r="BD77">
        <v>254.43153098332169</v>
      </c>
      <c r="BE77">
        <v>258.41238017185611</v>
      </c>
      <c r="BF77">
        <v>264.60757063669303</v>
      </c>
      <c r="BG77">
        <v>271.47873882574737</v>
      </c>
      <c r="BH77">
        <v>272.09593072254853</v>
      </c>
      <c r="BI77">
        <v>273.90614939726697</v>
      </c>
      <c r="BJ77">
        <v>262.82903841374434</v>
      </c>
      <c r="BK77">
        <v>256.35891280155829</v>
      </c>
      <c r="BL77">
        <v>240.80840828003412</v>
      </c>
      <c r="BM77">
        <v>236.7107363646675</v>
      </c>
      <c r="BN77">
        <v>234.95385819242128</v>
      </c>
      <c r="BO77">
        <v>240.48250662087193</v>
      </c>
      <c r="BP77">
        <v>248.12473886883021</v>
      </c>
      <c r="BQ77">
        <v>243.08580189824255</v>
      </c>
      <c r="BR77">
        <v>234.68655987707726</v>
      </c>
      <c r="BS77">
        <v>226.6429958750758</v>
      </c>
      <c r="BT77">
        <v>230.62946104091691</v>
      </c>
      <c r="BU77">
        <v>228.74339040926228</v>
      </c>
      <c r="BV77">
        <v>227.05757781913141</v>
      </c>
      <c r="BW77">
        <v>217.14097904000172</v>
      </c>
      <c r="BX77">
        <v>216.08863661262922</v>
      </c>
      <c r="BY77">
        <v>211.09626234023378</v>
      </c>
      <c r="BZ77">
        <v>211.92310803320424</v>
      </c>
      <c r="CA77">
        <v>213.46708442511647</v>
      </c>
      <c r="CB77">
        <v>208.99155850053231</v>
      </c>
      <c r="CC77">
        <v>209.63246396484357</v>
      </c>
      <c r="CD77">
        <v>202.20599658746323</v>
      </c>
      <c r="CE77">
        <v>200.87772176225107</v>
      </c>
      <c r="CF77">
        <v>203.5191947001901</v>
      </c>
      <c r="CG77">
        <v>203.20872126678194</v>
      </c>
      <c r="CH77">
        <v>204.71043612377585</v>
      </c>
      <c r="CI77">
        <v>198.1258560599772</v>
      </c>
      <c r="CJ77">
        <v>184.98064755738397</v>
      </c>
      <c r="CK77">
        <v>182.94301561381488</v>
      </c>
      <c r="CL77">
        <v>176.5226506150843</v>
      </c>
      <c r="CM77">
        <v>180.86596664526729</v>
      </c>
      <c r="CN77">
        <v>178.74644469931701</v>
      </c>
      <c r="CO77">
        <v>177.17309704098301</v>
      </c>
      <c r="CP77">
        <v>179.23883416066795</v>
      </c>
      <c r="CQ77">
        <v>185.14952162638724</v>
      </c>
      <c r="CR77">
        <v>177.32051176983896</v>
      </c>
      <c r="CS77">
        <v>182.58491818961303</v>
      </c>
      <c r="CT77">
        <v>191.57091044220172</v>
      </c>
      <c r="CU77">
        <v>189.52700821933686</v>
      </c>
      <c r="CV77">
        <v>0</v>
      </c>
      <c r="CW77">
        <v>0</v>
      </c>
    </row>
    <row r="78" spans="5:101" x14ac:dyDescent="0.2">
      <c r="E78">
        <v>222.13</v>
      </c>
      <c r="F78">
        <v>215.32354231673699</v>
      </c>
      <c r="G78">
        <v>204.57385986123907</v>
      </c>
      <c r="H78">
        <v>200.15106391811068</v>
      </c>
      <c r="I78">
        <v>198.81665025907989</v>
      </c>
      <c r="J78">
        <v>194.4540789518428</v>
      </c>
      <c r="K78">
        <v>192.21381166713809</v>
      </c>
      <c r="L78">
        <v>181.17162870600424</v>
      </c>
      <c r="M78">
        <v>189.35856069205056</v>
      </c>
      <c r="N78">
        <v>191.76892793635525</v>
      </c>
      <c r="O78">
        <v>193.70095546627863</v>
      </c>
      <c r="P78">
        <v>192.19311816156625</v>
      </c>
      <c r="Q78">
        <v>196.75456851372743</v>
      </c>
      <c r="R78">
        <v>193.41787384291683</v>
      </c>
      <c r="S78">
        <v>184.44395744798916</v>
      </c>
      <c r="T78">
        <v>189.95392291857092</v>
      </c>
      <c r="U78">
        <v>196.81205256722953</v>
      </c>
      <c r="V78">
        <v>191.909711639775</v>
      </c>
      <c r="W78">
        <v>196.36083474664053</v>
      </c>
      <c r="X78">
        <v>192.1259152202208</v>
      </c>
      <c r="Y78">
        <v>196.08764430183177</v>
      </c>
      <c r="Z78">
        <v>187.15739902090459</v>
      </c>
      <c r="AA78">
        <v>182.6336002078543</v>
      </c>
      <c r="AB78">
        <v>182.61203398856065</v>
      </c>
      <c r="AC78">
        <v>186.20941434658738</v>
      </c>
      <c r="AD78">
        <v>193.28696155193285</v>
      </c>
      <c r="AE78">
        <v>191.17232285258825</v>
      </c>
      <c r="AF78">
        <v>189.28818354635416</v>
      </c>
      <c r="AG78">
        <v>191.84473736087025</v>
      </c>
      <c r="AH78">
        <v>188.69870771192114</v>
      </c>
      <c r="AI78">
        <v>189.71502918633303</v>
      </c>
      <c r="AJ78">
        <v>187.24640893520439</v>
      </c>
      <c r="AK78">
        <v>177.93873101014876</v>
      </c>
      <c r="AL78">
        <v>174.57037938777341</v>
      </c>
      <c r="AM78">
        <v>181.3962583369038</v>
      </c>
      <c r="AN78">
        <v>180.04612552093931</v>
      </c>
      <c r="AO78">
        <v>176.33192039894769</v>
      </c>
      <c r="AP78">
        <v>183.16121120182569</v>
      </c>
      <c r="AQ78">
        <v>178.98011073974581</v>
      </c>
      <c r="AR78">
        <v>176.9142748069616</v>
      </c>
      <c r="AS78">
        <v>171.91972689777444</v>
      </c>
      <c r="AT78">
        <v>172.95119269782847</v>
      </c>
      <c r="AU78">
        <v>174.05125858467477</v>
      </c>
      <c r="AV78">
        <v>174.31268972012555</v>
      </c>
      <c r="AW78">
        <v>177.96858747865645</v>
      </c>
      <c r="AX78">
        <v>180.81815579879483</v>
      </c>
      <c r="AY78">
        <v>179.91196070644</v>
      </c>
      <c r="AZ78">
        <v>174.81956806678878</v>
      </c>
      <c r="BA78">
        <v>168.83888980205936</v>
      </c>
      <c r="BB78">
        <v>168.46125618257187</v>
      </c>
      <c r="BC78">
        <v>169.0338897484821</v>
      </c>
      <c r="BD78">
        <v>170.55925574526887</v>
      </c>
      <c r="BE78">
        <v>172.36252699691636</v>
      </c>
      <c r="BF78">
        <v>170.68556581669245</v>
      </c>
      <c r="BG78">
        <v>169.36413049496645</v>
      </c>
      <c r="BH78">
        <v>172.44623192667589</v>
      </c>
      <c r="BI78">
        <v>172.99949476215812</v>
      </c>
      <c r="BJ78">
        <v>174.2764539395244</v>
      </c>
      <c r="BK78">
        <v>176.95971887456417</v>
      </c>
      <c r="BL78">
        <v>179.92050247417089</v>
      </c>
      <c r="BM78">
        <v>187.7125100244443</v>
      </c>
      <c r="BN78">
        <v>192.56108620887349</v>
      </c>
      <c r="BO78">
        <v>188.7325509275687</v>
      </c>
      <c r="BP78">
        <v>190.74218434526426</v>
      </c>
      <c r="BQ78">
        <v>192.82744773135676</v>
      </c>
      <c r="BR78">
        <v>189.77209858582242</v>
      </c>
      <c r="BS78">
        <v>185.87964613693308</v>
      </c>
      <c r="BT78">
        <v>187.67237391806805</v>
      </c>
      <c r="BU78">
        <v>189.25299128916743</v>
      </c>
      <c r="BV78">
        <v>192.73335627063784</v>
      </c>
      <c r="BW78">
        <v>199.91172011477028</v>
      </c>
      <c r="BX78">
        <v>199.34584291818919</v>
      </c>
      <c r="BY78">
        <v>203.27149190042405</v>
      </c>
      <c r="BZ78">
        <v>199.23971796564004</v>
      </c>
      <c r="CA78">
        <v>207.42522567286517</v>
      </c>
      <c r="CB78">
        <v>201.02289341134266</v>
      </c>
      <c r="CC78">
        <v>204.46225642915755</v>
      </c>
      <c r="CD78">
        <v>208.30527131515478</v>
      </c>
      <c r="CE78">
        <v>210.1729904990323</v>
      </c>
      <c r="CF78">
        <v>204.12087249050083</v>
      </c>
      <c r="CG78">
        <v>205.53992403743661</v>
      </c>
      <c r="CH78">
        <v>199.25333965231275</v>
      </c>
      <c r="CI78">
        <v>194.10024311324071</v>
      </c>
      <c r="CJ78">
        <v>195.48150844025432</v>
      </c>
      <c r="CK78">
        <v>202.13668302815123</v>
      </c>
      <c r="CL78">
        <v>196.08085384581491</v>
      </c>
      <c r="CM78">
        <v>201.64051711949949</v>
      </c>
      <c r="CN78">
        <v>194.9694553514727</v>
      </c>
      <c r="CO78">
        <v>193.71887121942436</v>
      </c>
      <c r="CP78">
        <v>195.33286444916578</v>
      </c>
      <c r="CQ78">
        <v>203.83541408165024</v>
      </c>
      <c r="CR78">
        <v>204.58228426099114</v>
      </c>
      <c r="CS78">
        <v>204.71223044044876</v>
      </c>
      <c r="CT78">
        <v>213.02369448661733</v>
      </c>
      <c r="CU78">
        <v>215.11352354199542</v>
      </c>
      <c r="CV78">
        <v>0</v>
      </c>
      <c r="CW78">
        <v>0</v>
      </c>
    </row>
    <row r="79" spans="5:101" x14ac:dyDescent="0.2">
      <c r="E79">
        <v>222.13</v>
      </c>
      <c r="F79">
        <v>228.78850493827787</v>
      </c>
      <c r="G79">
        <v>232.01413743466992</v>
      </c>
      <c r="H79">
        <v>239.21060345348914</v>
      </c>
      <c r="I79">
        <v>234.62089423574838</v>
      </c>
      <c r="J79">
        <v>231.45900772306092</v>
      </c>
      <c r="K79">
        <v>235.24445761913162</v>
      </c>
      <c r="L79">
        <v>245.58684939398924</v>
      </c>
      <c r="M79">
        <v>250.43685334526094</v>
      </c>
      <c r="N79">
        <v>255.03110770449086</v>
      </c>
      <c r="O79">
        <v>264.35864135997434</v>
      </c>
      <c r="P79">
        <v>277.12875798030177</v>
      </c>
      <c r="Q79">
        <v>280.53731353875588</v>
      </c>
      <c r="R79">
        <v>283.49287152477746</v>
      </c>
      <c r="S79">
        <v>274.3280640080398</v>
      </c>
      <c r="T79">
        <v>272.02301305401693</v>
      </c>
      <c r="U79">
        <v>273.53381730907932</v>
      </c>
      <c r="V79">
        <v>263.83724379214181</v>
      </c>
      <c r="W79">
        <v>260.09247127776018</v>
      </c>
      <c r="X79">
        <v>261.90184891324787</v>
      </c>
      <c r="Y79">
        <v>257.75413248261731</v>
      </c>
      <c r="Z79">
        <v>265.74083459917745</v>
      </c>
      <c r="AA79">
        <v>272.08705374644967</v>
      </c>
      <c r="AB79">
        <v>278.01491632133468</v>
      </c>
      <c r="AC79">
        <v>277.70157190125542</v>
      </c>
      <c r="AD79">
        <v>283.72077566769593</v>
      </c>
      <c r="AE79">
        <v>272.41518556633332</v>
      </c>
      <c r="AF79">
        <v>275.63009715738173</v>
      </c>
      <c r="AG79">
        <v>272.66482957813986</v>
      </c>
      <c r="AH79">
        <v>270.18364065833651</v>
      </c>
      <c r="AI79">
        <v>272.16719260713057</v>
      </c>
      <c r="AJ79">
        <v>274.49962337615915</v>
      </c>
      <c r="AK79">
        <v>281.04407182424944</v>
      </c>
      <c r="AL79">
        <v>274.79186797261548</v>
      </c>
      <c r="AM79">
        <v>276.76656582261307</v>
      </c>
      <c r="AN79">
        <v>279.81827160878464</v>
      </c>
      <c r="AO79">
        <v>277.18853915598271</v>
      </c>
      <c r="AP79">
        <v>272.87534896948421</v>
      </c>
      <c r="AQ79">
        <v>284.26086287214758</v>
      </c>
      <c r="AR79">
        <v>286.24755561850679</v>
      </c>
      <c r="AS79">
        <v>288.21269533963863</v>
      </c>
      <c r="AT79">
        <v>275.06989114504796</v>
      </c>
      <c r="AU79">
        <v>267.9458196814598</v>
      </c>
      <c r="AV79">
        <v>272.89577478381875</v>
      </c>
      <c r="AW79">
        <v>272.76169518177818</v>
      </c>
      <c r="AX79">
        <v>274.52277353676908</v>
      </c>
      <c r="AY79">
        <v>271.38784816956257</v>
      </c>
      <c r="AZ79">
        <v>269.47947246234196</v>
      </c>
      <c r="BA79">
        <v>264.88833536189958</v>
      </c>
      <c r="BB79">
        <v>266.81256471004059</v>
      </c>
      <c r="BC79">
        <v>261.99319749701527</v>
      </c>
      <c r="BD79">
        <v>263.52465909652892</v>
      </c>
      <c r="BE79">
        <v>269.35861406185251</v>
      </c>
      <c r="BF79">
        <v>259.91646079793946</v>
      </c>
      <c r="BG79">
        <v>268.28658559173402</v>
      </c>
      <c r="BH79">
        <v>264.8911483564774</v>
      </c>
      <c r="BI79">
        <v>265.72027046462995</v>
      </c>
      <c r="BJ79">
        <v>273.82047468852159</v>
      </c>
      <c r="BK79">
        <v>268.80867163086106</v>
      </c>
      <c r="BL79">
        <v>260.46409659662226</v>
      </c>
      <c r="BM79">
        <v>256.26343900659077</v>
      </c>
      <c r="BN79">
        <v>254.33596382245631</v>
      </c>
      <c r="BO79">
        <v>261.55910807947942</v>
      </c>
      <c r="BP79">
        <v>256.48062204285026</v>
      </c>
      <c r="BQ79">
        <v>250.14884033533048</v>
      </c>
      <c r="BR79">
        <v>252.64802321172755</v>
      </c>
      <c r="BS79">
        <v>250.68715170449676</v>
      </c>
      <c r="BT79">
        <v>242.70527381473619</v>
      </c>
      <c r="BU79">
        <v>238.35494994633993</v>
      </c>
      <c r="BV79">
        <v>226.84202396241173</v>
      </c>
      <c r="BW79">
        <v>219.42287042308968</v>
      </c>
      <c r="BX79">
        <v>226.70256417425884</v>
      </c>
      <c r="BY79">
        <v>228.22287330716912</v>
      </c>
      <c r="BZ79">
        <v>236.48278607366024</v>
      </c>
      <c r="CA79">
        <v>232.61824798420739</v>
      </c>
      <c r="CB79">
        <v>225.38660691976028</v>
      </c>
      <c r="CC79">
        <v>220.66418486062673</v>
      </c>
      <c r="CD79">
        <v>218.76208574203281</v>
      </c>
      <c r="CE79">
        <v>214.87548247884683</v>
      </c>
      <c r="CF79">
        <v>211.52535198740321</v>
      </c>
      <c r="CG79">
        <v>212.89478146454786</v>
      </c>
      <c r="CH79">
        <v>211.87786344959162</v>
      </c>
      <c r="CI79">
        <v>213.69483861656096</v>
      </c>
      <c r="CJ79">
        <v>215.69190682813439</v>
      </c>
      <c r="CK79">
        <v>207.57252570509664</v>
      </c>
      <c r="CL79">
        <v>208.97932552173177</v>
      </c>
      <c r="CM79">
        <v>214.85356576997384</v>
      </c>
      <c r="CN79">
        <v>211.79012646290747</v>
      </c>
      <c r="CO79">
        <v>220.9694667632441</v>
      </c>
      <c r="CP79">
        <v>223.83569370723421</v>
      </c>
      <c r="CQ79">
        <v>236.03532971388151</v>
      </c>
      <c r="CR79">
        <v>243.37298651631184</v>
      </c>
      <c r="CS79">
        <v>246.76589319715231</v>
      </c>
      <c r="CT79">
        <v>246.53873930656874</v>
      </c>
      <c r="CU79">
        <v>241.0362993082006</v>
      </c>
      <c r="CV79">
        <v>21.036299308200597</v>
      </c>
      <c r="CW79">
        <v>20.225590561298382</v>
      </c>
    </row>
    <row r="80" spans="5:101" x14ac:dyDescent="0.2">
      <c r="E80">
        <v>222.13</v>
      </c>
      <c r="F80">
        <v>208.30714390301969</v>
      </c>
      <c r="G80">
        <v>213.44050844504798</v>
      </c>
      <c r="H80">
        <v>213.34193209508692</v>
      </c>
      <c r="I80">
        <v>209.20941431483388</v>
      </c>
      <c r="J80">
        <v>219.58687311042937</v>
      </c>
      <c r="K80">
        <v>220.87104613684951</v>
      </c>
      <c r="L80">
        <v>222.24908498471154</v>
      </c>
      <c r="M80">
        <v>226.90964968179759</v>
      </c>
      <c r="N80">
        <v>234.44829261336884</v>
      </c>
      <c r="O80">
        <v>237.67486618695617</v>
      </c>
      <c r="P80">
        <v>245.8501475991074</v>
      </c>
      <c r="Q80">
        <v>233.52159724004363</v>
      </c>
      <c r="R80">
        <v>237.87292829522499</v>
      </c>
      <c r="S80">
        <v>241.06016230975897</v>
      </c>
      <c r="T80">
        <v>239.41304794987127</v>
      </c>
      <c r="U80">
        <v>237.38695631535222</v>
      </c>
      <c r="V80">
        <v>244.96473994768525</v>
      </c>
      <c r="W80">
        <v>247.84278658095269</v>
      </c>
      <c r="X80">
        <v>259.9664831083839</v>
      </c>
      <c r="Y80">
        <v>251.99939589661781</v>
      </c>
      <c r="Z80">
        <v>250.62286916485525</v>
      </c>
      <c r="AA80">
        <v>245.41907056109625</v>
      </c>
      <c r="AB80">
        <v>238.71459147390215</v>
      </c>
      <c r="AC80">
        <v>243.18039355309503</v>
      </c>
      <c r="AD80">
        <v>231.37881256779741</v>
      </c>
      <c r="AE80">
        <v>223.49359123849194</v>
      </c>
      <c r="AF80">
        <v>228.55678016479283</v>
      </c>
      <c r="AG80">
        <v>229.01547552610597</v>
      </c>
      <c r="AH80">
        <v>227.69033244309063</v>
      </c>
      <c r="AI80">
        <v>235.55831385690431</v>
      </c>
      <c r="AJ80">
        <v>234.64693817326426</v>
      </c>
      <c r="AK80">
        <v>228.04552360714601</v>
      </c>
      <c r="AL80">
        <v>230.96998128466706</v>
      </c>
      <c r="AM80">
        <v>231.5985906667708</v>
      </c>
      <c r="AN80">
        <v>231.7754651693389</v>
      </c>
      <c r="AO80">
        <v>229.30549902543069</v>
      </c>
      <c r="AP80">
        <v>229.00324664014593</v>
      </c>
      <c r="AQ80">
        <v>221.26000452650214</v>
      </c>
      <c r="AR80">
        <v>221.41535850351769</v>
      </c>
      <c r="AS80">
        <v>225.62655494943959</v>
      </c>
      <c r="AT80">
        <v>234.34820018154861</v>
      </c>
      <c r="AU80">
        <v>229.43709925962719</v>
      </c>
      <c r="AV80">
        <v>224.88000271562305</v>
      </c>
      <c r="AW80">
        <v>224.84750934097207</v>
      </c>
      <c r="AX80">
        <v>222.34554807473586</v>
      </c>
      <c r="AY80">
        <v>223.6118912093086</v>
      </c>
      <c r="AZ80">
        <v>222.4614368734332</v>
      </c>
      <c r="BA80">
        <v>222.66935141510709</v>
      </c>
      <c r="BB80">
        <v>219.44407813243637</v>
      </c>
      <c r="BC80">
        <v>223.46587620701797</v>
      </c>
      <c r="BD80">
        <v>220.91108731594429</v>
      </c>
      <c r="BE80">
        <v>214.26296256593534</v>
      </c>
      <c r="BF80">
        <v>212.43717781563004</v>
      </c>
      <c r="BG80">
        <v>206.63195351149542</v>
      </c>
      <c r="BH80">
        <v>213.08760456049896</v>
      </c>
      <c r="BI80">
        <v>211.37787529455821</v>
      </c>
      <c r="BJ80">
        <v>215.30334876518074</v>
      </c>
      <c r="BK80">
        <v>206.53834816755807</v>
      </c>
      <c r="BL80">
        <v>205.22014367204173</v>
      </c>
      <c r="BM80">
        <v>210.64682377359665</v>
      </c>
      <c r="BN80">
        <v>200.52956194175798</v>
      </c>
      <c r="BO80">
        <v>203.94132205832057</v>
      </c>
      <c r="BP80">
        <v>199.07989835002343</v>
      </c>
      <c r="BQ80">
        <v>199.79015875392767</v>
      </c>
      <c r="BR80">
        <v>211.85477165729549</v>
      </c>
      <c r="BS80">
        <v>212.07780317054767</v>
      </c>
      <c r="BT80">
        <v>217.05298394898895</v>
      </c>
      <c r="BU80">
        <v>216.38905238653155</v>
      </c>
      <c r="BV80">
        <v>216.07320727098531</v>
      </c>
      <c r="BW80">
        <v>226.42982575736775</v>
      </c>
      <c r="BX80">
        <v>227.90180081872438</v>
      </c>
      <c r="BY80">
        <v>224.34143923221231</v>
      </c>
      <c r="BZ80">
        <v>222.30140695272479</v>
      </c>
      <c r="CA80">
        <v>225.67804638089979</v>
      </c>
      <c r="CB80">
        <v>226.65614123614858</v>
      </c>
      <c r="CC80">
        <v>225.19722142723586</v>
      </c>
      <c r="CD80">
        <v>224.89970953693427</v>
      </c>
      <c r="CE80">
        <v>227.77796739952535</v>
      </c>
      <c r="CF80">
        <v>224.91032543837383</v>
      </c>
      <c r="CG80">
        <v>218.16433523835215</v>
      </c>
      <c r="CH80">
        <v>223.31931593755161</v>
      </c>
      <c r="CI80">
        <v>224.41419545625442</v>
      </c>
      <c r="CJ80">
        <v>221.24159252329176</v>
      </c>
      <c r="CK80">
        <v>223.95004679104522</v>
      </c>
      <c r="CL80">
        <v>220.35183804854958</v>
      </c>
      <c r="CM80">
        <v>216.23064864428451</v>
      </c>
      <c r="CN80">
        <v>215.10090416111186</v>
      </c>
      <c r="CO80">
        <v>216.27111688537991</v>
      </c>
      <c r="CP80">
        <v>220.00485829653724</v>
      </c>
      <c r="CQ80">
        <v>220.23219813476922</v>
      </c>
      <c r="CR80">
        <v>214.34820948142283</v>
      </c>
      <c r="CS80">
        <v>210.99454401616109</v>
      </c>
      <c r="CT80">
        <v>210.34559119489498</v>
      </c>
      <c r="CU80">
        <v>207.43965039305459</v>
      </c>
      <c r="CV80">
        <v>0</v>
      </c>
      <c r="CW80">
        <v>0</v>
      </c>
    </row>
    <row r="81" spans="5:101" x14ac:dyDescent="0.2">
      <c r="E81">
        <v>222.13</v>
      </c>
      <c r="F81">
        <v>220.69157397037242</v>
      </c>
      <c r="G81">
        <v>221.96539331613857</v>
      </c>
      <c r="H81">
        <v>223.50772851659309</v>
      </c>
      <c r="I81">
        <v>219.19241783671714</v>
      </c>
      <c r="J81">
        <v>209.57350787714432</v>
      </c>
      <c r="K81">
        <v>222.03947115105467</v>
      </c>
      <c r="L81">
        <v>227.22498910764628</v>
      </c>
      <c r="M81">
        <v>228.67927208412445</v>
      </c>
      <c r="N81">
        <v>231.99349170081081</v>
      </c>
      <c r="O81">
        <v>241.84061633449059</v>
      </c>
      <c r="P81">
        <v>238.58900165261022</v>
      </c>
      <c r="Q81">
        <v>242.67726564766508</v>
      </c>
      <c r="R81">
        <v>250.13886553448432</v>
      </c>
      <c r="S81">
        <v>252.02083007795807</v>
      </c>
      <c r="T81">
        <v>254.76374822842018</v>
      </c>
      <c r="U81">
        <v>257.3260831588143</v>
      </c>
      <c r="V81">
        <v>252.81048810284472</v>
      </c>
      <c r="W81">
        <v>235.67484854748761</v>
      </c>
      <c r="X81">
        <v>235.37296246022518</v>
      </c>
      <c r="Y81">
        <v>233.30662275291894</v>
      </c>
      <c r="Z81">
        <v>233.68347415934761</v>
      </c>
      <c r="AA81">
        <v>240.73648644918634</v>
      </c>
      <c r="AB81">
        <v>242.37016087309215</v>
      </c>
      <c r="AC81">
        <v>231.75885494071127</v>
      </c>
      <c r="AD81">
        <v>237.59634859488938</v>
      </c>
      <c r="AE81">
        <v>241.63073258764987</v>
      </c>
      <c r="AF81">
        <v>242.0978602140662</v>
      </c>
      <c r="AG81">
        <v>244.02324033930012</v>
      </c>
      <c r="AH81">
        <v>239.23667609982652</v>
      </c>
      <c r="AI81">
        <v>244.30687593418369</v>
      </c>
      <c r="AJ81">
        <v>240.29910561397276</v>
      </c>
      <c r="AK81">
        <v>238.14115962542391</v>
      </c>
      <c r="AL81">
        <v>238.69218191604486</v>
      </c>
      <c r="AM81">
        <v>240.61004104017826</v>
      </c>
      <c r="AN81">
        <v>239.98123425655271</v>
      </c>
      <c r="AO81">
        <v>235.18828478776317</v>
      </c>
      <c r="AP81">
        <v>227.5637830690701</v>
      </c>
      <c r="AQ81">
        <v>218.75712146063523</v>
      </c>
      <c r="AR81">
        <v>222.76430161421445</v>
      </c>
      <c r="AS81">
        <v>219.49990853448742</v>
      </c>
      <c r="AT81">
        <v>222.14056254048995</v>
      </c>
      <c r="AU81">
        <v>221.84303802883258</v>
      </c>
      <c r="AV81">
        <v>226.75169278563698</v>
      </c>
      <c r="AW81">
        <v>225.11497057366131</v>
      </c>
      <c r="AX81">
        <v>233.47490876162601</v>
      </c>
      <c r="AY81">
        <v>237.03006031546721</v>
      </c>
      <c r="AZ81">
        <v>233.72476124730471</v>
      </c>
      <c r="BA81">
        <v>223.59819261432168</v>
      </c>
      <c r="BB81">
        <v>226.4192397665559</v>
      </c>
      <c r="BC81">
        <v>222.19305043851969</v>
      </c>
      <c r="BD81">
        <v>218.20755210543129</v>
      </c>
      <c r="BE81">
        <v>218.43397048691892</v>
      </c>
      <c r="BF81">
        <v>204.42071167367925</v>
      </c>
      <c r="BG81">
        <v>209.72412004799605</v>
      </c>
      <c r="BH81">
        <v>211.41708588540996</v>
      </c>
      <c r="BI81">
        <v>202.78549322227346</v>
      </c>
      <c r="BJ81">
        <v>209.89411361228989</v>
      </c>
      <c r="BK81">
        <v>206.06416891053641</v>
      </c>
      <c r="BL81">
        <v>208.27791837024265</v>
      </c>
      <c r="BM81">
        <v>211.426285346513</v>
      </c>
      <c r="BN81">
        <v>203.33646659986027</v>
      </c>
      <c r="BO81">
        <v>196.26061057963653</v>
      </c>
      <c r="BP81">
        <v>201.22230549142441</v>
      </c>
      <c r="BQ81">
        <v>203.07095207519677</v>
      </c>
      <c r="BR81">
        <v>202.61607890046054</v>
      </c>
      <c r="BS81">
        <v>205.01243748814235</v>
      </c>
      <c r="BT81">
        <v>201.09019505048303</v>
      </c>
      <c r="BU81">
        <v>198.60570017942473</v>
      </c>
      <c r="BV81">
        <v>206.01666300818536</v>
      </c>
      <c r="BW81">
        <v>205.24182101551787</v>
      </c>
      <c r="BX81">
        <v>201.10372582625723</v>
      </c>
      <c r="BY81">
        <v>200.09385762208117</v>
      </c>
      <c r="BZ81">
        <v>200.45614143458869</v>
      </c>
      <c r="CA81">
        <v>205.86104992367629</v>
      </c>
      <c r="CB81">
        <v>206.33179138781196</v>
      </c>
      <c r="CC81">
        <v>207.91393791072389</v>
      </c>
      <c r="CD81">
        <v>205.51306490930406</v>
      </c>
      <c r="CE81">
        <v>206.33867091995967</v>
      </c>
      <c r="CF81">
        <v>205.2719125496036</v>
      </c>
      <c r="CG81">
        <v>200.85658607481901</v>
      </c>
      <c r="CH81">
        <v>197.80707729109801</v>
      </c>
      <c r="CI81">
        <v>200.22946007302158</v>
      </c>
      <c r="CJ81">
        <v>203.48075121808259</v>
      </c>
      <c r="CK81">
        <v>207.1041528020433</v>
      </c>
      <c r="CL81">
        <v>210.6651116663013</v>
      </c>
      <c r="CM81">
        <v>203.78677935297765</v>
      </c>
      <c r="CN81">
        <v>195.06232532710428</v>
      </c>
      <c r="CO81">
        <v>195.53351780630797</v>
      </c>
      <c r="CP81">
        <v>196.99711193067776</v>
      </c>
      <c r="CQ81">
        <v>198.32214957251662</v>
      </c>
      <c r="CR81">
        <v>202.56025603636152</v>
      </c>
      <c r="CS81">
        <v>207.67598696973349</v>
      </c>
      <c r="CT81">
        <v>213.36391378762124</v>
      </c>
      <c r="CU81">
        <v>212.0484888629754</v>
      </c>
      <c r="CV81">
        <v>0</v>
      </c>
      <c r="CW81">
        <v>0</v>
      </c>
    </row>
    <row r="82" spans="5:101" x14ac:dyDescent="0.2">
      <c r="E82">
        <v>222.13</v>
      </c>
      <c r="F82">
        <v>217.45356013627594</v>
      </c>
      <c r="G82">
        <v>210.26338992526195</v>
      </c>
      <c r="H82">
        <v>209.72012339845443</v>
      </c>
      <c r="I82">
        <v>216.76651713183728</v>
      </c>
      <c r="J82">
        <v>212.90601886648565</v>
      </c>
      <c r="K82">
        <v>218.88536173529332</v>
      </c>
      <c r="L82">
        <v>233.19574880107038</v>
      </c>
      <c r="M82">
        <v>244.57220611475117</v>
      </c>
      <c r="N82">
        <v>249.66479555810676</v>
      </c>
      <c r="O82">
        <v>255.04655034675756</v>
      </c>
      <c r="P82">
        <v>248.18824526601361</v>
      </c>
      <c r="Q82">
        <v>267.83884470619586</v>
      </c>
      <c r="R82">
        <v>261.37671172096788</v>
      </c>
      <c r="S82">
        <v>259.30428289969348</v>
      </c>
      <c r="T82">
        <v>256.23181663548985</v>
      </c>
      <c r="U82">
        <v>253.85799941677934</v>
      </c>
      <c r="V82">
        <v>264.45460980866591</v>
      </c>
      <c r="W82">
        <v>264.48117412099282</v>
      </c>
      <c r="X82">
        <v>269.33415516192917</v>
      </c>
      <c r="Y82">
        <v>264.35485203756394</v>
      </c>
      <c r="Z82">
        <v>275.29694598195414</v>
      </c>
      <c r="AA82">
        <v>272.37494466438881</v>
      </c>
      <c r="AB82">
        <v>272.79234211348398</v>
      </c>
      <c r="AC82">
        <v>270.57992124132238</v>
      </c>
      <c r="AD82">
        <v>260.90819153150017</v>
      </c>
      <c r="AE82">
        <v>260.87450024802774</v>
      </c>
      <c r="AF82">
        <v>264.32101713340739</v>
      </c>
      <c r="AG82">
        <v>258.51267885901888</v>
      </c>
      <c r="AH82">
        <v>254.31085191483569</v>
      </c>
      <c r="AI82">
        <v>247.19141382082651</v>
      </c>
      <c r="AJ82">
        <v>241.44567381976361</v>
      </c>
      <c r="AK82">
        <v>246.57746255777545</v>
      </c>
      <c r="AL82">
        <v>235.76888011963936</v>
      </c>
      <c r="AM82">
        <v>228.19427592005815</v>
      </c>
      <c r="AN82">
        <v>236.39547177225845</v>
      </c>
      <c r="AO82">
        <v>245.15798991170465</v>
      </c>
      <c r="AP82">
        <v>250.81638336962678</v>
      </c>
      <c r="AQ82">
        <v>237.02914656216711</v>
      </c>
      <c r="AR82">
        <v>241.66146854741382</v>
      </c>
      <c r="AS82">
        <v>240.07714962797041</v>
      </c>
      <c r="AT82">
        <v>247.78803479915572</v>
      </c>
      <c r="AU82">
        <v>257.25620466507291</v>
      </c>
      <c r="AV82">
        <v>260.25721349643112</v>
      </c>
      <c r="AW82">
        <v>253.79801012876757</v>
      </c>
      <c r="AX82">
        <v>250.04812276669654</v>
      </c>
      <c r="AY82">
        <v>251.28132409475836</v>
      </c>
      <c r="AZ82">
        <v>247.18938815033957</v>
      </c>
      <c r="BA82">
        <v>240.30365567975846</v>
      </c>
      <c r="BB82">
        <v>244.76469342976216</v>
      </c>
      <c r="BC82">
        <v>248.29327733939101</v>
      </c>
      <c r="BD82">
        <v>257.09130759362108</v>
      </c>
      <c r="BE82">
        <v>252.56889119948909</v>
      </c>
      <c r="BF82">
        <v>265.00810510559018</v>
      </c>
      <c r="BG82">
        <v>269.1114142599211</v>
      </c>
      <c r="BH82">
        <v>269.82106152506208</v>
      </c>
      <c r="BI82">
        <v>277.87572982356397</v>
      </c>
      <c r="BJ82">
        <v>277.57045356653765</v>
      </c>
      <c r="BK82">
        <v>278.60115474510422</v>
      </c>
      <c r="BL82">
        <v>270.06824679063072</v>
      </c>
      <c r="BM82">
        <v>274.27728706991559</v>
      </c>
      <c r="BN82">
        <v>279.39041463422933</v>
      </c>
      <c r="BO82">
        <v>275.33166584735341</v>
      </c>
      <c r="BP82">
        <v>280.14605927480102</v>
      </c>
      <c r="BQ82">
        <v>287.4329343778204</v>
      </c>
      <c r="BR82">
        <v>292.12557792791415</v>
      </c>
      <c r="BS82">
        <v>283.97889649276084</v>
      </c>
      <c r="BT82">
        <v>281.74673822604359</v>
      </c>
      <c r="BU82">
        <v>278.95580378221695</v>
      </c>
      <c r="BV82">
        <v>289.87207892228372</v>
      </c>
      <c r="BW82">
        <v>293.61584861902276</v>
      </c>
      <c r="BX82">
        <v>294.26650053448992</v>
      </c>
      <c r="BY82">
        <v>298.7903965635399</v>
      </c>
      <c r="BZ82">
        <v>297.38625870824541</v>
      </c>
      <c r="CA82">
        <v>295.22507008616191</v>
      </c>
      <c r="CB82">
        <v>298.65023173493495</v>
      </c>
      <c r="CC82">
        <v>299.14337611382842</v>
      </c>
      <c r="CD82">
        <v>293.35197328454609</v>
      </c>
      <c r="CE82">
        <v>299.59048563669273</v>
      </c>
      <c r="CF82">
        <v>291.16277660246465</v>
      </c>
      <c r="CG82">
        <v>289.48580083581652</v>
      </c>
      <c r="CH82">
        <v>294.91411918327594</v>
      </c>
      <c r="CI82">
        <v>289.36699757598194</v>
      </c>
      <c r="CJ82">
        <v>289.50589851263612</v>
      </c>
      <c r="CK82">
        <v>292.9765743255017</v>
      </c>
      <c r="CL82">
        <v>291.16726716087896</v>
      </c>
      <c r="CM82">
        <v>283.31019836624688</v>
      </c>
      <c r="CN82">
        <v>268.55991840577065</v>
      </c>
      <c r="CO82">
        <v>274.9298538760666</v>
      </c>
      <c r="CP82">
        <v>278.57973729524747</v>
      </c>
      <c r="CQ82">
        <v>282.45030862767459</v>
      </c>
      <c r="CR82">
        <v>284.41083024443157</v>
      </c>
      <c r="CS82">
        <v>275.98839056815973</v>
      </c>
      <c r="CT82">
        <v>287.21443001794103</v>
      </c>
      <c r="CU82">
        <v>285.0957008633232</v>
      </c>
      <c r="CV82">
        <v>65.095700863323202</v>
      </c>
      <c r="CW82">
        <v>62.587006092325467</v>
      </c>
    </row>
    <row r="83" spans="5:101" x14ac:dyDescent="0.2">
      <c r="E83">
        <v>222.13</v>
      </c>
      <c r="F83">
        <v>215.34803332909726</v>
      </c>
      <c r="G83">
        <v>218.34452154118719</v>
      </c>
      <c r="H83">
        <v>221.20866345565574</v>
      </c>
      <c r="I83">
        <v>226.84712682891987</v>
      </c>
      <c r="J83">
        <v>229.37757660687581</v>
      </c>
      <c r="K83">
        <v>224.98776215099156</v>
      </c>
      <c r="L83">
        <v>221.81485991446846</v>
      </c>
      <c r="M83">
        <v>224.16222474946827</v>
      </c>
      <c r="N83">
        <v>226.13644608018527</v>
      </c>
      <c r="O83">
        <v>214.20615277878821</v>
      </c>
      <c r="P83">
        <v>215.2970007092396</v>
      </c>
      <c r="Q83">
        <v>213.8083320290902</v>
      </c>
      <c r="R83">
        <v>210.43623597546664</v>
      </c>
      <c r="S83">
        <v>213.94357673308596</v>
      </c>
      <c r="T83">
        <v>207.62425676294862</v>
      </c>
      <c r="U83">
        <v>210.9786711121863</v>
      </c>
      <c r="V83">
        <v>207.44063686749618</v>
      </c>
      <c r="W83">
        <v>207.82806882278965</v>
      </c>
      <c r="X83">
        <v>205.63306846612295</v>
      </c>
      <c r="Y83">
        <v>205.93417871436171</v>
      </c>
      <c r="Z83">
        <v>208.51070582443745</v>
      </c>
      <c r="AA83">
        <v>215.53450196989311</v>
      </c>
      <c r="AB83">
        <v>218.1448566978427</v>
      </c>
      <c r="AC83">
        <v>217.37719909541474</v>
      </c>
      <c r="AD83">
        <v>215.73706797500947</v>
      </c>
      <c r="AE83">
        <v>226.59288614298487</v>
      </c>
      <c r="AF83">
        <v>234.31423332132979</v>
      </c>
      <c r="AG83">
        <v>227.71637349913584</v>
      </c>
      <c r="AH83">
        <v>229.57993663790313</v>
      </c>
      <c r="AI83">
        <v>228.7185021764362</v>
      </c>
      <c r="AJ83">
        <v>231.9333925869164</v>
      </c>
      <c r="AK83">
        <v>240.28390957956168</v>
      </c>
      <c r="AL83">
        <v>235.9814522996343</v>
      </c>
      <c r="AM83">
        <v>246.71186167145387</v>
      </c>
      <c r="AN83">
        <v>234.21569345381567</v>
      </c>
      <c r="AO83">
        <v>228.78069881848415</v>
      </c>
      <c r="AP83">
        <v>225.85923947095321</v>
      </c>
      <c r="AQ83">
        <v>223.87122845910639</v>
      </c>
      <c r="AR83">
        <v>218.1387208658106</v>
      </c>
      <c r="AS83">
        <v>225.27972453886844</v>
      </c>
      <c r="AT83">
        <v>231.92125221631312</v>
      </c>
      <c r="AU83">
        <v>227.6854061783275</v>
      </c>
      <c r="AV83">
        <v>221.22464767653159</v>
      </c>
      <c r="AW83">
        <v>213.13405720473264</v>
      </c>
      <c r="AX83">
        <v>218.85688979006622</v>
      </c>
      <c r="AY83">
        <v>222.6904212995764</v>
      </c>
      <c r="AZ83">
        <v>221.48411743628597</v>
      </c>
      <c r="BA83">
        <v>227.07778701432034</v>
      </c>
      <c r="BB83">
        <v>233.14084473841135</v>
      </c>
      <c r="BC83">
        <v>235.25768475115072</v>
      </c>
      <c r="BD83">
        <v>243.65499776357868</v>
      </c>
      <c r="BE83">
        <v>239.90195207796472</v>
      </c>
      <c r="BF83">
        <v>246.7601930477291</v>
      </c>
      <c r="BG83">
        <v>242.85769035238371</v>
      </c>
      <c r="BH83">
        <v>247.23408211476314</v>
      </c>
      <c r="BI83">
        <v>260.56386776660798</v>
      </c>
      <c r="BJ83">
        <v>265.2978566314257</v>
      </c>
      <c r="BK83">
        <v>263.83615858339368</v>
      </c>
      <c r="BL83">
        <v>257.4680301331407</v>
      </c>
      <c r="BM83">
        <v>259.6783582395887</v>
      </c>
      <c r="BN83">
        <v>249.08715880392788</v>
      </c>
      <c r="BO83">
        <v>251.69734394020705</v>
      </c>
      <c r="BP83">
        <v>245.97443494219505</v>
      </c>
      <c r="BQ83">
        <v>239.62774184411182</v>
      </c>
      <c r="BR83">
        <v>229.91357343763067</v>
      </c>
      <c r="BS83">
        <v>231.85286116215181</v>
      </c>
      <c r="BT83">
        <v>233.56742031649185</v>
      </c>
      <c r="BU83">
        <v>232.82591756738259</v>
      </c>
      <c r="BV83">
        <v>240.61750682019618</v>
      </c>
      <c r="BW83">
        <v>242.52155699253484</v>
      </c>
      <c r="BX83">
        <v>240.60815029022922</v>
      </c>
      <c r="BY83">
        <v>236.76097005067197</v>
      </c>
      <c r="BZ83">
        <v>241.66958987271022</v>
      </c>
      <c r="CA83">
        <v>244.52400747436346</v>
      </c>
      <c r="CB83">
        <v>243.0488196757621</v>
      </c>
      <c r="CC83">
        <v>241.4770771147208</v>
      </c>
      <c r="CD83">
        <v>242.36125855445619</v>
      </c>
      <c r="CE83">
        <v>233.80017921091107</v>
      </c>
      <c r="CF83">
        <v>232.45395169568462</v>
      </c>
      <c r="CG83">
        <v>232.09476635804631</v>
      </c>
      <c r="CH83">
        <v>226.28270841559018</v>
      </c>
      <c r="CI83">
        <v>222.26098856895081</v>
      </c>
      <c r="CJ83">
        <v>226.65520472879126</v>
      </c>
      <c r="CK83">
        <v>224.57526699174906</v>
      </c>
      <c r="CL83">
        <v>222.90738365752549</v>
      </c>
      <c r="CM83">
        <v>224.36593614444919</v>
      </c>
      <c r="CN83">
        <v>222.79130472065626</v>
      </c>
      <c r="CO83">
        <v>221.65024717110231</v>
      </c>
      <c r="CP83">
        <v>221.12016309631215</v>
      </c>
      <c r="CQ83">
        <v>219.08066717576418</v>
      </c>
      <c r="CR83">
        <v>217.2339119668051</v>
      </c>
      <c r="CS83">
        <v>221.3691552646753</v>
      </c>
      <c r="CT83">
        <v>218.4629284988707</v>
      </c>
      <c r="CU83">
        <v>210.44045551317245</v>
      </c>
      <c r="CV83">
        <v>0</v>
      </c>
      <c r="CW83">
        <v>0</v>
      </c>
    </row>
    <row r="84" spans="5:101" x14ac:dyDescent="0.2">
      <c r="E84">
        <v>222.13</v>
      </c>
      <c r="F84">
        <v>229.31543337629623</v>
      </c>
      <c r="G84">
        <v>217.94529371061884</v>
      </c>
      <c r="H84">
        <v>225.04225107619908</v>
      </c>
      <c r="I84">
        <v>235.65774920576231</v>
      </c>
      <c r="J84">
        <v>243.13326938342072</v>
      </c>
      <c r="K84">
        <v>242.01517853981755</v>
      </c>
      <c r="L84">
        <v>234.27240243543474</v>
      </c>
      <c r="M84">
        <v>236.69204047316094</v>
      </c>
      <c r="N84">
        <v>243.67260061816097</v>
      </c>
      <c r="O84">
        <v>256.50761579885909</v>
      </c>
      <c r="P84">
        <v>252.72658836036965</v>
      </c>
      <c r="Q84">
        <v>236.43342801783501</v>
      </c>
      <c r="R84">
        <v>237.56268982237964</v>
      </c>
      <c r="S84">
        <v>235.64049356539516</v>
      </c>
      <c r="T84">
        <v>228.85758284457216</v>
      </c>
      <c r="U84">
        <v>235.37809330058096</v>
      </c>
      <c r="V84">
        <v>242.53140594012871</v>
      </c>
      <c r="W84">
        <v>237.65339433152093</v>
      </c>
      <c r="X84">
        <v>229.05997803745205</v>
      </c>
      <c r="Y84">
        <v>230.51699061104955</v>
      </c>
      <c r="Z84">
        <v>234.82984013478369</v>
      </c>
      <c r="AA84">
        <v>237.28643568436124</v>
      </c>
      <c r="AB84">
        <v>227.74944230172923</v>
      </c>
      <c r="AC84">
        <v>222.66379714493905</v>
      </c>
      <c r="AD84">
        <v>221.79103343433647</v>
      </c>
      <c r="AE84">
        <v>214.34230434705333</v>
      </c>
      <c r="AF84">
        <v>214.95931637645683</v>
      </c>
      <c r="AG84">
        <v>219.16857261430158</v>
      </c>
      <c r="AH84">
        <v>215.75438198862963</v>
      </c>
      <c r="AI84">
        <v>216.22885852839607</v>
      </c>
      <c r="AJ84">
        <v>215.57474505747751</v>
      </c>
      <c r="AK84">
        <v>216.20692319269844</v>
      </c>
      <c r="AL84">
        <v>222.05806310544844</v>
      </c>
      <c r="AM84">
        <v>217.35984245945488</v>
      </c>
      <c r="AN84">
        <v>210.32329263635791</v>
      </c>
      <c r="AO84">
        <v>219.22125826178103</v>
      </c>
      <c r="AP84">
        <v>220.60349770438702</v>
      </c>
      <c r="AQ84">
        <v>212.67463178036093</v>
      </c>
      <c r="AR84">
        <v>216.2088610878005</v>
      </c>
      <c r="AS84">
        <v>205.01203715832904</v>
      </c>
      <c r="AT84">
        <v>207.01799830860352</v>
      </c>
      <c r="AU84">
        <v>202.34131160965626</v>
      </c>
      <c r="AV84">
        <v>196.96194822635073</v>
      </c>
      <c r="AW84">
        <v>198.07896166910962</v>
      </c>
      <c r="AX84">
        <v>192.08153240984342</v>
      </c>
      <c r="AY84">
        <v>187.94658275254784</v>
      </c>
      <c r="AZ84">
        <v>183.18264082177129</v>
      </c>
      <c r="BA84">
        <v>181.60155920478445</v>
      </c>
      <c r="BB84">
        <v>179.88209310680512</v>
      </c>
      <c r="BC84">
        <v>177.90146643201072</v>
      </c>
      <c r="BD84">
        <v>169.83649412427522</v>
      </c>
      <c r="BE84">
        <v>171.52575404194499</v>
      </c>
      <c r="BF84">
        <v>167.26445468208485</v>
      </c>
      <c r="BG84">
        <v>167.5006920840998</v>
      </c>
      <c r="BH84">
        <v>159.4826689786949</v>
      </c>
      <c r="BI84">
        <v>162.60208123563686</v>
      </c>
      <c r="BJ84">
        <v>160.22999573825339</v>
      </c>
      <c r="BK84">
        <v>159.24527988777143</v>
      </c>
      <c r="BL84">
        <v>157.74450975039881</v>
      </c>
      <c r="BM84">
        <v>155.22608370324585</v>
      </c>
      <c r="BN84">
        <v>155.29302091880615</v>
      </c>
      <c r="BO84">
        <v>155.04893223737281</v>
      </c>
      <c r="BP84">
        <v>159.99127131109196</v>
      </c>
      <c r="BQ84">
        <v>159.79095771095211</v>
      </c>
      <c r="BR84">
        <v>159.56364023903984</v>
      </c>
      <c r="BS84">
        <v>158.71957129143286</v>
      </c>
      <c r="BT84">
        <v>159.28572353452788</v>
      </c>
      <c r="BU84">
        <v>160.22260841502612</v>
      </c>
      <c r="BV84">
        <v>160.03294982176826</v>
      </c>
      <c r="BW84">
        <v>158.62498314994397</v>
      </c>
      <c r="BX84">
        <v>157.90249520380678</v>
      </c>
      <c r="BY84">
        <v>155.56144126329181</v>
      </c>
      <c r="BZ84">
        <v>153.83724877952923</v>
      </c>
      <c r="CA84">
        <v>156.89852738306868</v>
      </c>
      <c r="CB84">
        <v>156.51094574399892</v>
      </c>
      <c r="CC84">
        <v>150.48239027050445</v>
      </c>
      <c r="CD84">
        <v>151.25637299519087</v>
      </c>
      <c r="CE84">
        <v>149.36862959881387</v>
      </c>
      <c r="CF84">
        <v>153.84556474342941</v>
      </c>
      <c r="CG84">
        <v>154.63653923244951</v>
      </c>
      <c r="CH84">
        <v>152.07975481115207</v>
      </c>
      <c r="CI84">
        <v>150.60319718149233</v>
      </c>
      <c r="CJ84">
        <v>153.42075372145248</v>
      </c>
      <c r="CK84">
        <v>156.50695910945208</v>
      </c>
      <c r="CL84">
        <v>158.77807296673885</v>
      </c>
      <c r="CM84">
        <v>160.49479166325622</v>
      </c>
      <c r="CN84">
        <v>160.51375500445997</v>
      </c>
      <c r="CO84">
        <v>158.17005912685892</v>
      </c>
      <c r="CP84">
        <v>160.00082314607295</v>
      </c>
      <c r="CQ84">
        <v>161.00889924698384</v>
      </c>
      <c r="CR84">
        <v>154.33503059703571</v>
      </c>
      <c r="CS84">
        <v>159.85350404681435</v>
      </c>
      <c r="CT84">
        <v>165.18157956485561</v>
      </c>
      <c r="CU84">
        <v>167.94059888377905</v>
      </c>
      <c r="CV84">
        <v>0</v>
      </c>
      <c r="CW84">
        <v>0</v>
      </c>
    </row>
    <row r="85" spans="5:101" x14ac:dyDescent="0.2">
      <c r="E85">
        <v>222.13</v>
      </c>
      <c r="F85">
        <v>218.61776161335627</v>
      </c>
      <c r="G85">
        <v>214.58974255811941</v>
      </c>
      <c r="H85">
        <v>212.5143137102971</v>
      </c>
      <c r="I85">
        <v>217.42437172903237</v>
      </c>
      <c r="J85">
        <v>220.88991148261934</v>
      </c>
      <c r="K85">
        <v>218.16022591161186</v>
      </c>
      <c r="L85">
        <v>218.62170590847609</v>
      </c>
      <c r="M85">
        <v>214.19119350889332</v>
      </c>
      <c r="N85">
        <v>217.77469174369972</v>
      </c>
      <c r="O85">
        <v>213.40381035743761</v>
      </c>
      <c r="P85">
        <v>205.75839817875152</v>
      </c>
      <c r="Q85">
        <v>202.47508260812731</v>
      </c>
      <c r="R85">
        <v>203.77745547750496</v>
      </c>
      <c r="S85">
        <v>201.81396190038336</v>
      </c>
      <c r="T85">
        <v>205.61689508433491</v>
      </c>
      <c r="U85">
        <v>205.13323315492545</v>
      </c>
      <c r="V85">
        <v>198.72429549599318</v>
      </c>
      <c r="W85">
        <v>201.06930254824528</v>
      </c>
      <c r="X85">
        <v>206.78535499111203</v>
      </c>
      <c r="Y85">
        <v>198.96362716974289</v>
      </c>
      <c r="Z85">
        <v>202.48759226969784</v>
      </c>
      <c r="AA85">
        <v>204.23408242809015</v>
      </c>
      <c r="AB85">
        <v>197.50795306025682</v>
      </c>
      <c r="AC85">
        <v>207.66451226817892</v>
      </c>
      <c r="AD85">
        <v>203.84732823711082</v>
      </c>
      <c r="AE85">
        <v>203.39886154876947</v>
      </c>
      <c r="AF85">
        <v>198.62259726920422</v>
      </c>
      <c r="AG85">
        <v>194.22361010436495</v>
      </c>
      <c r="AH85">
        <v>193.91921702294863</v>
      </c>
      <c r="AI85">
        <v>189.9155115542263</v>
      </c>
      <c r="AJ85">
        <v>198.07651465973282</v>
      </c>
      <c r="AK85">
        <v>205.78152052471063</v>
      </c>
      <c r="AL85">
        <v>208.72749614338809</v>
      </c>
      <c r="AM85">
        <v>211.61554071128916</v>
      </c>
      <c r="AN85">
        <v>204.03198330289166</v>
      </c>
      <c r="AO85">
        <v>210.53629416496364</v>
      </c>
      <c r="AP85">
        <v>210.55574151678104</v>
      </c>
      <c r="AQ85">
        <v>207.81717962639655</v>
      </c>
      <c r="AR85">
        <v>203.56938707085141</v>
      </c>
      <c r="AS85">
        <v>201.14981072269833</v>
      </c>
      <c r="AT85">
        <v>201.52557276117619</v>
      </c>
      <c r="AU85">
        <v>198.18859577436399</v>
      </c>
      <c r="AV85">
        <v>193.72217775356341</v>
      </c>
      <c r="AW85">
        <v>197.20439732826091</v>
      </c>
      <c r="AX85">
        <v>196.1424376265104</v>
      </c>
      <c r="AY85">
        <v>199.85647100724475</v>
      </c>
      <c r="AZ85">
        <v>201.66291516900716</v>
      </c>
      <c r="BA85">
        <v>200.58351917484728</v>
      </c>
      <c r="BB85">
        <v>205.98640613916439</v>
      </c>
      <c r="BC85">
        <v>202.80176722326061</v>
      </c>
      <c r="BD85">
        <v>211.97433394377299</v>
      </c>
      <c r="BE85">
        <v>216.63308372921921</v>
      </c>
      <c r="BF85">
        <v>224.38969052841472</v>
      </c>
      <c r="BG85">
        <v>222.38204118859719</v>
      </c>
      <c r="BH85">
        <v>220.86434984868029</v>
      </c>
      <c r="BI85">
        <v>236.61020500343892</v>
      </c>
      <c r="BJ85">
        <v>241.85905576142619</v>
      </c>
      <c r="BK85">
        <v>240.13595148519269</v>
      </c>
      <c r="BL85">
        <v>241.32798505837661</v>
      </c>
      <c r="BM85">
        <v>245.59847139200005</v>
      </c>
      <c r="BN85">
        <v>251.72348181944997</v>
      </c>
      <c r="BO85">
        <v>255.9172863328065</v>
      </c>
      <c r="BP85">
        <v>254.20996165988663</v>
      </c>
      <c r="BQ85">
        <v>255.22162944761973</v>
      </c>
      <c r="BR85">
        <v>252.24885700563874</v>
      </c>
      <c r="BS85">
        <v>247.2376235769209</v>
      </c>
      <c r="BT85">
        <v>250.97630732260549</v>
      </c>
      <c r="BU85">
        <v>255.04971849959023</v>
      </c>
      <c r="BV85">
        <v>262.13173192144086</v>
      </c>
      <c r="BW85">
        <v>266.73619539975266</v>
      </c>
      <c r="BX85">
        <v>263.023989293738</v>
      </c>
      <c r="BY85">
        <v>274.9797167544092</v>
      </c>
      <c r="BZ85">
        <v>282.11212129799429</v>
      </c>
      <c r="CA85">
        <v>287.30867736560236</v>
      </c>
      <c r="CB85">
        <v>285.57836307748914</v>
      </c>
      <c r="CC85">
        <v>293.50374229282494</v>
      </c>
      <c r="CD85">
        <v>296.40470797106968</v>
      </c>
      <c r="CE85">
        <v>310.99352280654659</v>
      </c>
      <c r="CF85">
        <v>316.89525108916746</v>
      </c>
      <c r="CG85">
        <v>308.09104265003441</v>
      </c>
      <c r="CH85">
        <v>319.34440325508046</v>
      </c>
      <c r="CI85">
        <v>318.87611840109207</v>
      </c>
      <c r="CJ85">
        <v>332.21693580291122</v>
      </c>
      <c r="CK85">
        <v>342.08528630104104</v>
      </c>
      <c r="CL85">
        <v>342.79836392899045</v>
      </c>
      <c r="CM85">
        <v>339.91148350022377</v>
      </c>
      <c r="CN85">
        <v>331.94977647354574</v>
      </c>
      <c r="CO85">
        <v>339.06274662223598</v>
      </c>
      <c r="CP85">
        <v>343.19619152557453</v>
      </c>
      <c r="CQ85">
        <v>340.96897261957798</v>
      </c>
      <c r="CR85">
        <v>338.40566754371633</v>
      </c>
      <c r="CS85">
        <v>337.20642813074875</v>
      </c>
      <c r="CT85">
        <v>336.21178717684353</v>
      </c>
      <c r="CU85">
        <v>344.45844334402921</v>
      </c>
      <c r="CV85">
        <v>124.45844334402921</v>
      </c>
      <c r="CW85">
        <v>119.66199378003654</v>
      </c>
    </row>
    <row r="86" spans="5:101" x14ac:dyDescent="0.2">
      <c r="E86">
        <v>222.13</v>
      </c>
      <c r="F86">
        <v>219.33672476850813</v>
      </c>
      <c r="G86">
        <v>227.71280331091927</v>
      </c>
      <c r="H86">
        <v>226.97582128119495</v>
      </c>
      <c r="I86">
        <v>216.02273543250746</v>
      </c>
      <c r="J86">
        <v>209.12036192592089</v>
      </c>
      <c r="K86">
        <v>217.90318854545416</v>
      </c>
      <c r="L86">
        <v>214.69243875743462</v>
      </c>
      <c r="M86">
        <v>211.21291779715756</v>
      </c>
      <c r="N86">
        <v>211.46774737818944</v>
      </c>
      <c r="O86">
        <v>206.34419355415531</v>
      </c>
      <c r="P86">
        <v>207.59919617713095</v>
      </c>
      <c r="Q86">
        <v>211.69748380765219</v>
      </c>
      <c r="R86">
        <v>211.11533430193964</v>
      </c>
      <c r="S86">
        <v>215.56985873165999</v>
      </c>
      <c r="T86">
        <v>218.27967665243602</v>
      </c>
      <c r="U86">
        <v>215.19388700529439</v>
      </c>
      <c r="V86">
        <v>211.84328345798997</v>
      </c>
      <c r="W86">
        <v>206.00290155248348</v>
      </c>
      <c r="X86">
        <v>207.59044123329898</v>
      </c>
      <c r="Y86">
        <v>208.32856868224104</v>
      </c>
      <c r="Z86">
        <v>207.10621530583276</v>
      </c>
      <c r="AA86">
        <v>207.8967433357451</v>
      </c>
      <c r="AB86">
        <v>214.17795422748287</v>
      </c>
      <c r="AC86">
        <v>208.47438140687512</v>
      </c>
      <c r="AD86">
        <v>213.84698465043604</v>
      </c>
      <c r="AE86">
        <v>206.45472832995594</v>
      </c>
      <c r="AF86">
        <v>204.2699945033423</v>
      </c>
      <c r="AG86">
        <v>208.65358266937474</v>
      </c>
      <c r="AH86">
        <v>218.21613717548007</v>
      </c>
      <c r="AI86">
        <v>222.44455143906876</v>
      </c>
      <c r="AJ86">
        <v>216.52570532235526</v>
      </c>
      <c r="AK86">
        <v>219.63985166726818</v>
      </c>
      <c r="AL86">
        <v>215.8918547256192</v>
      </c>
      <c r="AM86">
        <v>216.8189652845364</v>
      </c>
      <c r="AN86">
        <v>218.0869344073821</v>
      </c>
      <c r="AO86">
        <v>220.57410428855019</v>
      </c>
      <c r="AP86">
        <v>220.38341345654905</v>
      </c>
      <c r="AQ86">
        <v>213.0480173893923</v>
      </c>
      <c r="AR86">
        <v>216.9462744250111</v>
      </c>
      <c r="AS86">
        <v>221.45975444430223</v>
      </c>
      <c r="AT86">
        <v>223.17910938590319</v>
      </c>
      <c r="AU86">
        <v>218.89748937714754</v>
      </c>
      <c r="AV86">
        <v>225.44582150760561</v>
      </c>
      <c r="AW86">
        <v>234.311154605604</v>
      </c>
      <c r="AX86">
        <v>236.45016284174503</v>
      </c>
      <c r="AY86">
        <v>238.6383332118524</v>
      </c>
      <c r="AZ86">
        <v>246.06939927763199</v>
      </c>
      <c r="BA86">
        <v>238.47629969457512</v>
      </c>
      <c r="BB86">
        <v>237.42645839730358</v>
      </c>
      <c r="BC86">
        <v>239.23599575812904</v>
      </c>
      <c r="BD86">
        <v>226.32910436844148</v>
      </c>
      <c r="BE86">
        <v>235.7041546475144</v>
      </c>
      <c r="BF86">
        <v>233.69824690458952</v>
      </c>
      <c r="BG86">
        <v>226.86676288344907</v>
      </c>
      <c r="BH86">
        <v>223.20575103600169</v>
      </c>
      <c r="BI86">
        <v>225.29934343874976</v>
      </c>
      <c r="BJ86">
        <v>224.3629075589468</v>
      </c>
      <c r="BK86">
        <v>226.58389952672192</v>
      </c>
      <c r="BL86">
        <v>222.98326673828427</v>
      </c>
      <c r="BM86">
        <v>229.06644371870973</v>
      </c>
      <c r="BN86">
        <v>228.53607443297125</v>
      </c>
      <c r="BO86">
        <v>240.03651389086653</v>
      </c>
      <c r="BP86">
        <v>239.37970626352887</v>
      </c>
      <c r="BQ86">
        <v>251.97047437933387</v>
      </c>
      <c r="BR86">
        <v>251.47523782938114</v>
      </c>
      <c r="BS86">
        <v>250.39315794684433</v>
      </c>
      <c r="BT86">
        <v>246.79740068797258</v>
      </c>
      <c r="BU86">
        <v>248.4681751135073</v>
      </c>
      <c r="BV86">
        <v>240.83407847596493</v>
      </c>
      <c r="BW86">
        <v>245.9945768685397</v>
      </c>
      <c r="BX86">
        <v>234.2868497641845</v>
      </c>
      <c r="BY86">
        <v>235.35121183783301</v>
      </c>
      <c r="BZ86">
        <v>222.48707469315391</v>
      </c>
      <c r="CA86">
        <v>222.84683594040888</v>
      </c>
      <c r="CB86">
        <v>225.69136716677716</v>
      </c>
      <c r="CC86">
        <v>220.11195402067202</v>
      </c>
      <c r="CD86">
        <v>219.36544895694416</v>
      </c>
      <c r="CE86">
        <v>216.31808182547698</v>
      </c>
      <c r="CF86">
        <v>217.23183369759579</v>
      </c>
      <c r="CG86">
        <v>220.52657827742178</v>
      </c>
      <c r="CH86">
        <v>228.59627700157995</v>
      </c>
      <c r="CI86">
        <v>218.43722315845767</v>
      </c>
      <c r="CJ86">
        <v>211.77193810218961</v>
      </c>
      <c r="CK86">
        <v>210.55221920651138</v>
      </c>
      <c r="CL86">
        <v>209.09905391382861</v>
      </c>
      <c r="CM86">
        <v>195.99674385842155</v>
      </c>
      <c r="CN86">
        <v>189.12951479940892</v>
      </c>
      <c r="CO86">
        <v>193.58453279721437</v>
      </c>
      <c r="CP86">
        <v>183.65875937405042</v>
      </c>
      <c r="CQ86">
        <v>184.53097223035394</v>
      </c>
      <c r="CR86">
        <v>187.81309544306177</v>
      </c>
      <c r="CS86">
        <v>187.74026130124619</v>
      </c>
      <c r="CT86">
        <v>187.31331435315343</v>
      </c>
      <c r="CU86">
        <v>193.66222596949657</v>
      </c>
      <c r="CV86">
        <v>0</v>
      </c>
      <c r="CW86">
        <v>0</v>
      </c>
    </row>
    <row r="87" spans="5:101" x14ac:dyDescent="0.2">
      <c r="E87">
        <v>222.13</v>
      </c>
      <c r="F87">
        <v>225.28495157549759</v>
      </c>
      <c r="G87">
        <v>223.78367983923343</v>
      </c>
      <c r="H87">
        <v>228.22105954773053</v>
      </c>
      <c r="I87">
        <v>225.66909893568345</v>
      </c>
      <c r="J87">
        <v>234.04230631353045</v>
      </c>
      <c r="K87">
        <v>235.63491708590135</v>
      </c>
      <c r="L87">
        <v>243.50552299483124</v>
      </c>
      <c r="M87">
        <v>244.67252151141267</v>
      </c>
      <c r="N87">
        <v>249.3822515712238</v>
      </c>
      <c r="O87">
        <v>241.52431418974578</v>
      </c>
      <c r="P87">
        <v>249.90235891150886</v>
      </c>
      <c r="Q87">
        <v>249.29086994873643</v>
      </c>
      <c r="R87">
        <v>239.03701997688373</v>
      </c>
      <c r="S87">
        <v>234.32542009771763</v>
      </c>
      <c r="T87">
        <v>231.23818934647861</v>
      </c>
      <c r="U87">
        <v>220.24496372894947</v>
      </c>
      <c r="V87">
        <v>215.24659244680083</v>
      </c>
      <c r="W87">
        <v>216.3212042492587</v>
      </c>
      <c r="X87">
        <v>212.34325028788436</v>
      </c>
      <c r="Y87">
        <v>216.52462337960301</v>
      </c>
      <c r="Z87">
        <v>209.26989974575412</v>
      </c>
      <c r="AA87">
        <v>208.30486157863007</v>
      </c>
      <c r="AB87">
        <v>202.91725169934477</v>
      </c>
      <c r="AC87">
        <v>202.02408064317879</v>
      </c>
      <c r="AD87">
        <v>198.99992675080458</v>
      </c>
      <c r="AE87">
        <v>201.27941355442033</v>
      </c>
      <c r="AF87">
        <v>203.72358532664697</v>
      </c>
      <c r="AG87">
        <v>201.13811556909127</v>
      </c>
      <c r="AH87">
        <v>202.90460524571873</v>
      </c>
      <c r="AI87">
        <v>196.74456462632185</v>
      </c>
      <c r="AJ87">
        <v>197.72980203873041</v>
      </c>
      <c r="AK87">
        <v>198.49759478942016</v>
      </c>
      <c r="AL87">
        <v>196.2827105542878</v>
      </c>
      <c r="AM87">
        <v>203.662213967257</v>
      </c>
      <c r="AN87">
        <v>196.2272324595869</v>
      </c>
      <c r="AO87">
        <v>199.22288037182943</v>
      </c>
      <c r="AP87">
        <v>197.95674025734988</v>
      </c>
      <c r="AQ87">
        <v>202.90077782009777</v>
      </c>
      <c r="AR87">
        <v>204.37359991482401</v>
      </c>
      <c r="AS87">
        <v>203.85282976600928</v>
      </c>
      <c r="AT87">
        <v>200.60159131133071</v>
      </c>
      <c r="AU87">
        <v>196.80250088922048</v>
      </c>
      <c r="AV87">
        <v>189.26679681365906</v>
      </c>
      <c r="AW87">
        <v>201.52629655190458</v>
      </c>
      <c r="AX87">
        <v>205.16428673472925</v>
      </c>
      <c r="AY87">
        <v>204.06945426786473</v>
      </c>
      <c r="AZ87">
        <v>200.85139447005474</v>
      </c>
      <c r="BA87">
        <v>199.97469519261196</v>
      </c>
      <c r="BB87">
        <v>189.8829618355764</v>
      </c>
      <c r="BC87">
        <v>198.78381192826726</v>
      </c>
      <c r="BD87">
        <v>195.05493029814943</v>
      </c>
      <c r="BE87">
        <v>199.61097682933982</v>
      </c>
      <c r="BF87">
        <v>209.25825907876037</v>
      </c>
      <c r="BG87">
        <v>221.71290468428114</v>
      </c>
      <c r="BH87">
        <v>215.9899516104482</v>
      </c>
      <c r="BI87">
        <v>215.53254369813391</v>
      </c>
      <c r="BJ87">
        <v>224.11445321475662</v>
      </c>
      <c r="BK87">
        <v>224.9969776764182</v>
      </c>
      <c r="BL87">
        <v>225.05436672976538</v>
      </c>
      <c r="BM87">
        <v>221.27974398170323</v>
      </c>
      <c r="BN87">
        <v>218.0537403430086</v>
      </c>
      <c r="BO87">
        <v>227.50822402816789</v>
      </c>
      <c r="BP87">
        <v>227.88573753625508</v>
      </c>
      <c r="BQ87">
        <v>225.88571030648924</v>
      </c>
      <c r="BR87">
        <v>227.35560708811593</v>
      </c>
      <c r="BS87">
        <v>237.32421286470458</v>
      </c>
      <c r="BT87">
        <v>234.62121164693701</v>
      </c>
      <c r="BU87">
        <v>242.96976623614202</v>
      </c>
      <c r="BV87">
        <v>237.94563253291369</v>
      </c>
      <c r="BW87">
        <v>234.50765434407228</v>
      </c>
      <c r="BX87">
        <v>237.93719458163665</v>
      </c>
      <c r="BY87">
        <v>243.38303754226573</v>
      </c>
      <c r="BZ87">
        <v>254.70779788695586</v>
      </c>
      <c r="CA87">
        <v>246.01827087842094</v>
      </c>
      <c r="CB87">
        <v>243.61116267078546</v>
      </c>
      <c r="CC87">
        <v>239.01045144137336</v>
      </c>
      <c r="CD87">
        <v>237.96302532148917</v>
      </c>
      <c r="CE87">
        <v>244.18093555810518</v>
      </c>
      <c r="CF87">
        <v>247.64723453600095</v>
      </c>
      <c r="CG87">
        <v>241.54305248202127</v>
      </c>
      <c r="CH87">
        <v>240.74093180637948</v>
      </c>
      <c r="CI87">
        <v>237.97248575565496</v>
      </c>
      <c r="CJ87">
        <v>238.23701688444217</v>
      </c>
      <c r="CK87">
        <v>231.16166770856509</v>
      </c>
      <c r="CL87">
        <v>237.77710213617044</v>
      </c>
      <c r="CM87">
        <v>232.83613650136991</v>
      </c>
      <c r="CN87">
        <v>225.25153323633435</v>
      </c>
      <c r="CO87">
        <v>227.17612517350079</v>
      </c>
      <c r="CP87">
        <v>226.40685243192766</v>
      </c>
      <c r="CQ87">
        <v>221.24248512979213</v>
      </c>
      <c r="CR87">
        <v>224.23903621451311</v>
      </c>
      <c r="CS87">
        <v>227.91811491192115</v>
      </c>
      <c r="CT87">
        <v>228.22605507217185</v>
      </c>
      <c r="CU87">
        <v>231.88671336558906</v>
      </c>
      <c r="CV87">
        <v>11.88671336558906</v>
      </c>
      <c r="CW87">
        <v>11.42861651327598</v>
      </c>
    </row>
    <row r="88" spans="5:101" x14ac:dyDescent="0.2">
      <c r="E88">
        <v>222.13</v>
      </c>
      <c r="F88">
        <v>222.63843478701816</v>
      </c>
      <c r="G88">
        <v>227.18411914685913</v>
      </c>
      <c r="H88">
        <v>227.00072437088576</v>
      </c>
      <c r="I88">
        <v>225.89626478859918</v>
      </c>
      <c r="J88">
        <v>223.9346099798681</v>
      </c>
      <c r="K88">
        <v>217.83280323889096</v>
      </c>
      <c r="L88">
        <v>215.09602332544097</v>
      </c>
      <c r="M88">
        <v>213.33696897376177</v>
      </c>
      <c r="N88">
        <v>213.35405830700557</v>
      </c>
      <c r="O88">
        <v>205.08826529590993</v>
      </c>
      <c r="P88">
        <v>201.23429541920922</v>
      </c>
      <c r="Q88">
        <v>196.48997546233659</v>
      </c>
      <c r="R88">
        <v>199.88940884527844</v>
      </c>
      <c r="S88">
        <v>200.75650929867075</v>
      </c>
      <c r="T88">
        <v>203.93378786566132</v>
      </c>
      <c r="U88">
        <v>203.84436798175989</v>
      </c>
      <c r="V88">
        <v>213.05263113087506</v>
      </c>
      <c r="W88">
        <v>215.04645756235013</v>
      </c>
      <c r="X88">
        <v>204.81004724632217</v>
      </c>
      <c r="Y88">
        <v>198.4460475537808</v>
      </c>
      <c r="Z88">
        <v>200.93586121862955</v>
      </c>
      <c r="AA88">
        <v>194.89842362675887</v>
      </c>
      <c r="AB88">
        <v>202.59403497790734</v>
      </c>
      <c r="AC88">
        <v>201.55809162342419</v>
      </c>
      <c r="AD88">
        <v>214.12893748961349</v>
      </c>
      <c r="AE88">
        <v>224.05255016982878</v>
      </c>
      <c r="AF88">
        <v>225.2748814900101</v>
      </c>
      <c r="AG88">
        <v>226.73808749420897</v>
      </c>
      <c r="AH88">
        <v>221.73132419304869</v>
      </c>
      <c r="AI88">
        <v>222.73749213082664</v>
      </c>
      <c r="AJ88">
        <v>225.16486517038462</v>
      </c>
      <c r="AK88">
        <v>220.29017142164778</v>
      </c>
      <c r="AL88">
        <v>219.82015727125219</v>
      </c>
      <c r="AM88">
        <v>226.18471342678731</v>
      </c>
      <c r="AN88">
        <v>226.17414461658046</v>
      </c>
      <c r="AO88">
        <v>215.77795217564255</v>
      </c>
      <c r="AP88">
        <v>221.53299661818897</v>
      </c>
      <c r="AQ88">
        <v>220.80341570549817</v>
      </c>
      <c r="AR88">
        <v>217.87831834811368</v>
      </c>
      <c r="AS88">
        <v>219.60408064133364</v>
      </c>
      <c r="AT88">
        <v>233.21577107367389</v>
      </c>
      <c r="AU88">
        <v>231.3787007913667</v>
      </c>
      <c r="AV88">
        <v>233.17593317800001</v>
      </c>
      <c r="AW88">
        <v>231.88857642821338</v>
      </c>
      <c r="AX88">
        <v>236.11071894854396</v>
      </c>
      <c r="AY88">
        <v>232.27366609666927</v>
      </c>
      <c r="AZ88">
        <v>240.75831615538345</v>
      </c>
      <c r="BA88">
        <v>236.29440019185182</v>
      </c>
      <c r="BB88">
        <v>245.59818446478036</v>
      </c>
      <c r="BC88">
        <v>260.13240144028691</v>
      </c>
      <c r="BD88">
        <v>261.42524929219718</v>
      </c>
      <c r="BE88">
        <v>261.63204238447486</v>
      </c>
      <c r="BF88">
        <v>257.92037276751529</v>
      </c>
      <c r="BG88">
        <v>257.86740754914047</v>
      </c>
      <c r="BH88">
        <v>259.29849007281712</v>
      </c>
      <c r="BI88">
        <v>255.42099285265809</v>
      </c>
      <c r="BJ88">
        <v>257.56242653287956</v>
      </c>
      <c r="BK88">
        <v>254.13518496058202</v>
      </c>
      <c r="BL88">
        <v>249.06425403454691</v>
      </c>
      <c r="BM88">
        <v>253.325122350312</v>
      </c>
      <c r="BN88">
        <v>242.21022140401871</v>
      </c>
      <c r="BO88">
        <v>231.16460160012954</v>
      </c>
      <c r="BP88">
        <v>237.83660924650226</v>
      </c>
      <c r="BQ88">
        <v>238.16129182476149</v>
      </c>
      <c r="BR88">
        <v>236.93010105962259</v>
      </c>
      <c r="BS88">
        <v>235.88007044168157</v>
      </c>
      <c r="BT88">
        <v>226.95242096433213</v>
      </c>
      <c r="BU88">
        <v>244.80963164416849</v>
      </c>
      <c r="BV88">
        <v>234.82127927405477</v>
      </c>
      <c r="BW88">
        <v>240.8895538064674</v>
      </c>
      <c r="BX88">
        <v>235.41805053943997</v>
      </c>
      <c r="BY88">
        <v>242.55612447111304</v>
      </c>
      <c r="BZ88">
        <v>247.31822955908748</v>
      </c>
      <c r="CA88">
        <v>246.81174482193049</v>
      </c>
      <c r="CB88">
        <v>252.14144009138823</v>
      </c>
      <c r="CC88">
        <v>246.11565116855658</v>
      </c>
      <c r="CD88">
        <v>246.26722568994802</v>
      </c>
      <c r="CE88">
        <v>240.41618427968947</v>
      </c>
      <c r="CF88">
        <v>236.32284241113905</v>
      </c>
      <c r="CG88">
        <v>244.55041830030734</v>
      </c>
      <c r="CH88">
        <v>251.32603378749525</v>
      </c>
      <c r="CI88">
        <v>256.71468325938599</v>
      </c>
      <c r="CJ88">
        <v>256.87894237168081</v>
      </c>
      <c r="CK88">
        <v>259.10478718376112</v>
      </c>
      <c r="CL88">
        <v>265.56248560826828</v>
      </c>
      <c r="CM88">
        <v>270.78121312028583</v>
      </c>
      <c r="CN88">
        <v>278.38414984018169</v>
      </c>
      <c r="CO88">
        <v>282.35857280917907</v>
      </c>
      <c r="CP88">
        <v>288.58538691989816</v>
      </c>
      <c r="CQ88">
        <v>282.48658092708644</v>
      </c>
      <c r="CR88">
        <v>279.63814753584677</v>
      </c>
      <c r="CS88">
        <v>274.05509746107504</v>
      </c>
      <c r="CT88">
        <v>269.02021695467408</v>
      </c>
      <c r="CU88">
        <v>269.11778186369867</v>
      </c>
      <c r="CV88">
        <v>49.117781863698667</v>
      </c>
      <c r="CW88">
        <v>47.224853131228492</v>
      </c>
    </row>
    <row r="89" spans="5:101" x14ac:dyDescent="0.2">
      <c r="E89">
        <v>222.13</v>
      </c>
      <c r="F89">
        <v>228.41346223976592</v>
      </c>
      <c r="G89">
        <v>229.55205188365753</v>
      </c>
      <c r="H89">
        <v>241.0004365670018</v>
      </c>
      <c r="I89">
        <v>238.29572450491349</v>
      </c>
      <c r="J89">
        <v>242.96206327021051</v>
      </c>
      <c r="K89">
        <v>244.77856091679092</v>
      </c>
      <c r="L89">
        <v>255.628607181473</v>
      </c>
      <c r="M89">
        <v>252.60074274612239</v>
      </c>
      <c r="N89">
        <v>250.42281177199737</v>
      </c>
      <c r="O89">
        <v>246.6765980901539</v>
      </c>
      <c r="P89">
        <v>242.70198169525605</v>
      </c>
      <c r="Q89">
        <v>254.88233031816063</v>
      </c>
      <c r="R89">
        <v>241.79548874141153</v>
      </c>
      <c r="S89">
        <v>236.02096831892797</v>
      </c>
      <c r="T89">
        <v>232.80691808363176</v>
      </c>
      <c r="U89">
        <v>223.36660065521207</v>
      </c>
      <c r="V89">
        <v>220.90452874799436</v>
      </c>
      <c r="W89">
        <v>224.73650542796244</v>
      </c>
      <c r="X89">
        <v>226.86229466567238</v>
      </c>
      <c r="Y89">
        <v>228.02971525068099</v>
      </c>
      <c r="Z89">
        <v>223.50108464936062</v>
      </c>
      <c r="AA89">
        <v>225.58636116073748</v>
      </c>
      <c r="AB89">
        <v>229.35214595823635</v>
      </c>
      <c r="AC89">
        <v>227.34687609063673</v>
      </c>
      <c r="AD89">
        <v>219.30123841084259</v>
      </c>
      <c r="AE89">
        <v>230.32065170776349</v>
      </c>
      <c r="AF89">
        <v>226.76119126417902</v>
      </c>
      <c r="AG89">
        <v>228.44235962421897</v>
      </c>
      <c r="AH89">
        <v>218.6154018831721</v>
      </c>
      <c r="AI89">
        <v>216.24431573994227</v>
      </c>
      <c r="AJ89">
        <v>210.16192111199456</v>
      </c>
      <c r="AK89">
        <v>207.86607348678277</v>
      </c>
      <c r="AL89">
        <v>207.86675272368964</v>
      </c>
      <c r="AM89">
        <v>202.66273143525834</v>
      </c>
      <c r="AN89">
        <v>202.85312989040207</v>
      </c>
      <c r="AO89">
        <v>197.64978249661996</v>
      </c>
      <c r="AP89">
        <v>195.03651750691856</v>
      </c>
      <c r="AQ89">
        <v>202.64169093011603</v>
      </c>
      <c r="AR89">
        <v>200.23865292525221</v>
      </c>
      <c r="AS89">
        <v>203.16923165961347</v>
      </c>
      <c r="AT89">
        <v>202.04860357821397</v>
      </c>
      <c r="AU89">
        <v>197.33421709176437</v>
      </c>
      <c r="AV89">
        <v>196.1843704996574</v>
      </c>
      <c r="AW89">
        <v>201.67662962168447</v>
      </c>
      <c r="AX89">
        <v>204.56074653664808</v>
      </c>
      <c r="AY89">
        <v>213.05144339132352</v>
      </c>
      <c r="AZ89">
        <v>208.63660424075002</v>
      </c>
      <c r="BA89">
        <v>204.20477667586599</v>
      </c>
      <c r="BB89">
        <v>207.94344460430648</v>
      </c>
      <c r="BC89">
        <v>220.59243085912533</v>
      </c>
      <c r="BD89">
        <v>222.57933784627571</v>
      </c>
      <c r="BE89">
        <v>213.29423073835505</v>
      </c>
      <c r="BF89">
        <v>214.75193034551742</v>
      </c>
      <c r="BG89">
        <v>213.79233515712352</v>
      </c>
      <c r="BH89">
        <v>215.02878351384823</v>
      </c>
      <c r="BI89">
        <v>218.81254968221361</v>
      </c>
      <c r="BJ89">
        <v>218.44899653408862</v>
      </c>
      <c r="BK89">
        <v>216.94242424163988</v>
      </c>
      <c r="BL89">
        <v>215.79190657522349</v>
      </c>
      <c r="BM89">
        <v>217.31628837264387</v>
      </c>
      <c r="BN89">
        <v>209.64714263432768</v>
      </c>
      <c r="BO89">
        <v>204.49007191609672</v>
      </c>
      <c r="BP89">
        <v>194.25919881933163</v>
      </c>
      <c r="BQ89">
        <v>195.86006889768638</v>
      </c>
      <c r="BR89">
        <v>199.94892145669562</v>
      </c>
      <c r="BS89">
        <v>208.44570520350098</v>
      </c>
      <c r="BT89">
        <v>204.16579554182812</v>
      </c>
      <c r="BU89">
        <v>213.48078316140112</v>
      </c>
      <c r="BV89">
        <v>212.72621810345842</v>
      </c>
      <c r="BW89">
        <v>216.87148235805327</v>
      </c>
      <c r="BX89">
        <v>224.03828229492041</v>
      </c>
      <c r="BY89">
        <v>221.99784026799978</v>
      </c>
      <c r="BZ89">
        <v>218.34237929372367</v>
      </c>
      <c r="CA89">
        <v>214.2090886021561</v>
      </c>
      <c r="CB89">
        <v>209.75044147416921</v>
      </c>
      <c r="CC89">
        <v>212.70441107943071</v>
      </c>
      <c r="CD89">
        <v>217.05633869047111</v>
      </c>
      <c r="CE89">
        <v>217.80541302267395</v>
      </c>
      <c r="CF89">
        <v>222.80702142273108</v>
      </c>
      <c r="CG89">
        <v>222.14971300501335</v>
      </c>
      <c r="CH89">
        <v>219.2040577695729</v>
      </c>
      <c r="CI89">
        <v>221.34837805317207</v>
      </c>
      <c r="CJ89">
        <v>219.93610357972472</v>
      </c>
      <c r="CK89">
        <v>222.22169631061055</v>
      </c>
      <c r="CL89">
        <v>226.41109754266998</v>
      </c>
      <c r="CM89">
        <v>228.37930497785214</v>
      </c>
      <c r="CN89">
        <v>236.13345396564486</v>
      </c>
      <c r="CO89">
        <v>237.2239895070318</v>
      </c>
      <c r="CP89">
        <v>228.95992048284188</v>
      </c>
      <c r="CQ89">
        <v>233.48213858089389</v>
      </c>
      <c r="CR89">
        <v>231.36141187073156</v>
      </c>
      <c r="CS89">
        <v>231.45264298164486</v>
      </c>
      <c r="CT89">
        <v>234.29938584705636</v>
      </c>
      <c r="CU89">
        <v>243.69236300461174</v>
      </c>
      <c r="CV89">
        <v>23.692363004611735</v>
      </c>
      <c r="CW89">
        <v>22.779293379521668</v>
      </c>
    </row>
    <row r="90" spans="5:101" x14ac:dyDescent="0.2">
      <c r="E90">
        <v>222.13</v>
      </c>
      <c r="F90">
        <v>222.58205415433537</v>
      </c>
      <c r="G90">
        <v>224.30451318818018</v>
      </c>
      <c r="H90">
        <v>233.02551498847947</v>
      </c>
      <c r="I90">
        <v>231.38158712607827</v>
      </c>
      <c r="J90">
        <v>227.09407562387798</v>
      </c>
      <c r="K90">
        <v>229.01462928208264</v>
      </c>
      <c r="L90">
        <v>230.33521948583936</v>
      </c>
      <c r="M90">
        <v>234.34142250898606</v>
      </c>
      <c r="N90">
        <v>236.95313544098599</v>
      </c>
      <c r="O90">
        <v>241.86801827585347</v>
      </c>
      <c r="P90">
        <v>244.68146160895208</v>
      </c>
      <c r="Q90">
        <v>247.50482541815231</v>
      </c>
      <c r="R90">
        <v>247.51751096959373</v>
      </c>
      <c r="S90">
        <v>243.84491139785274</v>
      </c>
      <c r="T90">
        <v>252.28749873329892</v>
      </c>
      <c r="U90">
        <v>246.69688726356634</v>
      </c>
      <c r="V90">
        <v>249.28840361006107</v>
      </c>
      <c r="W90">
        <v>255.28111144153095</v>
      </c>
      <c r="X90">
        <v>245.182745053171</v>
      </c>
      <c r="Y90">
        <v>252.95821602683944</v>
      </c>
      <c r="Z90">
        <v>244.08088306202254</v>
      </c>
      <c r="AA90">
        <v>248.26182703105982</v>
      </c>
      <c r="AB90">
        <v>245.21848839293619</v>
      </c>
      <c r="AC90">
        <v>236.5457165444835</v>
      </c>
      <c r="AD90">
        <v>243.96666103360405</v>
      </c>
      <c r="AE90">
        <v>244.1338351941055</v>
      </c>
      <c r="AF90">
        <v>248.09003343650915</v>
      </c>
      <c r="AG90">
        <v>246.25913591878421</v>
      </c>
      <c r="AH90">
        <v>249.11964064257367</v>
      </c>
      <c r="AI90">
        <v>247.20221697105799</v>
      </c>
      <c r="AJ90">
        <v>245.45327850216029</v>
      </c>
      <c r="AK90">
        <v>241.7092976420434</v>
      </c>
      <c r="AL90">
        <v>245.48083813173207</v>
      </c>
      <c r="AM90">
        <v>245.17400761951131</v>
      </c>
      <c r="AN90">
        <v>254.99729219228917</v>
      </c>
      <c r="AO90">
        <v>250.88384805870294</v>
      </c>
      <c r="AP90">
        <v>251.56952931655167</v>
      </c>
      <c r="AQ90">
        <v>249.94654677424757</v>
      </c>
      <c r="AR90">
        <v>260.58466113022411</v>
      </c>
      <c r="AS90">
        <v>258.57472522952452</v>
      </c>
      <c r="AT90">
        <v>266.3305375663258</v>
      </c>
      <c r="AU90">
        <v>266.61537108823546</v>
      </c>
      <c r="AV90">
        <v>268.33975284742382</v>
      </c>
      <c r="AW90">
        <v>267.58010754215206</v>
      </c>
      <c r="AX90">
        <v>264.97034693732746</v>
      </c>
      <c r="AY90">
        <v>263.31223091747154</v>
      </c>
      <c r="AZ90">
        <v>271.77286631625685</v>
      </c>
      <c r="BA90">
        <v>268.36093092715339</v>
      </c>
      <c r="BB90">
        <v>263.99097429697315</v>
      </c>
      <c r="BC90">
        <v>258.59041405832204</v>
      </c>
      <c r="BD90">
        <v>253.91011241766486</v>
      </c>
      <c r="BE90">
        <v>248.55933332649414</v>
      </c>
      <c r="BF90">
        <v>251.9650984726394</v>
      </c>
      <c r="BG90">
        <v>256.45535085810832</v>
      </c>
      <c r="BH90">
        <v>248.03574355159731</v>
      </c>
      <c r="BI90">
        <v>256.02199592726976</v>
      </c>
      <c r="BJ90">
        <v>257.1074485398542</v>
      </c>
      <c r="BK90">
        <v>248.13828656687218</v>
      </c>
      <c r="BL90">
        <v>243.05154924292506</v>
      </c>
      <c r="BM90">
        <v>238.43261636036607</v>
      </c>
      <c r="BN90">
        <v>238.15032119097123</v>
      </c>
      <c r="BO90">
        <v>233.24953468075938</v>
      </c>
      <c r="BP90">
        <v>231.60734937037043</v>
      </c>
      <c r="BQ90">
        <v>237.27831577336474</v>
      </c>
      <c r="BR90">
        <v>237.05863579839595</v>
      </c>
      <c r="BS90">
        <v>239.4387406847685</v>
      </c>
      <c r="BT90">
        <v>235.30076651902826</v>
      </c>
      <c r="BU90">
        <v>230.79804842402541</v>
      </c>
      <c r="BV90">
        <v>241.41781520847704</v>
      </c>
      <c r="BW90">
        <v>240.88456819038066</v>
      </c>
      <c r="BX90">
        <v>245.8968418658024</v>
      </c>
      <c r="BY90">
        <v>246.61550377419314</v>
      </c>
      <c r="BZ90">
        <v>248.06418011781329</v>
      </c>
      <c r="CA90">
        <v>256.95039399435422</v>
      </c>
      <c r="CB90">
        <v>262.66327181380882</v>
      </c>
      <c r="CC90">
        <v>261.70159725974997</v>
      </c>
      <c r="CD90">
        <v>259.34326145513529</v>
      </c>
      <c r="CE90">
        <v>261.83575572543123</v>
      </c>
      <c r="CF90">
        <v>266.5362984226436</v>
      </c>
      <c r="CG90">
        <v>267.28013983183848</v>
      </c>
      <c r="CH90">
        <v>269.49635302700489</v>
      </c>
      <c r="CI90">
        <v>272.62870044559673</v>
      </c>
      <c r="CJ90">
        <v>271.72901716648335</v>
      </c>
      <c r="CK90">
        <v>262.29524198015656</v>
      </c>
      <c r="CL90">
        <v>259.00908902211734</v>
      </c>
      <c r="CM90">
        <v>260.14759875125492</v>
      </c>
      <c r="CN90">
        <v>258.79448394729616</v>
      </c>
      <c r="CO90">
        <v>260.91744762777938</v>
      </c>
      <c r="CP90">
        <v>251.9698257378663</v>
      </c>
      <c r="CQ90">
        <v>253.10494478486868</v>
      </c>
      <c r="CR90">
        <v>260.04745581552191</v>
      </c>
      <c r="CS90">
        <v>261.70356253449364</v>
      </c>
      <c r="CT90">
        <v>263.43070649070074</v>
      </c>
      <c r="CU90">
        <v>262.08243220058131</v>
      </c>
      <c r="CV90">
        <v>42.082432200581309</v>
      </c>
      <c r="CW90">
        <v>40.460635734573103</v>
      </c>
    </row>
    <row r="91" spans="5:101" x14ac:dyDescent="0.2">
      <c r="E91">
        <v>222.13</v>
      </c>
      <c r="F91">
        <v>219.84374610802107</v>
      </c>
      <c r="G91">
        <v>224.94076247941371</v>
      </c>
      <c r="H91">
        <v>221.47962544572812</v>
      </c>
      <c r="I91">
        <v>225.97138306268096</v>
      </c>
      <c r="J91">
        <v>219.33622778356516</v>
      </c>
      <c r="K91">
        <v>207.58690225072502</v>
      </c>
      <c r="L91">
        <v>199.1968513834664</v>
      </c>
      <c r="M91">
        <v>194.98861095164807</v>
      </c>
      <c r="N91">
        <v>194.13267835570682</v>
      </c>
      <c r="O91">
        <v>192.23759751066265</v>
      </c>
      <c r="P91">
        <v>187.06552814586277</v>
      </c>
      <c r="Q91">
        <v>182.7622192898304</v>
      </c>
      <c r="R91">
        <v>193.4270078048655</v>
      </c>
      <c r="S91">
        <v>186.89908193184897</v>
      </c>
      <c r="T91">
        <v>188.57595177812081</v>
      </c>
      <c r="U91">
        <v>194.81187663858739</v>
      </c>
      <c r="V91">
        <v>188.791602549326</v>
      </c>
      <c r="W91">
        <v>190.44578323861577</v>
      </c>
      <c r="X91">
        <v>189.30606176602936</v>
      </c>
      <c r="Y91">
        <v>179.03756816936863</v>
      </c>
      <c r="Z91">
        <v>182.75090183429657</v>
      </c>
      <c r="AA91">
        <v>182.12821395159966</v>
      </c>
      <c r="AB91">
        <v>185.31870961760012</v>
      </c>
      <c r="AC91">
        <v>190.66903264654994</v>
      </c>
      <c r="AD91">
        <v>194.36726500161447</v>
      </c>
      <c r="AE91">
        <v>199.83720908715642</v>
      </c>
      <c r="AF91">
        <v>196.54226473771192</v>
      </c>
      <c r="AG91">
        <v>194.76651711883696</v>
      </c>
      <c r="AH91">
        <v>191.05373666146113</v>
      </c>
      <c r="AI91">
        <v>191.30724239521888</v>
      </c>
      <c r="AJ91">
        <v>190.58571233313009</v>
      </c>
      <c r="AK91">
        <v>193.05257173484571</v>
      </c>
      <c r="AL91">
        <v>194.23003911640802</v>
      </c>
      <c r="AM91">
        <v>192.17754575775049</v>
      </c>
      <c r="AN91">
        <v>202.71260869835203</v>
      </c>
      <c r="AO91">
        <v>198.18517417122121</v>
      </c>
      <c r="AP91">
        <v>205.6354426175435</v>
      </c>
      <c r="AQ91">
        <v>203.38134834177046</v>
      </c>
      <c r="AR91">
        <v>205.8152121076003</v>
      </c>
      <c r="AS91">
        <v>207.25110001357405</v>
      </c>
      <c r="AT91">
        <v>206.2247571682021</v>
      </c>
      <c r="AU91">
        <v>203.10558049631433</v>
      </c>
      <c r="AV91">
        <v>206.67311569250231</v>
      </c>
      <c r="AW91">
        <v>208.16803611261597</v>
      </c>
      <c r="AX91">
        <v>194.64974660358885</v>
      </c>
      <c r="AY91">
        <v>199.81062645970954</v>
      </c>
      <c r="AZ91">
        <v>201.51016673716592</v>
      </c>
      <c r="BA91">
        <v>202.18748331755995</v>
      </c>
      <c r="BB91">
        <v>197.15116085421903</v>
      </c>
      <c r="BC91">
        <v>202.27819577462444</v>
      </c>
      <c r="BD91">
        <v>194.05665532637445</v>
      </c>
      <c r="BE91">
        <v>195.04260201497524</v>
      </c>
      <c r="BF91">
        <v>192.50945663831374</v>
      </c>
      <c r="BG91">
        <v>189.20638165635995</v>
      </c>
      <c r="BH91">
        <v>186.75956042037902</v>
      </c>
      <c r="BI91">
        <v>182.79670829459241</v>
      </c>
      <c r="BJ91">
        <v>182.68851316193224</v>
      </c>
      <c r="BK91">
        <v>179.67485565343134</v>
      </c>
      <c r="BL91">
        <v>178.07095732933269</v>
      </c>
      <c r="BM91">
        <v>180.2707580079483</v>
      </c>
      <c r="BN91">
        <v>173.88153242975631</v>
      </c>
      <c r="BO91">
        <v>171.04383873374471</v>
      </c>
      <c r="BP91">
        <v>173.35393146182426</v>
      </c>
      <c r="BQ91">
        <v>172.54242722593091</v>
      </c>
      <c r="BR91">
        <v>169.57680982870363</v>
      </c>
      <c r="BS91">
        <v>162.98140823122199</v>
      </c>
      <c r="BT91">
        <v>154.56332528584244</v>
      </c>
      <c r="BU91">
        <v>150.1376748528493</v>
      </c>
      <c r="BV91">
        <v>155.49590243425567</v>
      </c>
      <c r="BW91">
        <v>149.71319322327471</v>
      </c>
      <c r="BX91">
        <v>152.52169871033942</v>
      </c>
      <c r="BY91">
        <v>150.32056437887817</v>
      </c>
      <c r="BZ91">
        <v>150.56126302612088</v>
      </c>
      <c r="CA91">
        <v>151.36645589160855</v>
      </c>
      <c r="CB91">
        <v>162.40511906769439</v>
      </c>
      <c r="CC91">
        <v>158.83223865966957</v>
      </c>
      <c r="CD91">
        <v>158.33711338660811</v>
      </c>
      <c r="CE91">
        <v>167.36315467036692</v>
      </c>
      <c r="CF91">
        <v>163.58888977597701</v>
      </c>
      <c r="CG91">
        <v>164.22212837466856</v>
      </c>
      <c r="CH91">
        <v>159.625342910547</v>
      </c>
      <c r="CI91">
        <v>158.60526416671271</v>
      </c>
      <c r="CJ91">
        <v>160.89413021737889</v>
      </c>
      <c r="CK91">
        <v>162.87085746942711</v>
      </c>
      <c r="CL91">
        <v>159.98866537494138</v>
      </c>
      <c r="CM91">
        <v>156.62436908110411</v>
      </c>
      <c r="CN91">
        <v>159.78749404285821</v>
      </c>
      <c r="CO91">
        <v>158.06054026827726</v>
      </c>
      <c r="CP91">
        <v>155.37951004619282</v>
      </c>
      <c r="CQ91">
        <v>151.73923060380892</v>
      </c>
      <c r="CR91">
        <v>158.79309431455368</v>
      </c>
      <c r="CS91">
        <v>157.28784915408374</v>
      </c>
      <c r="CT91">
        <v>161.80665949325765</v>
      </c>
      <c r="CU91">
        <v>155.35381175923695</v>
      </c>
      <c r="CV91">
        <v>0</v>
      </c>
      <c r="CW91">
        <v>0</v>
      </c>
    </row>
    <row r="92" spans="5:101" x14ac:dyDescent="0.2">
      <c r="E92">
        <v>222.13</v>
      </c>
      <c r="F92">
        <v>216.78760545427087</v>
      </c>
      <c r="G92">
        <v>214.9022400731765</v>
      </c>
      <c r="H92">
        <v>213.34887598894369</v>
      </c>
      <c r="I92">
        <v>212.40300142913887</v>
      </c>
      <c r="J92">
        <v>216.83661372198023</v>
      </c>
      <c r="K92">
        <v>214.82674869874324</v>
      </c>
      <c r="L92">
        <v>211.80375432985156</v>
      </c>
      <c r="M92">
        <v>212.79396850452065</v>
      </c>
      <c r="N92">
        <v>218.90801704181115</v>
      </c>
      <c r="O92">
        <v>220.16496755464698</v>
      </c>
      <c r="P92">
        <v>214.45090190014983</v>
      </c>
      <c r="Q92">
        <v>213.36165115395858</v>
      </c>
      <c r="R92">
        <v>223.6901713514205</v>
      </c>
      <c r="S92">
        <v>225.69068295689493</v>
      </c>
      <c r="T92">
        <v>216.36343565330213</v>
      </c>
      <c r="U92">
        <v>218.73052214402202</v>
      </c>
      <c r="V92">
        <v>215.70307168779604</v>
      </c>
      <c r="W92">
        <v>217.49952012070881</v>
      </c>
      <c r="X92">
        <v>210.46753944010251</v>
      </c>
      <c r="Y92">
        <v>215.99423120727624</v>
      </c>
      <c r="Z92">
        <v>218.16625088014848</v>
      </c>
      <c r="AA92">
        <v>214.70106714481659</v>
      </c>
      <c r="AB92">
        <v>211.53322535436396</v>
      </c>
      <c r="AC92">
        <v>220.65631108898512</v>
      </c>
      <c r="AD92">
        <v>216.93769347019835</v>
      </c>
      <c r="AE92">
        <v>210.10619810379472</v>
      </c>
      <c r="AF92">
        <v>205.34046130205832</v>
      </c>
      <c r="AG92">
        <v>197.29502700288435</v>
      </c>
      <c r="AH92">
        <v>193.71819893225714</v>
      </c>
      <c r="AI92">
        <v>200.85883259515532</v>
      </c>
      <c r="AJ92">
        <v>202.71483862107777</v>
      </c>
      <c r="AK92">
        <v>200.52915130949066</v>
      </c>
      <c r="AL92">
        <v>201.51074297241462</v>
      </c>
      <c r="AM92">
        <v>203.07559871785773</v>
      </c>
      <c r="AN92">
        <v>201.64322442633838</v>
      </c>
      <c r="AO92">
        <v>207.50991356060703</v>
      </c>
      <c r="AP92">
        <v>202.27857518798675</v>
      </c>
      <c r="AQ92">
        <v>196.30988051269213</v>
      </c>
      <c r="AR92">
        <v>191.85376852817731</v>
      </c>
      <c r="AS92">
        <v>192.66866024066877</v>
      </c>
      <c r="AT92">
        <v>190.39619941986859</v>
      </c>
      <c r="AU92">
        <v>184.87215536859327</v>
      </c>
      <c r="AV92">
        <v>185.06234236090089</v>
      </c>
      <c r="AW92">
        <v>177.74268645476496</v>
      </c>
      <c r="AX92">
        <v>181.80573259595812</v>
      </c>
      <c r="AY92">
        <v>177.74319544444558</v>
      </c>
      <c r="AZ92">
        <v>178.25538917643379</v>
      </c>
      <c r="BA92">
        <v>172.87596621200854</v>
      </c>
      <c r="BB92">
        <v>174.97846435843252</v>
      </c>
      <c r="BC92">
        <v>171.47898700944253</v>
      </c>
      <c r="BD92">
        <v>166.62316383993473</v>
      </c>
      <c r="BE92">
        <v>167.79670129492334</v>
      </c>
      <c r="BF92">
        <v>169.96772425464883</v>
      </c>
      <c r="BG92">
        <v>164.81049792238392</v>
      </c>
      <c r="BH92">
        <v>162.56425303814919</v>
      </c>
      <c r="BI92">
        <v>161.67174998801678</v>
      </c>
      <c r="BJ92">
        <v>158.46884021955458</v>
      </c>
      <c r="BK92">
        <v>164.47565354204016</v>
      </c>
      <c r="BL92">
        <v>160.92375338314196</v>
      </c>
      <c r="BM92">
        <v>156.02003288005253</v>
      </c>
      <c r="BN92">
        <v>152.23832188174936</v>
      </c>
      <c r="BO92">
        <v>151.55827184550452</v>
      </c>
      <c r="BP92">
        <v>150.4966421467181</v>
      </c>
      <c r="BQ92">
        <v>153.10128161587028</v>
      </c>
      <c r="BR92">
        <v>149.45414955560125</v>
      </c>
      <c r="BS92">
        <v>147.74204294452983</v>
      </c>
      <c r="BT92">
        <v>141.65492083653916</v>
      </c>
      <c r="BU92">
        <v>143.00681681530739</v>
      </c>
      <c r="BV92">
        <v>149.35927754618305</v>
      </c>
      <c r="BW92">
        <v>148.27978565407477</v>
      </c>
      <c r="BX92">
        <v>148.0697603817276</v>
      </c>
      <c r="BY92">
        <v>154.619565710541</v>
      </c>
      <c r="BZ92">
        <v>157.32628186831775</v>
      </c>
      <c r="CA92">
        <v>158.26788248937231</v>
      </c>
      <c r="CB92">
        <v>156.02354790317017</v>
      </c>
      <c r="CC92">
        <v>150.02958331722186</v>
      </c>
      <c r="CD92">
        <v>146.21815148132183</v>
      </c>
      <c r="CE92">
        <v>145.18759775342244</v>
      </c>
      <c r="CF92">
        <v>142.59555739849498</v>
      </c>
      <c r="CG92">
        <v>140.07489681350262</v>
      </c>
      <c r="CH92">
        <v>146.51310478964476</v>
      </c>
      <c r="CI92">
        <v>145.95145409385185</v>
      </c>
      <c r="CJ92">
        <v>142.40064226393892</v>
      </c>
      <c r="CK92">
        <v>145.0458417792789</v>
      </c>
      <c r="CL92">
        <v>144.56867164629514</v>
      </c>
      <c r="CM92">
        <v>140.64087692403785</v>
      </c>
      <c r="CN92">
        <v>137.64080243865439</v>
      </c>
      <c r="CO92">
        <v>132.40649621268565</v>
      </c>
      <c r="CP92">
        <v>132.81898383957923</v>
      </c>
      <c r="CQ92">
        <v>133.03029917979188</v>
      </c>
      <c r="CR92">
        <v>131.8252201823272</v>
      </c>
      <c r="CS92">
        <v>134.8133663700292</v>
      </c>
      <c r="CT92">
        <v>131.59200828119825</v>
      </c>
      <c r="CU92">
        <v>135.58627864488653</v>
      </c>
      <c r="CV92">
        <v>0</v>
      </c>
      <c r="CW92">
        <v>0</v>
      </c>
    </row>
    <row r="93" spans="5:101" x14ac:dyDescent="0.2">
      <c r="E93">
        <v>222.13</v>
      </c>
      <c r="F93">
        <v>221.48060821414444</v>
      </c>
      <c r="G93">
        <v>224.93341777017031</v>
      </c>
      <c r="H93">
        <v>222.69710547151792</v>
      </c>
      <c r="I93">
        <v>216.15617383237114</v>
      </c>
      <c r="J93">
        <v>214.59464637951527</v>
      </c>
      <c r="K93">
        <v>210.56911503614489</v>
      </c>
      <c r="L93">
        <v>205.7100590750627</v>
      </c>
      <c r="M93">
        <v>198.97234102757108</v>
      </c>
      <c r="N93">
        <v>190.53841727166881</v>
      </c>
      <c r="O93">
        <v>188.07005083197689</v>
      </c>
      <c r="P93">
        <v>183.66099582770724</v>
      </c>
      <c r="Q93">
        <v>183.5960556970326</v>
      </c>
      <c r="R93">
        <v>185.41826767153006</v>
      </c>
      <c r="S93">
        <v>185.52398233187742</v>
      </c>
      <c r="T93">
        <v>187.92383121513907</v>
      </c>
      <c r="U93">
        <v>192.53339717940054</v>
      </c>
      <c r="V93">
        <v>193.76819168834692</v>
      </c>
      <c r="W93">
        <v>195.00461985855347</v>
      </c>
      <c r="X93">
        <v>190.59889366876584</v>
      </c>
      <c r="Y93">
        <v>177.45842894085959</v>
      </c>
      <c r="Z93">
        <v>178.63840715814368</v>
      </c>
      <c r="AA93">
        <v>174.61225442000875</v>
      </c>
      <c r="AB93">
        <v>178.74697149415994</v>
      </c>
      <c r="AC93">
        <v>177.959893124546</v>
      </c>
      <c r="AD93">
        <v>174.9365107267366</v>
      </c>
      <c r="AE93">
        <v>175.26716180693231</v>
      </c>
      <c r="AF93">
        <v>170.18268578223427</v>
      </c>
      <c r="AG93">
        <v>168.88746810116828</v>
      </c>
      <c r="AH93">
        <v>171.62912789427924</v>
      </c>
      <c r="AI93">
        <v>165.64262245896845</v>
      </c>
      <c r="AJ93">
        <v>166.96945898794849</v>
      </c>
      <c r="AK93">
        <v>163.68477643668953</v>
      </c>
      <c r="AL93">
        <v>162.62171084308596</v>
      </c>
      <c r="AM93">
        <v>165.12170821977392</v>
      </c>
      <c r="AN93">
        <v>164.66399781170296</v>
      </c>
      <c r="AO93">
        <v>171.64504217010017</v>
      </c>
      <c r="AP93">
        <v>171.80145545469432</v>
      </c>
      <c r="AQ93">
        <v>169.89677026706266</v>
      </c>
      <c r="AR93">
        <v>171.77811014030701</v>
      </c>
      <c r="AS93">
        <v>172.66306455338207</v>
      </c>
      <c r="AT93">
        <v>170.2384096586222</v>
      </c>
      <c r="AU93">
        <v>173.06565815471956</v>
      </c>
      <c r="AV93">
        <v>173.61016682059397</v>
      </c>
      <c r="AW93">
        <v>175.77617557351647</v>
      </c>
      <c r="AX93">
        <v>167.43540368349733</v>
      </c>
      <c r="AY93">
        <v>165.88814437862632</v>
      </c>
      <c r="AZ93">
        <v>167.44598282009738</v>
      </c>
      <c r="BA93">
        <v>168.37545462447486</v>
      </c>
      <c r="BB93">
        <v>170.30181559051343</v>
      </c>
      <c r="BC93">
        <v>169.47441726266663</v>
      </c>
      <c r="BD93">
        <v>164.19058367519912</v>
      </c>
      <c r="BE93">
        <v>168.02925426421004</v>
      </c>
      <c r="BF93">
        <v>162.69977750590078</v>
      </c>
      <c r="BG93">
        <v>163.91671747914049</v>
      </c>
      <c r="BH93">
        <v>167.32118941858636</v>
      </c>
      <c r="BI93">
        <v>166.72369475557002</v>
      </c>
      <c r="BJ93">
        <v>165.73417702816886</v>
      </c>
      <c r="BK93">
        <v>171.76157497626195</v>
      </c>
      <c r="BL93">
        <v>169.63892062218076</v>
      </c>
      <c r="BM93">
        <v>168.55272528829391</v>
      </c>
      <c r="BN93">
        <v>163.70699036631902</v>
      </c>
      <c r="BO93">
        <v>163.20258929097801</v>
      </c>
      <c r="BP93">
        <v>169.76219042064497</v>
      </c>
      <c r="BQ93">
        <v>169.30870547118806</v>
      </c>
      <c r="BR93">
        <v>167.17568668716001</v>
      </c>
      <c r="BS93">
        <v>167.87709833045832</v>
      </c>
      <c r="BT93">
        <v>168.81095599691366</v>
      </c>
      <c r="BU93">
        <v>164.30837852722979</v>
      </c>
      <c r="BV93">
        <v>165.5674492036361</v>
      </c>
      <c r="BW93">
        <v>166.16925633673856</v>
      </c>
      <c r="BX93">
        <v>168.33200004688362</v>
      </c>
      <c r="BY93">
        <v>168.17409106871787</v>
      </c>
      <c r="BZ93">
        <v>166.64524677014916</v>
      </c>
      <c r="CA93">
        <v>167.89930467731779</v>
      </c>
      <c r="CB93">
        <v>174.1702950963334</v>
      </c>
      <c r="CC93">
        <v>173.92440724850189</v>
      </c>
      <c r="CD93">
        <v>177.18219526121874</v>
      </c>
      <c r="CE93">
        <v>181.54779476580023</v>
      </c>
      <c r="CF93">
        <v>178.5500224018065</v>
      </c>
      <c r="CG93">
        <v>177.20557152258249</v>
      </c>
      <c r="CH93">
        <v>168.08241684073431</v>
      </c>
      <c r="CI93">
        <v>172.48995732545117</v>
      </c>
      <c r="CJ93">
        <v>169.50434886003239</v>
      </c>
      <c r="CK93">
        <v>165.02021092070186</v>
      </c>
      <c r="CL93">
        <v>164.89665807842675</v>
      </c>
      <c r="CM93">
        <v>170.03242427646822</v>
      </c>
      <c r="CN93">
        <v>167.79984639193336</v>
      </c>
      <c r="CO93">
        <v>177.01801264814162</v>
      </c>
      <c r="CP93">
        <v>180.67891861157918</v>
      </c>
      <c r="CQ93">
        <v>179.94061376890454</v>
      </c>
      <c r="CR93">
        <v>179.35877874498075</v>
      </c>
      <c r="CS93">
        <v>176.96047635975054</v>
      </c>
      <c r="CT93">
        <v>178.51656106992803</v>
      </c>
      <c r="CU93">
        <v>189.70310085568781</v>
      </c>
      <c r="CV93">
        <v>0</v>
      </c>
      <c r="CW93">
        <v>0</v>
      </c>
    </row>
    <row r="94" spans="5:101" x14ac:dyDescent="0.2">
      <c r="E94">
        <v>222.13</v>
      </c>
      <c r="F94">
        <v>226.88856176038746</v>
      </c>
      <c r="G94">
        <v>226.61479641289969</v>
      </c>
      <c r="H94">
        <v>226.95599977136678</v>
      </c>
      <c r="I94">
        <v>220.99074204089854</v>
      </c>
      <c r="J94">
        <v>219.57597898168495</v>
      </c>
      <c r="K94">
        <v>219.25054288076424</v>
      </c>
      <c r="L94">
        <v>217.34398004775193</v>
      </c>
      <c r="M94">
        <v>213.73330537325543</v>
      </c>
      <c r="N94">
        <v>209.83056948649167</v>
      </c>
      <c r="O94">
        <v>209.97023801177446</v>
      </c>
      <c r="P94">
        <v>210.71889385182473</v>
      </c>
      <c r="Q94">
        <v>210.13606964980562</v>
      </c>
      <c r="R94">
        <v>212.39132209471163</v>
      </c>
      <c r="S94">
        <v>214.2492481655608</v>
      </c>
      <c r="T94">
        <v>204.86042974458613</v>
      </c>
      <c r="U94">
        <v>209.46101004243383</v>
      </c>
      <c r="V94">
        <v>213.46399768161785</v>
      </c>
      <c r="W94">
        <v>218.19373430267643</v>
      </c>
      <c r="X94">
        <v>214.32227628788655</v>
      </c>
      <c r="Y94">
        <v>220.69747650505175</v>
      </c>
      <c r="Z94">
        <v>219.6465843830471</v>
      </c>
      <c r="AA94">
        <v>227.89586636178529</v>
      </c>
      <c r="AB94">
        <v>223.80229174891451</v>
      </c>
      <c r="AC94">
        <v>225.34656285038071</v>
      </c>
      <c r="AD94">
        <v>215.65319510674607</v>
      </c>
      <c r="AE94">
        <v>215.6672994634408</v>
      </c>
      <c r="AF94">
        <v>204.64094369460139</v>
      </c>
      <c r="AG94">
        <v>199.72926725173039</v>
      </c>
      <c r="AH94">
        <v>194.20299541918794</v>
      </c>
      <c r="AI94">
        <v>186.78857563528959</v>
      </c>
      <c r="AJ94">
        <v>190.41917044893253</v>
      </c>
      <c r="AK94">
        <v>188.06267268405068</v>
      </c>
      <c r="AL94">
        <v>181.57054609241973</v>
      </c>
      <c r="AM94">
        <v>178.78358360507491</v>
      </c>
      <c r="AN94">
        <v>183.44200982456937</v>
      </c>
      <c r="AO94">
        <v>184.670506062405</v>
      </c>
      <c r="AP94">
        <v>174.73605887795478</v>
      </c>
      <c r="AQ94">
        <v>172.37157672564564</v>
      </c>
      <c r="AR94">
        <v>168.85177115866213</v>
      </c>
      <c r="AS94">
        <v>171.54645640860662</v>
      </c>
      <c r="AT94">
        <v>170.07829653593402</v>
      </c>
      <c r="AU94">
        <v>173.60822978319356</v>
      </c>
      <c r="AV94">
        <v>177.3758659230048</v>
      </c>
      <c r="AW94">
        <v>176.62843759845279</v>
      </c>
      <c r="AX94">
        <v>179.50437886001731</v>
      </c>
      <c r="AY94">
        <v>178.27571897171134</v>
      </c>
      <c r="AZ94">
        <v>180.85333084322312</v>
      </c>
      <c r="BA94">
        <v>173.74152643863704</v>
      </c>
      <c r="BB94">
        <v>174.72920205799136</v>
      </c>
      <c r="BC94">
        <v>183.48828125189169</v>
      </c>
      <c r="BD94">
        <v>183.92232352627641</v>
      </c>
      <c r="BE94">
        <v>184.57170645050329</v>
      </c>
      <c r="BF94">
        <v>187.25219684254128</v>
      </c>
      <c r="BG94">
        <v>190.25470375043233</v>
      </c>
      <c r="BH94">
        <v>190.09149018730696</v>
      </c>
      <c r="BI94">
        <v>190.92886574575462</v>
      </c>
      <c r="BJ94">
        <v>198.68245600506407</v>
      </c>
      <c r="BK94">
        <v>195.19474942918112</v>
      </c>
      <c r="BL94">
        <v>203.58294698930419</v>
      </c>
      <c r="BM94">
        <v>205.99656584910349</v>
      </c>
      <c r="BN94">
        <v>213.97650316762619</v>
      </c>
      <c r="BO94">
        <v>204.94029551221749</v>
      </c>
      <c r="BP94">
        <v>205.46259721177873</v>
      </c>
      <c r="BQ94">
        <v>204.05501505905443</v>
      </c>
      <c r="BR94">
        <v>198.65432676857023</v>
      </c>
      <c r="BS94">
        <v>197.59959204673387</v>
      </c>
      <c r="BT94">
        <v>190.09226487404629</v>
      </c>
      <c r="BU94">
        <v>185.86734378955344</v>
      </c>
      <c r="BV94">
        <v>188.02008570496469</v>
      </c>
      <c r="BW94">
        <v>195.05366995252606</v>
      </c>
      <c r="BX94">
        <v>198.87990713697002</v>
      </c>
      <c r="BY94">
        <v>204.06812791832945</v>
      </c>
      <c r="BZ94">
        <v>206.19024674736579</v>
      </c>
      <c r="CA94">
        <v>209.30747930942053</v>
      </c>
      <c r="CB94">
        <v>214.43390654932981</v>
      </c>
      <c r="CC94">
        <v>216.7779139189546</v>
      </c>
      <c r="CD94">
        <v>218.82287392428228</v>
      </c>
      <c r="CE94">
        <v>210.94414435967767</v>
      </c>
      <c r="CF94">
        <v>212.55929394783149</v>
      </c>
      <c r="CG94">
        <v>218.46272588606664</v>
      </c>
      <c r="CH94">
        <v>229.28848017857393</v>
      </c>
      <c r="CI94">
        <v>231.03977338714643</v>
      </c>
      <c r="CJ94">
        <v>229.10570677693039</v>
      </c>
      <c r="CK94">
        <v>229.63629134107765</v>
      </c>
      <c r="CL94">
        <v>229.69272940779931</v>
      </c>
      <c r="CM94">
        <v>230.8845671974278</v>
      </c>
      <c r="CN94">
        <v>237.27295367189603</v>
      </c>
      <c r="CO94">
        <v>231.07759844720746</v>
      </c>
      <c r="CP94">
        <v>234.8544911683517</v>
      </c>
      <c r="CQ94">
        <v>235.46942651153603</v>
      </c>
      <c r="CR94">
        <v>228.74087336272771</v>
      </c>
      <c r="CS94">
        <v>229.25001109840488</v>
      </c>
      <c r="CT94">
        <v>227.13775733153636</v>
      </c>
      <c r="CU94">
        <v>222.17665739118974</v>
      </c>
      <c r="CV94">
        <v>2.1766573911897353</v>
      </c>
      <c r="CW94">
        <v>2.0927721431148059</v>
      </c>
    </row>
    <row r="95" spans="5:101" x14ac:dyDescent="0.2">
      <c r="E95">
        <v>222.13</v>
      </c>
      <c r="F95">
        <v>223.58769311260937</v>
      </c>
      <c r="G95">
        <v>230.25309702747757</v>
      </c>
      <c r="H95">
        <v>228.39377442532202</v>
      </c>
      <c r="I95">
        <v>227.41822900764251</v>
      </c>
      <c r="J95">
        <v>221.32272995603395</v>
      </c>
      <c r="K95">
        <v>223.6861248582693</v>
      </c>
      <c r="L95">
        <v>222.94248242282754</v>
      </c>
      <c r="M95">
        <v>220.59490040073314</v>
      </c>
      <c r="N95">
        <v>231.65102493518674</v>
      </c>
      <c r="O95">
        <v>230.17158637073686</v>
      </c>
      <c r="P95">
        <v>225.03704362023714</v>
      </c>
      <c r="Q95">
        <v>225.14724790929597</v>
      </c>
      <c r="R95">
        <v>216.18049806888143</v>
      </c>
      <c r="S95">
        <v>209.44138350126101</v>
      </c>
      <c r="T95">
        <v>208.85857728341583</v>
      </c>
      <c r="U95">
        <v>204.30786486866654</v>
      </c>
      <c r="V95">
        <v>209.85687953700167</v>
      </c>
      <c r="W95">
        <v>213.93268479405677</v>
      </c>
      <c r="X95">
        <v>213.90804675918938</v>
      </c>
      <c r="Y95">
        <v>209.74321251377876</v>
      </c>
      <c r="Z95">
        <v>213.99300582846675</v>
      </c>
      <c r="AA95">
        <v>214.03157789752387</v>
      </c>
      <c r="AB95">
        <v>217.42461832651827</v>
      </c>
      <c r="AC95">
        <v>218.75489777251983</v>
      </c>
      <c r="AD95">
        <v>220.87006081421316</v>
      </c>
      <c r="AE95">
        <v>223.90142680662873</v>
      </c>
      <c r="AF95">
        <v>225.85794470870971</v>
      </c>
      <c r="AG95">
        <v>216.88117801838635</v>
      </c>
      <c r="AH95">
        <v>200.7069013566086</v>
      </c>
      <c r="AI95">
        <v>202.95888729811449</v>
      </c>
      <c r="AJ95">
        <v>200.71755247887884</v>
      </c>
      <c r="AK95">
        <v>202.17564228255392</v>
      </c>
      <c r="AL95">
        <v>195.47800359620288</v>
      </c>
      <c r="AM95">
        <v>192.72715690556001</v>
      </c>
      <c r="AN95">
        <v>191.65561056514358</v>
      </c>
      <c r="AO95">
        <v>186.52683135910746</v>
      </c>
      <c r="AP95">
        <v>181.17587987057607</v>
      </c>
      <c r="AQ95">
        <v>189.51385225166692</v>
      </c>
      <c r="AR95">
        <v>190.31175377070457</v>
      </c>
      <c r="AS95">
        <v>187.13659159514322</v>
      </c>
      <c r="AT95">
        <v>189.02777990353957</v>
      </c>
      <c r="AU95">
        <v>192.6002187010333</v>
      </c>
      <c r="AV95">
        <v>192.72692478230235</v>
      </c>
      <c r="AW95">
        <v>189.31330855770264</v>
      </c>
      <c r="AX95">
        <v>192.43089029666544</v>
      </c>
      <c r="AY95">
        <v>192.31206100622859</v>
      </c>
      <c r="AZ95">
        <v>190.32660301574555</v>
      </c>
      <c r="BA95">
        <v>193.57801709619764</v>
      </c>
      <c r="BB95">
        <v>199.20616212239361</v>
      </c>
      <c r="BC95">
        <v>188.89193509660402</v>
      </c>
      <c r="BD95">
        <v>182.25293718780145</v>
      </c>
      <c r="BE95">
        <v>182.06583847347832</v>
      </c>
      <c r="BF95">
        <v>184.35382080265703</v>
      </c>
      <c r="BG95">
        <v>187.25868771540496</v>
      </c>
      <c r="BH95">
        <v>191.39311740364641</v>
      </c>
      <c r="BI95">
        <v>191.44177305068163</v>
      </c>
      <c r="BJ95">
        <v>195.22780381923664</v>
      </c>
      <c r="BK95">
        <v>202.54009028636486</v>
      </c>
      <c r="BL95">
        <v>198.02918824768204</v>
      </c>
      <c r="BM95">
        <v>191.20980756060851</v>
      </c>
      <c r="BN95">
        <v>191.12672576443188</v>
      </c>
      <c r="BO95">
        <v>187.79590384861589</v>
      </c>
      <c r="BP95">
        <v>192.95512228877882</v>
      </c>
      <c r="BQ95">
        <v>194.1844535839281</v>
      </c>
      <c r="BR95">
        <v>195.38694956261267</v>
      </c>
      <c r="BS95">
        <v>194.30758764336073</v>
      </c>
      <c r="BT95">
        <v>187.71037826151505</v>
      </c>
      <c r="BU95">
        <v>191.71780838647049</v>
      </c>
      <c r="BV95">
        <v>188.39983892504731</v>
      </c>
      <c r="BW95">
        <v>187.4191852383542</v>
      </c>
      <c r="BX95">
        <v>192.09821086685551</v>
      </c>
      <c r="BY95">
        <v>192.06279057243444</v>
      </c>
      <c r="BZ95">
        <v>192.00936636778408</v>
      </c>
      <c r="CA95">
        <v>194.338672890749</v>
      </c>
      <c r="CB95">
        <v>190.63558308382133</v>
      </c>
      <c r="CC95">
        <v>190.67777826675527</v>
      </c>
      <c r="CD95">
        <v>187.32909866288153</v>
      </c>
      <c r="CE95">
        <v>187.52259152824891</v>
      </c>
      <c r="CF95">
        <v>185.86880353234898</v>
      </c>
      <c r="CG95">
        <v>182.36214211632864</v>
      </c>
      <c r="CH95">
        <v>179.26914367049329</v>
      </c>
      <c r="CI95">
        <v>173.59902811351395</v>
      </c>
      <c r="CJ95">
        <v>172.5189292721011</v>
      </c>
      <c r="CK95">
        <v>172.02520834225319</v>
      </c>
      <c r="CL95">
        <v>166.53344126265443</v>
      </c>
      <c r="CM95">
        <v>166.39814977891569</v>
      </c>
      <c r="CN95">
        <v>165.61865470645947</v>
      </c>
      <c r="CO95">
        <v>166.3883584395478</v>
      </c>
      <c r="CP95">
        <v>162.58742342636214</v>
      </c>
      <c r="CQ95">
        <v>159.14541199357939</v>
      </c>
      <c r="CR95">
        <v>156.18035548499444</v>
      </c>
      <c r="CS95">
        <v>151.61533252585659</v>
      </c>
      <c r="CT95">
        <v>154.53128834430223</v>
      </c>
      <c r="CU95">
        <v>157.13871812395362</v>
      </c>
      <c r="CV95">
        <v>0</v>
      </c>
      <c r="CW95">
        <v>0</v>
      </c>
    </row>
    <row r="96" spans="5:101" x14ac:dyDescent="0.2">
      <c r="E96">
        <v>222.13</v>
      </c>
      <c r="F96">
        <v>232.2804966479506</v>
      </c>
      <c r="G96">
        <v>231.44065954749752</v>
      </c>
      <c r="H96">
        <v>229.65359298483378</v>
      </c>
      <c r="I96">
        <v>225.40710655856458</v>
      </c>
      <c r="J96">
        <v>225.21820017366073</v>
      </c>
      <c r="K96">
        <v>230.63436362122064</v>
      </c>
      <c r="L96">
        <v>233.1686500047357</v>
      </c>
      <c r="M96">
        <v>230.48479473939841</v>
      </c>
      <c r="N96">
        <v>231.91694312292137</v>
      </c>
      <c r="O96">
        <v>238.39490372940773</v>
      </c>
      <c r="P96">
        <v>231.86275593979212</v>
      </c>
      <c r="Q96">
        <v>223.70171950281937</v>
      </c>
      <c r="R96">
        <v>219.26168063479341</v>
      </c>
      <c r="S96">
        <v>229.88832731841143</v>
      </c>
      <c r="T96">
        <v>232.85713820066579</v>
      </c>
      <c r="U96">
        <v>235.21288592671772</v>
      </c>
      <c r="V96">
        <v>240.92446358002474</v>
      </c>
      <c r="W96">
        <v>236.08335175854228</v>
      </c>
      <c r="X96">
        <v>237.25514273528259</v>
      </c>
      <c r="Y96">
        <v>243.88307299988998</v>
      </c>
      <c r="Z96">
        <v>247.99386605436885</v>
      </c>
      <c r="AA96">
        <v>260.81929626598253</v>
      </c>
      <c r="AB96">
        <v>261.58082270672503</v>
      </c>
      <c r="AC96">
        <v>269.42357081401826</v>
      </c>
      <c r="AD96">
        <v>264.06585271545617</v>
      </c>
      <c r="AE96">
        <v>266.7704032897451</v>
      </c>
      <c r="AF96">
        <v>261.24378628893999</v>
      </c>
      <c r="AG96">
        <v>258.93302295143923</v>
      </c>
      <c r="AH96">
        <v>246.94347687894165</v>
      </c>
      <c r="AI96">
        <v>251.34323832561074</v>
      </c>
      <c r="AJ96">
        <v>255.43029771216328</v>
      </c>
      <c r="AK96">
        <v>254.0671558943051</v>
      </c>
      <c r="AL96">
        <v>257.30362825361851</v>
      </c>
      <c r="AM96">
        <v>265.25683667424096</v>
      </c>
      <c r="AN96">
        <v>267.22990971543175</v>
      </c>
      <c r="AO96">
        <v>263.77926104612709</v>
      </c>
      <c r="AP96">
        <v>262.42552283801137</v>
      </c>
      <c r="AQ96">
        <v>265.52609834479614</v>
      </c>
      <c r="AR96">
        <v>257.27241774954962</v>
      </c>
      <c r="AS96">
        <v>257.96455471710357</v>
      </c>
      <c r="AT96">
        <v>258.26967372741473</v>
      </c>
      <c r="AU96">
        <v>251.13152206963431</v>
      </c>
      <c r="AV96">
        <v>252.31048570469056</v>
      </c>
      <c r="AW96">
        <v>258.71577827647889</v>
      </c>
      <c r="AX96">
        <v>266.26469233823559</v>
      </c>
      <c r="AY96">
        <v>259.1092028439727</v>
      </c>
      <c r="AZ96">
        <v>257.21388383633575</v>
      </c>
      <c r="BA96">
        <v>243.22403720785522</v>
      </c>
      <c r="BB96">
        <v>243.60120668749903</v>
      </c>
      <c r="BC96">
        <v>245.04963914505842</v>
      </c>
      <c r="BD96">
        <v>240.96259033972419</v>
      </c>
      <c r="BE96">
        <v>237.97067713119881</v>
      </c>
      <c r="BF96">
        <v>228.22673353369564</v>
      </c>
      <c r="BG96">
        <v>224.13454344159527</v>
      </c>
      <c r="BH96">
        <v>223.70715944090563</v>
      </c>
      <c r="BI96">
        <v>226.44949418805285</v>
      </c>
      <c r="BJ96">
        <v>226.20598693707228</v>
      </c>
      <c r="BK96">
        <v>229.03402251095412</v>
      </c>
      <c r="BL96">
        <v>234.53794767613223</v>
      </c>
      <c r="BM96">
        <v>232.4222327628392</v>
      </c>
      <c r="BN96">
        <v>235.97440190461984</v>
      </c>
      <c r="BO96">
        <v>240.61267037283523</v>
      </c>
      <c r="BP96">
        <v>245.9098228821972</v>
      </c>
      <c r="BQ96">
        <v>239.55200541739705</v>
      </c>
      <c r="BR96">
        <v>240.58543161782961</v>
      </c>
      <c r="BS96">
        <v>248.0556625560354</v>
      </c>
      <c r="BT96">
        <v>251.96576391935852</v>
      </c>
      <c r="BU96">
        <v>235.86697445712323</v>
      </c>
      <c r="BV96">
        <v>228.98576631359751</v>
      </c>
      <c r="BW96">
        <v>231.68086538492292</v>
      </c>
      <c r="BX96">
        <v>226.69225606189667</v>
      </c>
      <c r="BY96">
        <v>227.50787955467584</v>
      </c>
      <c r="BZ96">
        <v>229.37006218440715</v>
      </c>
      <c r="CA96">
        <v>242.49799036248865</v>
      </c>
      <c r="CB96">
        <v>249.03100121399618</v>
      </c>
      <c r="CC96">
        <v>250.44953558793009</v>
      </c>
      <c r="CD96">
        <v>251.59221207510396</v>
      </c>
      <c r="CE96">
        <v>249.67927872827124</v>
      </c>
      <c r="CF96">
        <v>249.10086533615197</v>
      </c>
      <c r="CG96">
        <v>244.06264624702058</v>
      </c>
      <c r="CH96">
        <v>248.06569097278387</v>
      </c>
      <c r="CI96">
        <v>257.13881304493037</v>
      </c>
      <c r="CJ96">
        <v>249.77080530189102</v>
      </c>
      <c r="CK96">
        <v>245.86361711824077</v>
      </c>
      <c r="CL96">
        <v>247.9372156512668</v>
      </c>
      <c r="CM96">
        <v>236.83501768786689</v>
      </c>
      <c r="CN96">
        <v>237.32574457689381</v>
      </c>
      <c r="CO96">
        <v>236.92044431138399</v>
      </c>
      <c r="CP96">
        <v>245.38519576615161</v>
      </c>
      <c r="CQ96">
        <v>245.28806603949212</v>
      </c>
      <c r="CR96">
        <v>239.67511557586212</v>
      </c>
      <c r="CS96">
        <v>248.76338289826575</v>
      </c>
      <c r="CT96">
        <v>247.17468239376288</v>
      </c>
      <c r="CU96">
        <v>243.22438851844257</v>
      </c>
      <c r="CV96">
        <v>23.224388518442566</v>
      </c>
      <c r="CW96">
        <v>22.329353957586282</v>
      </c>
    </row>
    <row r="97" spans="5:101" x14ac:dyDescent="0.2">
      <c r="E97">
        <v>222.13</v>
      </c>
      <c r="F97">
        <v>224.03408227092015</v>
      </c>
      <c r="G97">
        <v>222.02714238986246</v>
      </c>
      <c r="H97">
        <v>223.24362508505365</v>
      </c>
      <c r="I97">
        <v>221.69457423316686</v>
      </c>
      <c r="J97">
        <v>225.97323698383877</v>
      </c>
      <c r="K97">
        <v>223.66751556986017</v>
      </c>
      <c r="L97">
        <v>218.62712969538154</v>
      </c>
      <c r="M97">
        <v>216.06635167327158</v>
      </c>
      <c r="N97">
        <v>210.9159970014297</v>
      </c>
      <c r="O97">
        <v>204.74971098959423</v>
      </c>
      <c r="P97">
        <v>208.00200474031823</v>
      </c>
      <c r="Q97">
        <v>211.49243629308324</v>
      </c>
      <c r="R97">
        <v>204.07152443917039</v>
      </c>
      <c r="S97">
        <v>205.7624740801912</v>
      </c>
      <c r="T97">
        <v>216.68753171521513</v>
      </c>
      <c r="U97">
        <v>215.36309374560463</v>
      </c>
      <c r="V97">
        <v>214.63103221230486</v>
      </c>
      <c r="W97">
        <v>206.85944036609274</v>
      </c>
      <c r="X97">
        <v>212.72011548511003</v>
      </c>
      <c r="Y97">
        <v>213.48442192359175</v>
      </c>
      <c r="Z97">
        <v>214.38654524661496</v>
      </c>
      <c r="AA97">
        <v>211.35424510084337</v>
      </c>
      <c r="AB97">
        <v>210.281232424232</v>
      </c>
      <c r="AC97">
        <v>210.67456627363609</v>
      </c>
      <c r="AD97">
        <v>215.61425817034345</v>
      </c>
      <c r="AE97">
        <v>212.0322150059045</v>
      </c>
      <c r="AF97">
        <v>209.71828961795188</v>
      </c>
      <c r="AG97">
        <v>212.21809991967029</v>
      </c>
      <c r="AH97">
        <v>218.66601092761391</v>
      </c>
      <c r="AI97">
        <v>224.06588900897037</v>
      </c>
      <c r="AJ97">
        <v>223.5288126441468</v>
      </c>
      <c r="AK97">
        <v>219.39453581966509</v>
      </c>
      <c r="AL97">
        <v>222.34467646613982</v>
      </c>
      <c r="AM97">
        <v>219.02089023645104</v>
      </c>
      <c r="AN97">
        <v>224.36315307219635</v>
      </c>
      <c r="AO97">
        <v>225.17313606504956</v>
      </c>
      <c r="AP97">
        <v>221.08967894069377</v>
      </c>
      <c r="AQ97">
        <v>220.62152114188402</v>
      </c>
      <c r="AR97">
        <v>234.06755598936118</v>
      </c>
      <c r="AS97">
        <v>242.11011214763516</v>
      </c>
      <c r="AT97">
        <v>237.72380835779259</v>
      </c>
      <c r="AU97">
        <v>246.70400730861212</v>
      </c>
      <c r="AV97">
        <v>245.89899772403433</v>
      </c>
      <c r="AW97">
        <v>249.5624914884404</v>
      </c>
      <c r="AX97">
        <v>251.39844263721469</v>
      </c>
      <c r="AY97">
        <v>252.6847972192314</v>
      </c>
      <c r="AZ97">
        <v>262.21713901996645</v>
      </c>
      <c r="BA97">
        <v>274.24015238048116</v>
      </c>
      <c r="BB97">
        <v>267.87066727373758</v>
      </c>
      <c r="BC97">
        <v>265.38310102839523</v>
      </c>
      <c r="BD97">
        <v>273.18730573633064</v>
      </c>
      <c r="BE97">
        <v>272.08724181945081</v>
      </c>
      <c r="BF97">
        <v>262.7795544607186</v>
      </c>
      <c r="BG97">
        <v>263.5415931880986</v>
      </c>
      <c r="BH97">
        <v>250.90624708260205</v>
      </c>
      <c r="BI97">
        <v>244.54555214719883</v>
      </c>
      <c r="BJ97">
        <v>239.68724257391889</v>
      </c>
      <c r="BK97">
        <v>240.21598664643091</v>
      </c>
      <c r="BL97">
        <v>246.02245152697674</v>
      </c>
      <c r="BM97">
        <v>243.53339106275465</v>
      </c>
      <c r="BN97">
        <v>248.09007035844365</v>
      </c>
      <c r="BO97">
        <v>252.73626329613396</v>
      </c>
      <c r="BP97">
        <v>252.94626447627809</v>
      </c>
      <c r="BQ97">
        <v>252.04103544099203</v>
      </c>
      <c r="BR97">
        <v>249.86981693322886</v>
      </c>
      <c r="BS97">
        <v>251.53644357097738</v>
      </c>
      <c r="BT97">
        <v>255.41912130128395</v>
      </c>
      <c r="BU97">
        <v>259.91181038954255</v>
      </c>
      <c r="BV97">
        <v>256.26400052290199</v>
      </c>
      <c r="BW97">
        <v>262.98440833489258</v>
      </c>
      <c r="BX97">
        <v>261.30681549595801</v>
      </c>
      <c r="BY97">
        <v>258.58125699133404</v>
      </c>
      <c r="BZ97">
        <v>258.55902252715356</v>
      </c>
      <c r="CA97">
        <v>259.50765722712384</v>
      </c>
      <c r="CB97">
        <v>253.83094064543207</v>
      </c>
      <c r="CC97">
        <v>259.92943592382539</v>
      </c>
      <c r="CD97">
        <v>253.30662848113411</v>
      </c>
      <c r="CE97">
        <v>246.07357682622111</v>
      </c>
      <c r="CF97">
        <v>252.61584807447525</v>
      </c>
      <c r="CG97">
        <v>247.98734904687038</v>
      </c>
      <c r="CH97">
        <v>258.47938374007254</v>
      </c>
      <c r="CI97">
        <v>257.34148268461843</v>
      </c>
      <c r="CJ97">
        <v>260.07695892836853</v>
      </c>
      <c r="CK97">
        <v>261.28732580901726</v>
      </c>
      <c r="CL97">
        <v>250.73962048231101</v>
      </c>
      <c r="CM97">
        <v>242.74079761801372</v>
      </c>
      <c r="CN97">
        <v>244.11536702742703</v>
      </c>
      <c r="CO97">
        <v>238.80401280643741</v>
      </c>
      <c r="CP97">
        <v>241.75001728428271</v>
      </c>
      <c r="CQ97">
        <v>247.15073357206776</v>
      </c>
      <c r="CR97">
        <v>238.61755981271301</v>
      </c>
      <c r="CS97">
        <v>239.13353939192567</v>
      </c>
      <c r="CT97">
        <v>243.25584016440905</v>
      </c>
      <c r="CU97">
        <v>231.30183749380691</v>
      </c>
      <c r="CV97">
        <v>11.301837493806914</v>
      </c>
      <c r="CW97">
        <v>10.866280917145884</v>
      </c>
    </row>
    <row r="98" spans="5:101" x14ac:dyDescent="0.2">
      <c r="E98">
        <v>222.13</v>
      </c>
      <c r="F98">
        <v>217.48834006730203</v>
      </c>
      <c r="G98">
        <v>216.79746928497565</v>
      </c>
      <c r="H98">
        <v>220.44363064195426</v>
      </c>
      <c r="I98">
        <v>222.90460174803837</v>
      </c>
      <c r="J98">
        <v>226.02741446922593</v>
      </c>
      <c r="K98">
        <v>231.99253089595342</v>
      </c>
      <c r="L98">
        <v>235.21352504448376</v>
      </c>
      <c r="M98">
        <v>239.03419002042966</v>
      </c>
      <c r="N98">
        <v>243.83644416659547</v>
      </c>
      <c r="O98">
        <v>244.39751163037863</v>
      </c>
      <c r="P98">
        <v>245.05380085410181</v>
      </c>
      <c r="Q98">
        <v>250.27925763565514</v>
      </c>
      <c r="R98">
        <v>245.40328144254474</v>
      </c>
      <c r="S98">
        <v>242.61579975426872</v>
      </c>
      <c r="T98">
        <v>249.12680053745598</v>
      </c>
      <c r="U98">
        <v>255.89594247106243</v>
      </c>
      <c r="V98">
        <v>253.91763893413696</v>
      </c>
      <c r="W98">
        <v>243.24005871450413</v>
      </c>
      <c r="X98">
        <v>246.30827131505407</v>
      </c>
      <c r="Y98">
        <v>248.37931804309605</v>
      </c>
      <c r="Z98">
        <v>249.80543180032825</v>
      </c>
      <c r="AA98">
        <v>246.84922290084</v>
      </c>
      <c r="AB98">
        <v>230.14529994590799</v>
      </c>
      <c r="AC98">
        <v>229.60084225786031</v>
      </c>
      <c r="AD98">
        <v>231.65997914757313</v>
      </c>
      <c r="AE98">
        <v>225.13784755989874</v>
      </c>
      <c r="AF98">
        <v>218.46509813165986</v>
      </c>
      <c r="AG98">
        <v>212.67732838035246</v>
      </c>
      <c r="AH98">
        <v>209.01437985815721</v>
      </c>
      <c r="AI98">
        <v>211.56527539057859</v>
      </c>
      <c r="AJ98">
        <v>212.77549726317392</v>
      </c>
      <c r="AK98">
        <v>211.8870270811293</v>
      </c>
      <c r="AL98">
        <v>215.92099681828029</v>
      </c>
      <c r="AM98">
        <v>216.09061077374037</v>
      </c>
      <c r="AN98">
        <v>222.89938140703995</v>
      </c>
      <c r="AO98">
        <v>224.35803482609177</v>
      </c>
      <c r="AP98">
        <v>217.25937653044031</v>
      </c>
      <c r="AQ98">
        <v>220.78592841912806</v>
      </c>
      <c r="AR98">
        <v>225.01512124937656</v>
      </c>
      <c r="AS98">
        <v>225.43490654317895</v>
      </c>
      <c r="AT98">
        <v>228.00949635504779</v>
      </c>
      <c r="AU98">
        <v>221.07885506291285</v>
      </c>
      <c r="AV98">
        <v>215.64650135214299</v>
      </c>
      <c r="AW98">
        <v>209.29207643139478</v>
      </c>
      <c r="AX98">
        <v>215.87901011307142</v>
      </c>
      <c r="AY98">
        <v>222.26161175395779</v>
      </c>
      <c r="AZ98">
        <v>224.23808434809933</v>
      </c>
      <c r="BA98">
        <v>223.01819110097995</v>
      </c>
      <c r="BB98">
        <v>221.71435173039544</v>
      </c>
      <c r="BC98">
        <v>229.05482669178281</v>
      </c>
      <c r="BD98">
        <v>221.07169256070435</v>
      </c>
      <c r="BE98">
        <v>223.8859306438286</v>
      </c>
      <c r="BF98">
        <v>227.92495930748268</v>
      </c>
      <c r="BG98">
        <v>229.27156524202036</v>
      </c>
      <c r="BH98">
        <v>235.63098181577402</v>
      </c>
      <c r="BI98">
        <v>232.82822851031816</v>
      </c>
      <c r="BJ98">
        <v>239.18823792779585</v>
      </c>
      <c r="BK98">
        <v>231.33260366108902</v>
      </c>
      <c r="BL98">
        <v>234.32920850269701</v>
      </c>
      <c r="BM98">
        <v>227.39592656978363</v>
      </c>
      <c r="BN98">
        <v>221.46395780139449</v>
      </c>
      <c r="BO98">
        <v>217.21702948391305</v>
      </c>
      <c r="BP98">
        <v>208.46858011555111</v>
      </c>
      <c r="BQ98">
        <v>207.58900658486965</v>
      </c>
      <c r="BR98">
        <v>212.20797044263563</v>
      </c>
      <c r="BS98">
        <v>212.97492058130084</v>
      </c>
      <c r="BT98">
        <v>221.21761243372978</v>
      </c>
      <c r="BU98">
        <v>210.36350264417422</v>
      </c>
      <c r="BV98">
        <v>215.74484089051057</v>
      </c>
      <c r="BW98">
        <v>215.05767908675574</v>
      </c>
      <c r="BX98">
        <v>213.13981134413183</v>
      </c>
      <c r="BY98">
        <v>213.28291352117679</v>
      </c>
      <c r="BZ98">
        <v>213.45452647168108</v>
      </c>
      <c r="CA98">
        <v>211.50906071933204</v>
      </c>
      <c r="CB98">
        <v>211.78473242050606</v>
      </c>
      <c r="CC98">
        <v>211.45519517330982</v>
      </c>
      <c r="CD98">
        <v>207.0649215756988</v>
      </c>
      <c r="CE98">
        <v>205.18772604292431</v>
      </c>
      <c r="CF98">
        <v>208.37096644336611</v>
      </c>
      <c r="CG98">
        <v>207.42545715423063</v>
      </c>
      <c r="CH98">
        <v>203.83707491881034</v>
      </c>
      <c r="CI98">
        <v>201.86409629441818</v>
      </c>
      <c r="CJ98">
        <v>196.40837944429165</v>
      </c>
      <c r="CK98">
        <v>192.7733399111471</v>
      </c>
      <c r="CL98">
        <v>197.09644292820136</v>
      </c>
      <c r="CM98">
        <v>185.81643847149221</v>
      </c>
      <c r="CN98">
        <v>191.23264229201286</v>
      </c>
      <c r="CO98">
        <v>193.88358527152411</v>
      </c>
      <c r="CP98">
        <v>187.34509443930577</v>
      </c>
      <c r="CQ98">
        <v>184.92641416153225</v>
      </c>
      <c r="CR98">
        <v>182.13340324608143</v>
      </c>
      <c r="CS98">
        <v>184.01821279037574</v>
      </c>
      <c r="CT98">
        <v>183.66364812938772</v>
      </c>
      <c r="CU98">
        <v>190.92415763427587</v>
      </c>
      <c r="CV98">
        <v>0</v>
      </c>
      <c r="CW98">
        <v>0</v>
      </c>
    </row>
    <row r="99" spans="5:101" x14ac:dyDescent="0.2">
      <c r="E99">
        <v>222.13</v>
      </c>
      <c r="F99">
        <v>223.19713103936874</v>
      </c>
      <c r="G99">
        <v>222.5687373846344</v>
      </c>
      <c r="H99">
        <v>222.36952558451082</v>
      </c>
      <c r="I99">
        <v>230.71297159411037</v>
      </c>
      <c r="J99">
        <v>228.06364771031826</v>
      </c>
      <c r="K99">
        <v>220.7908694880764</v>
      </c>
      <c r="L99">
        <v>225.5655071201256</v>
      </c>
      <c r="M99">
        <v>216.13062013953325</v>
      </c>
      <c r="N99">
        <v>222.49909230049676</v>
      </c>
      <c r="O99">
        <v>211.43791885310318</v>
      </c>
      <c r="P99">
        <v>208.91337088897112</v>
      </c>
      <c r="Q99">
        <v>206.85427848080792</v>
      </c>
      <c r="R99">
        <v>203.89956787473901</v>
      </c>
      <c r="S99">
        <v>208.95412754507686</v>
      </c>
      <c r="T99">
        <v>209.48660174702971</v>
      </c>
      <c r="U99">
        <v>200.06206319704987</v>
      </c>
      <c r="V99">
        <v>199.37224921604854</v>
      </c>
      <c r="W99">
        <v>203.16886660102867</v>
      </c>
      <c r="X99">
        <v>201.09206303436198</v>
      </c>
      <c r="Y99">
        <v>206.88515905951718</v>
      </c>
      <c r="Z99">
        <v>215.30437778156698</v>
      </c>
      <c r="AA99">
        <v>214.49097237359464</v>
      </c>
      <c r="AB99">
        <v>206.11369911153534</v>
      </c>
      <c r="AC99">
        <v>206.12193065063343</v>
      </c>
      <c r="AD99">
        <v>205.74550349442271</v>
      </c>
      <c r="AE99">
        <v>212.15461149949476</v>
      </c>
      <c r="AF99">
        <v>219.88169185729197</v>
      </c>
      <c r="AG99">
        <v>219.41989819526935</v>
      </c>
      <c r="AH99">
        <v>210.36542640941846</v>
      </c>
      <c r="AI99">
        <v>206.04661995283024</v>
      </c>
      <c r="AJ99">
        <v>208.53979453435153</v>
      </c>
      <c r="AK99">
        <v>206.17692292548307</v>
      </c>
      <c r="AL99">
        <v>210.30022256005253</v>
      </c>
      <c r="AM99">
        <v>203.76059300313045</v>
      </c>
      <c r="AN99">
        <v>195.48790914695002</v>
      </c>
      <c r="AO99">
        <v>192.36309440362712</v>
      </c>
      <c r="AP99">
        <v>191.13976075643569</v>
      </c>
      <c r="AQ99">
        <v>187.30965760817881</v>
      </c>
      <c r="AR99">
        <v>185.47237703691741</v>
      </c>
      <c r="AS99">
        <v>183.7934075163657</v>
      </c>
      <c r="AT99">
        <v>184.42198743898751</v>
      </c>
      <c r="AU99">
        <v>186.84898118903126</v>
      </c>
      <c r="AV99">
        <v>189.1179728400945</v>
      </c>
      <c r="AW99">
        <v>192.23018998248639</v>
      </c>
      <c r="AX99">
        <v>203.24275217680668</v>
      </c>
      <c r="AY99">
        <v>196.36784380223082</v>
      </c>
      <c r="AZ99">
        <v>198.04027660712308</v>
      </c>
      <c r="BA99">
        <v>193.86937372968464</v>
      </c>
      <c r="BB99">
        <v>201.43094517357687</v>
      </c>
      <c r="BC99">
        <v>195.33003661489062</v>
      </c>
      <c r="BD99">
        <v>203.89495949207162</v>
      </c>
      <c r="BE99">
        <v>205.19705742125072</v>
      </c>
      <c r="BF99">
        <v>204.86291057846213</v>
      </c>
      <c r="BG99">
        <v>207.25687078440328</v>
      </c>
      <c r="BH99">
        <v>209.43217204574228</v>
      </c>
      <c r="BI99">
        <v>211.67884309518183</v>
      </c>
      <c r="BJ99">
        <v>207.97984997678429</v>
      </c>
      <c r="BK99">
        <v>206.29315266833436</v>
      </c>
      <c r="BL99">
        <v>214.16399775671408</v>
      </c>
      <c r="BM99">
        <v>215.84092608685694</v>
      </c>
      <c r="BN99">
        <v>207.43393537096776</v>
      </c>
      <c r="BO99">
        <v>204.2083083004691</v>
      </c>
      <c r="BP99">
        <v>199.52202316600884</v>
      </c>
      <c r="BQ99">
        <v>200.76503573427141</v>
      </c>
      <c r="BR99">
        <v>203.38833255013006</v>
      </c>
      <c r="BS99">
        <v>204.73364245549647</v>
      </c>
      <c r="BT99">
        <v>212.54597805357693</v>
      </c>
      <c r="BU99">
        <v>205.25287800815994</v>
      </c>
      <c r="BV99">
        <v>211.0964257243175</v>
      </c>
      <c r="BW99">
        <v>204.89745424689244</v>
      </c>
      <c r="BX99">
        <v>215.65308901079635</v>
      </c>
      <c r="BY99">
        <v>214.43572188005149</v>
      </c>
      <c r="BZ99">
        <v>222.04044834302337</v>
      </c>
      <c r="CA99">
        <v>213.20101334781293</v>
      </c>
      <c r="CB99">
        <v>208.12084024437473</v>
      </c>
      <c r="CC99">
        <v>207.18492731437425</v>
      </c>
      <c r="CD99">
        <v>204.70004157022657</v>
      </c>
      <c r="CE99">
        <v>200.70309153118419</v>
      </c>
      <c r="CF99">
        <v>194.63839237895721</v>
      </c>
      <c r="CG99">
        <v>200.9524776818555</v>
      </c>
      <c r="CH99">
        <v>196.22028563890609</v>
      </c>
      <c r="CI99">
        <v>198.11198145124158</v>
      </c>
      <c r="CJ99">
        <v>204.13100976612856</v>
      </c>
      <c r="CK99">
        <v>205.83804815374202</v>
      </c>
      <c r="CL99">
        <v>207.67662782649379</v>
      </c>
      <c r="CM99">
        <v>207.02092339840803</v>
      </c>
      <c r="CN99">
        <v>200.75419652187202</v>
      </c>
      <c r="CO99">
        <v>197.32559195833724</v>
      </c>
      <c r="CP99">
        <v>202.27999214622974</v>
      </c>
      <c r="CQ99">
        <v>206.46722276243111</v>
      </c>
      <c r="CR99">
        <v>212.09213582512004</v>
      </c>
      <c r="CS99">
        <v>214.90143949452289</v>
      </c>
      <c r="CT99">
        <v>220.95049968668857</v>
      </c>
      <c r="CU99">
        <v>217.78307886305299</v>
      </c>
      <c r="CV99">
        <v>0</v>
      </c>
      <c r="CW99">
        <v>0</v>
      </c>
    </row>
    <row r="100" spans="5:101" x14ac:dyDescent="0.2">
      <c r="E100">
        <v>222.13</v>
      </c>
      <c r="F100">
        <v>215.8422975685132</v>
      </c>
      <c r="G100">
        <v>218.96549431611959</v>
      </c>
      <c r="H100">
        <v>229.87851929946865</v>
      </c>
      <c r="I100">
        <v>230.8947162211239</v>
      </c>
      <c r="J100">
        <v>229.79548002571161</v>
      </c>
      <c r="K100">
        <v>227.05655725557043</v>
      </c>
      <c r="L100">
        <v>231.6387574649292</v>
      </c>
      <c r="M100">
        <v>221.6175929446259</v>
      </c>
      <c r="N100">
        <v>226.60077556247015</v>
      </c>
      <c r="O100">
        <v>206.55257511262528</v>
      </c>
      <c r="P100">
        <v>211.02271450404913</v>
      </c>
      <c r="Q100">
        <v>217.37123022057665</v>
      </c>
      <c r="R100">
        <v>218.79849525458613</v>
      </c>
      <c r="S100">
        <v>213.54041164703941</v>
      </c>
      <c r="T100">
        <v>217.22995453514724</v>
      </c>
      <c r="U100">
        <v>215.02871782667032</v>
      </c>
      <c r="V100">
        <v>221.98132123022202</v>
      </c>
      <c r="W100">
        <v>222.86730728712755</v>
      </c>
      <c r="X100">
        <v>234.86295890548749</v>
      </c>
      <c r="Y100">
        <v>234.31055036406804</v>
      </c>
      <c r="Z100">
        <v>238.82361514661395</v>
      </c>
      <c r="AA100">
        <v>227.49113697819126</v>
      </c>
      <c r="AB100">
        <v>232.09871172479319</v>
      </c>
      <c r="AC100">
        <v>239.10382271373695</v>
      </c>
      <c r="AD100">
        <v>243.12268777229309</v>
      </c>
      <c r="AE100">
        <v>242.25655400180912</v>
      </c>
      <c r="AF100">
        <v>241.22926645120026</v>
      </c>
      <c r="AG100">
        <v>234.32407368746439</v>
      </c>
      <c r="AH100">
        <v>239.56715123260969</v>
      </c>
      <c r="AI100">
        <v>239.92463436566419</v>
      </c>
      <c r="AJ100">
        <v>241.03315532598697</v>
      </c>
      <c r="AK100">
        <v>247.42080029967482</v>
      </c>
      <c r="AL100">
        <v>250.52616483464183</v>
      </c>
      <c r="AM100">
        <v>247.08574371576992</v>
      </c>
      <c r="AN100">
        <v>250.47808224282144</v>
      </c>
      <c r="AO100">
        <v>251.40616130653225</v>
      </c>
      <c r="AP100">
        <v>253.02073032939663</v>
      </c>
      <c r="AQ100">
        <v>253.59988326741066</v>
      </c>
      <c r="AR100">
        <v>251.17673858294438</v>
      </c>
      <c r="AS100">
        <v>258.62934775245679</v>
      </c>
      <c r="AT100">
        <v>260.57189797530259</v>
      </c>
      <c r="AU100">
        <v>260.31182583728378</v>
      </c>
      <c r="AV100">
        <v>263.30235314360056</v>
      </c>
      <c r="AW100">
        <v>265.53041667611018</v>
      </c>
      <c r="AX100">
        <v>257.92606657035606</v>
      </c>
      <c r="AY100">
        <v>256.24971897466247</v>
      </c>
      <c r="AZ100">
        <v>254.73241013317963</v>
      </c>
      <c r="BA100">
        <v>257.54799624085246</v>
      </c>
      <c r="BB100">
        <v>251.76856000544541</v>
      </c>
      <c r="BC100">
        <v>251.88712672139079</v>
      </c>
      <c r="BD100">
        <v>246.08158303891639</v>
      </c>
      <c r="BE100">
        <v>239.66917496728607</v>
      </c>
      <c r="BF100">
        <v>241.96889248268366</v>
      </c>
      <c r="BG100">
        <v>243.60113307331486</v>
      </c>
      <c r="BH100">
        <v>232.69619737928761</v>
      </c>
      <c r="BI100">
        <v>243.32497080974892</v>
      </c>
      <c r="BJ100">
        <v>249.01391916027438</v>
      </c>
      <c r="BK100">
        <v>244.4975168773293</v>
      </c>
      <c r="BL100">
        <v>249.99314743184365</v>
      </c>
      <c r="BM100">
        <v>245.34081405690443</v>
      </c>
      <c r="BN100">
        <v>249.26660544466324</v>
      </c>
      <c r="BO100">
        <v>253.59771507888834</v>
      </c>
      <c r="BP100">
        <v>254.26062719219382</v>
      </c>
      <c r="BQ100">
        <v>255.31648831449849</v>
      </c>
      <c r="BR100">
        <v>256.0592687209724</v>
      </c>
      <c r="BS100">
        <v>260.91946312330521</v>
      </c>
      <c r="BT100">
        <v>268.58711957595665</v>
      </c>
      <c r="BU100">
        <v>274.58624800306745</v>
      </c>
      <c r="BV100">
        <v>274.01997371547913</v>
      </c>
      <c r="BW100">
        <v>263.35394044875312</v>
      </c>
      <c r="BX100">
        <v>277.7742345996038</v>
      </c>
      <c r="BY100">
        <v>282.95480496458498</v>
      </c>
      <c r="BZ100">
        <v>285.4078813765168</v>
      </c>
      <c r="CA100">
        <v>291.76559191398144</v>
      </c>
      <c r="CB100">
        <v>279.89304586594841</v>
      </c>
      <c r="CC100">
        <v>287.08068048489724</v>
      </c>
      <c r="CD100">
        <v>282.48509981553002</v>
      </c>
      <c r="CE100">
        <v>280.93615385839416</v>
      </c>
      <c r="CF100">
        <v>274.26807309962174</v>
      </c>
      <c r="CG100">
        <v>271.8747051748752</v>
      </c>
      <c r="CH100">
        <v>263.02570217358283</v>
      </c>
      <c r="CI100">
        <v>269.88979043598624</v>
      </c>
      <c r="CJ100">
        <v>262.09343548245715</v>
      </c>
      <c r="CK100">
        <v>261.35414836661965</v>
      </c>
      <c r="CL100">
        <v>252.80931392198849</v>
      </c>
      <c r="CM100">
        <v>251.53446095707034</v>
      </c>
      <c r="CN100">
        <v>252.55531591088527</v>
      </c>
      <c r="CO100">
        <v>254.26898921004474</v>
      </c>
      <c r="CP100">
        <v>254.25517385116569</v>
      </c>
      <c r="CQ100">
        <v>257.35468759790825</v>
      </c>
      <c r="CR100">
        <v>265.96635680391245</v>
      </c>
      <c r="CS100">
        <v>265.40777493208742</v>
      </c>
      <c r="CT100">
        <v>256.94040664041938</v>
      </c>
      <c r="CU100">
        <v>253.50323823177422</v>
      </c>
      <c r="CV100">
        <v>33.503238231774219</v>
      </c>
      <c r="CW100">
        <v>32.212071573318298</v>
      </c>
    </row>
    <row r="101" spans="5:101" x14ac:dyDescent="0.2">
      <c r="E101">
        <v>222.13</v>
      </c>
      <c r="F101">
        <v>221.59707577843102</v>
      </c>
      <c r="G101">
        <v>223.37747688445771</v>
      </c>
      <c r="H101">
        <v>225.74027661790532</v>
      </c>
      <c r="I101">
        <v>213.05827679990333</v>
      </c>
      <c r="J101">
        <v>215.70406026710833</v>
      </c>
      <c r="K101">
        <v>215.07282746929107</v>
      </c>
      <c r="L101">
        <v>208.83138521085101</v>
      </c>
      <c r="M101">
        <v>213.24642488748177</v>
      </c>
      <c r="N101">
        <v>217.85477414257153</v>
      </c>
      <c r="O101">
        <v>212.63867023855229</v>
      </c>
      <c r="P101">
        <v>217.1815629279161</v>
      </c>
      <c r="Q101">
        <v>211.83101025510831</v>
      </c>
      <c r="R101">
        <v>205.38961344433528</v>
      </c>
      <c r="S101">
        <v>210.57384351927328</v>
      </c>
      <c r="T101">
        <v>199.50924210876786</v>
      </c>
      <c r="U101">
        <v>209.2840988162715</v>
      </c>
      <c r="V101">
        <v>210.20863390475498</v>
      </c>
      <c r="W101">
        <v>204.08800726924611</v>
      </c>
      <c r="X101">
        <v>201.63955649830979</v>
      </c>
      <c r="Y101">
        <v>208.46068195553187</v>
      </c>
      <c r="Z101">
        <v>207.70758179838984</v>
      </c>
      <c r="AA101">
        <v>207.93346453430289</v>
      </c>
      <c r="AB101">
        <v>207.62119401266972</v>
      </c>
      <c r="AC101">
        <v>213.14634953187419</v>
      </c>
      <c r="AD101">
        <v>214.77651374105992</v>
      </c>
      <c r="AE101">
        <v>211.09016311142389</v>
      </c>
      <c r="AF101">
        <v>213.4213402488725</v>
      </c>
      <c r="AG101">
        <v>220.09618380886951</v>
      </c>
      <c r="AH101">
        <v>225.84766224327211</v>
      </c>
      <c r="AI101">
        <v>226.18397854403125</v>
      </c>
      <c r="AJ101">
        <v>221.90666167791352</v>
      </c>
      <c r="AK101">
        <v>220.65933281031582</v>
      </c>
      <c r="AL101">
        <v>218.13980955917378</v>
      </c>
      <c r="AM101">
        <v>215.34644224075458</v>
      </c>
      <c r="AN101">
        <v>210.21746697307918</v>
      </c>
      <c r="AO101">
        <v>210.29572849772993</v>
      </c>
      <c r="AP101">
        <v>207.64533545294162</v>
      </c>
      <c r="AQ101">
        <v>203.61939968189876</v>
      </c>
      <c r="AR101">
        <v>201.68432864221697</v>
      </c>
      <c r="AS101">
        <v>208.38568199628446</v>
      </c>
      <c r="AT101">
        <v>204.65358816368862</v>
      </c>
      <c r="AU101">
        <v>211.96839851583005</v>
      </c>
      <c r="AV101">
        <v>211.54914198403227</v>
      </c>
      <c r="AW101">
        <v>218.74759446610241</v>
      </c>
      <c r="AX101">
        <v>219.79582966918471</v>
      </c>
      <c r="AY101">
        <v>221.13664666282438</v>
      </c>
      <c r="AZ101">
        <v>230.84146908879381</v>
      </c>
      <c r="BA101">
        <v>236.75633715752733</v>
      </c>
      <c r="BB101">
        <v>233.89600985164208</v>
      </c>
      <c r="BC101">
        <v>226.87376073262647</v>
      </c>
      <c r="BD101">
        <v>226.79279356047084</v>
      </c>
      <c r="BE101">
        <v>229.3381824654918</v>
      </c>
      <c r="BF101">
        <v>220.30164736426883</v>
      </c>
      <c r="BG101">
        <v>227.77118007709981</v>
      </c>
      <c r="BH101">
        <v>227.11271735191553</v>
      </c>
      <c r="BI101">
        <v>217.24763852760256</v>
      </c>
      <c r="BJ101">
        <v>221.67332321358501</v>
      </c>
      <c r="BK101">
        <v>221.79198136105103</v>
      </c>
      <c r="BL101">
        <v>223.53729303265308</v>
      </c>
      <c r="BM101">
        <v>217.17823536481012</v>
      </c>
      <c r="BN101">
        <v>218.36404912973822</v>
      </c>
      <c r="BO101">
        <v>214.34246141606562</v>
      </c>
      <c r="BP101">
        <v>208.50508054688333</v>
      </c>
      <c r="BQ101">
        <v>206.3213483083027</v>
      </c>
      <c r="BR101">
        <v>205.43089821709745</v>
      </c>
      <c r="BS101">
        <v>210.07296388848971</v>
      </c>
      <c r="BT101">
        <v>213.81377458478309</v>
      </c>
      <c r="BU101">
        <v>211.56714004887706</v>
      </c>
      <c r="BV101">
        <v>216.07545191328131</v>
      </c>
      <c r="BW101">
        <v>214.68099965162295</v>
      </c>
      <c r="BX101">
        <v>212.64629200222825</v>
      </c>
      <c r="BY101">
        <v>210.21125783540396</v>
      </c>
      <c r="BZ101">
        <v>209.71454021920758</v>
      </c>
      <c r="CA101">
        <v>207.05378965225322</v>
      </c>
      <c r="CB101">
        <v>206.86161558689935</v>
      </c>
      <c r="CC101">
        <v>203.6450989922846</v>
      </c>
      <c r="CD101">
        <v>195.79002313019302</v>
      </c>
      <c r="CE101">
        <v>185.67081056964335</v>
      </c>
      <c r="CF101">
        <v>175.27059759576218</v>
      </c>
      <c r="CG101">
        <v>180.16515513525465</v>
      </c>
      <c r="CH101">
        <v>183.0963086502654</v>
      </c>
      <c r="CI101">
        <v>190.65774172788267</v>
      </c>
      <c r="CJ101">
        <v>189.776422062553</v>
      </c>
      <c r="CK101">
        <v>196.56209731828937</v>
      </c>
      <c r="CL101">
        <v>199.82121703920367</v>
      </c>
      <c r="CM101">
        <v>203.13216623901187</v>
      </c>
      <c r="CN101">
        <v>206.48469155342096</v>
      </c>
      <c r="CO101">
        <v>212.24315757675708</v>
      </c>
      <c r="CP101">
        <v>211.44723764892026</v>
      </c>
      <c r="CQ101">
        <v>208.5987611789711</v>
      </c>
      <c r="CR101">
        <v>205.24513870862319</v>
      </c>
      <c r="CS101">
        <v>204.13394120407273</v>
      </c>
      <c r="CT101">
        <v>208.05849849511495</v>
      </c>
      <c r="CU101">
        <v>212.02318496851001</v>
      </c>
      <c r="CV101">
        <v>0</v>
      </c>
      <c r="CW101">
        <v>0</v>
      </c>
    </row>
    <row r="102" spans="5:101" x14ac:dyDescent="0.2">
      <c r="CT102" t="s">
        <v>69</v>
      </c>
      <c r="CU102">
        <v>220</v>
      </c>
      <c r="CV102" t="s">
        <v>70</v>
      </c>
      <c r="CW102" s="19">
        <v>35.644002525971999</v>
      </c>
    </row>
    <row r="103" spans="5:101" x14ac:dyDescent="0.2">
      <c r="CT103" t="s">
        <v>50</v>
      </c>
      <c r="CU103" s="15">
        <v>4.1700000000000001E-2</v>
      </c>
      <c r="CV103" s="18">
        <v>37.072732358845499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03EFC6982A3E49B93B844C7FCD583B" ma:contentTypeVersion="9" ma:contentTypeDescription="Create a new document." ma:contentTypeScope="" ma:versionID="bfa76f71a6bac9aa5efdea2c79edc8f1">
  <xsd:schema xmlns:xsd="http://www.w3.org/2001/XMLSchema" xmlns:xs="http://www.w3.org/2001/XMLSchema" xmlns:p="http://schemas.microsoft.com/office/2006/metadata/properties" xmlns:ns3="b7be8240-149b-427d-8eba-7bb1ff6225dd" xmlns:ns4="869da506-bace-44af-a899-86cec871751e" targetNamespace="http://schemas.microsoft.com/office/2006/metadata/properties" ma:root="true" ma:fieldsID="646010ad1cfeae5d8c4cf618bea65764" ns3:_="" ns4:_="">
    <xsd:import namespace="b7be8240-149b-427d-8eba-7bb1ff6225dd"/>
    <xsd:import namespace="869da506-bace-44af-a899-86cec871751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be8240-149b-427d-8eba-7bb1ff6225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9da506-bace-44af-a899-86cec871751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7be8240-149b-427d-8eba-7bb1ff6225dd" xsi:nil="true"/>
  </documentManagement>
</p:properties>
</file>

<file path=customXml/itemProps1.xml><?xml version="1.0" encoding="utf-8"?>
<ds:datastoreItem xmlns:ds="http://schemas.openxmlformats.org/officeDocument/2006/customXml" ds:itemID="{A342763D-1913-4727-9202-1933550606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be8240-149b-427d-8eba-7bb1ff6225dd"/>
    <ds:schemaRef ds:uri="869da506-bace-44af-a899-86cec87175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83E4DCA-6630-400B-A8EA-5BF6E1DEA0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89DF40-7455-40D2-A8C7-0523C92E51F8}">
  <ds:schemaRefs>
    <ds:schemaRef ds:uri="http://www.w3.org/XML/1998/namespace"/>
    <ds:schemaRef ds:uri="b7be8240-149b-427d-8eba-7bb1ff6225dd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869da506-bace-44af-a899-86cec871751e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AAPL</vt:lpstr>
      <vt:lpstr>S&amp;P 500</vt:lpstr>
      <vt:lpstr>Q1&amp;2</vt:lpstr>
      <vt:lpstr>MACD</vt:lpstr>
      <vt:lpstr>RSI</vt:lpstr>
      <vt:lpstr>BB</vt:lpstr>
      <vt:lpstr>SO (KD)</vt:lpstr>
      <vt:lpstr>Q4&amp;5</vt:lpstr>
      <vt:lpstr>Q6</vt:lpstr>
      <vt:lpstr>Simulation results frozen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Allison Castillo Gutierrez</dc:creator>
  <cp:lastModifiedBy>Allison Castillo Gutierrez</cp:lastModifiedBy>
  <dcterms:created xsi:type="dcterms:W3CDTF">2025-04-08T17:08:45Z</dcterms:created>
  <dcterms:modified xsi:type="dcterms:W3CDTF">2025-04-14T04:01:47Z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0x010100B603EFC6982A3E49B93B844C7FCD583B</vt:lpwstr>
  </property>
</Properties>
</file>